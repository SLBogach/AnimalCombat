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bd076cd11c47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d5c6776a0c94e73"/>
    <x:sheet xmlns:r="http://schemas.openxmlformats.org/officeDocument/2006/relationships" name="Global Config" sheetId="2" r:id="R6ff853071c1f433d"/>
    <x:sheet xmlns:r="http://schemas.openxmlformats.org/officeDocument/2006/relationships" name="Fighter Stats" sheetId="3" r:id="R0f6e8b0d3cf749ef"/>
    <x:sheet xmlns:r="http://schemas.openxmlformats.org/officeDocument/2006/relationships" name="Actions" sheetId="4" r:id="R5a87c4dde00d426f"/>
    <x:sheet xmlns:r="http://schemas.openxmlformats.org/officeDocument/2006/relationships" name="Passives" sheetId="5" r:id="Rd99e93316d4e4ad6"/>
    <x:sheet xmlns:r="http://schemas.openxmlformats.org/officeDocument/2006/relationships" name="Effects" sheetId="6" r:id="R269611197d504bb3"/>
    <x:sheet xmlns:r="http://schemas.openxmlformats.org/officeDocument/2006/relationships" name="Tactics" sheetId="7" r:id="R04c924238d4b42f3"/>
    <x:sheet xmlns:r="http://schemas.openxmlformats.org/officeDocument/2006/relationships" name="Gear" sheetId="8" r:id="Rcd57126f22634077"/>
    <x:sheet xmlns:r="http://schemas.openxmlformats.org/officeDocument/2006/relationships" name="Test Builds" sheetId="9" r:id="R9edef57be81a47a0"/>
    <x:sheet xmlns:r="http://schemas.openxmlformats.org/officeDocument/2006/relationships" name="Expected Matchups" sheetId="10" r:id="R9dfa648cc8de45d6"/>
    <x:sheet xmlns:r="http://schemas.openxmlformats.org/officeDocument/2006/relationships" name="Batch Results" sheetId="11" r:id="Re3e492a73dc144ec"/>
    <x:sheet xmlns:r="http://schemas.openxmlformats.org/officeDocument/2006/relationships" name="Change Log" sheetId="12" r:id="R2651f82a0f784aaa"/>
    <x:sheet xmlns:r="http://schemas.openxmlformats.org/officeDocument/2006/relationships" name="JSON Map" sheetId="13" r:id="R8637d02fddf346d4"/>
    <x:sheet xmlns:r="http://schemas.openxmlformats.org/officeDocument/2006/relationships" name="Validation" sheetId="14" r:id="R7bc6a91e57b54eab"/>
  </x:sheets>
</x:workbook>
</file>

<file path=xl/comments1.xml><?xml version="1.0" encoding="utf-8"?>
<x:comments xmlns:x="http://schemas.openxmlformats.org/spreadsheetml/2006/main">
  <x:authors>
    <x:author>tc={E1BE2FF2-41E9-273D-D914-576BE72E51A0}</x:author>
  </x:authors>
  <x:commentList>
    <x:comment ref="D1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Источник: CDS v0.1, раздел 4.1. Это стартовая гипотеза; изменение требует полного determinism regression.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tc={860C0142-AD7D-088E-603B-60487B26B9E8}</x:author>
  </x:authors>
  <x:commentList>
    <x:comment ref="D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RPS-гипотеза HYP-04. Целевые 53% — мягкое преимущество, а не скрытый видовой коэффициент.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"/>
    <x:numFmt numFmtId="202" formatCode="0.0%"/>
    <x:numFmt numFmtId="203" formatCode="0.0"/>
    <x:numFmt numFmtId="204" formatCode="yyyy-mm-dd"/>
  </x:numFmts>
  <x:fonts count="12">
    <x:font>
      <x:sz val="11"/>
      <x:name val="Carlito"/>
    </x:font>
    <x:font>
      <x:b/>
      <x:sz val="18"/>
      <x:color rgb="FFFFFFFF"/>
      <x:name val="Aptos Display"/>
    </x:font>
    <x:font>
      <x:sz val="10"/>
      <x:color rgb="FFFFFFFF"/>
      <x:name val="Aptos"/>
    </x:font>
    <x:font>
      <x:i/>
      <x:sz val="9"/>
      <x:color rgb="FF1F4E78"/>
      <x:name val="Aptos"/>
    </x:font>
    <x:font>
      <x:b/>
      <x:sz val="9"/>
      <x:color rgb="FFFFFFFF"/>
      <x:name val="Aptos"/>
    </x:font>
    <x:font>
      <x:sz val="9"/>
      <x:color rgb="FF1F2937"/>
      <x:name val="Aptos"/>
    </x:font>
    <x:font>
      <x:sz val="9"/>
      <x:color rgb="FF1F4E78"/>
      <x:name val="Aptos"/>
    </x:font>
    <x:font>
      <x:sz val="9"/>
      <x:color rgb="FF375623"/>
      <x:name val="Aptos"/>
    </x:font>
    <x:font>
      <x:b/>
      <x:sz val="22"/>
      <x:color rgb="FFFFFFFF"/>
      <x:name val="Aptos Display"/>
    </x:font>
    <x:font>
      <x:sz val="11"/>
      <x:color rgb="FFFFFFFF"/>
      <x:name val="Aptos"/>
    </x:font>
    <x:font>
      <x:b/>
      <x:sz val="12"/>
      <x:color rgb="FF17365D"/>
      <x:name val="Aptos"/>
    </x:font>
    <x:font>
      <x:sz val="8"/>
      <x:color rgb="FF1F4E78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44A73"/>
      </x:patternFill>
    </x:fill>
    <x:fill>
      <x:patternFill patternType="solid">
        <x:fgColor rgb="FFEAF2F8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</x:fills>
  <x:borders count="10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  <x:bottom style="thin">
        <x:color rgb="FFCFD8E3"/>
      </x:bottom>
    </x:border>
    <x:border>
      <x:bottom style="thin">
        <x:color rgb="FFCFD8E3"/>
      </x:bottom>
    </x:border>
    <x:border>
      <x:top style="thin">
        <x:color rgb="FFCFD8E3"/>
      </x:top>
      <x:bottom style="thin">
        <x:color rgb="FFCFD8E3"/>
      </x:bottom>
    </x:border>
    <x:border>
      <x:top style="thin">
        <x:color rgb="FFCFD8E3"/>
      </x:top>
    </x:border>
  </x:borders>
  <x:cellStyleXfs count="1">
    <x:xf numFmtId="0" fontId="0" fillId="0" borderId="0"/>
  </x:cellStyleXfs>
  <x:cellXfs count="1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6" fillId="5" borderId="4" xfId="0" applyNumberFormat="1" applyFont="1" applyFill="1" applyBorder="1" applyAlignment="1">
      <x:alignment vertical="center"/>
    </x:xf>
    <x:xf numFmtId="0" fontId="6" fillId="5" borderId="5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/>
    </x:xf>
    <x:xf numFmtId="0" fontId="5" fillId="6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6" borderId="4" xfId="0" applyNumberFormat="1" applyFont="1" applyFill="1" applyBorder="1" applyAlignment="1">
      <x:alignment vertical="center" wrapText="1"/>
    </x:xf>
    <x:xf numFmtId="0" fontId="5" fillId="6" borderId="5" xfId="0" applyNumberFormat="1" applyFont="1" applyFill="1" applyBorder="1" applyAlignment="1">
      <x:alignment vertical="center" wrapText="1"/>
    </x:xf>
    <x:xf numFmtId="0" fontId="5" fillId="6" borderId="6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horizontal="right" vertical="center"/>
    </x:xf>
    <x:xf numFmtId="0" fontId="5" fillId="0" borderId="5" xfId="0" applyNumberFormat="1" applyFont="1" applyFill="1" applyBorder="1" applyAlignment="1">
      <x:alignment horizontal="right" vertical="center"/>
    </x:xf>
    <x:xf numFmtId="0" fontId="5" fillId="0" borderId="6" xfId="0" applyNumberFormat="1" applyFont="1" applyFill="1" applyBorder="1" applyAlignment="1">
      <x:alignment horizontal="right" vertical="center"/>
    </x:xf>
    <x:xf numFmtId="0" fontId="5" fillId="6" borderId="4" xfId="0" applyNumberFormat="1" applyFont="1" applyFill="1" applyBorder="1" applyAlignment="1">
      <x:alignment horizontal="right" vertical="center"/>
    </x:xf>
    <x:xf numFmtId="0" fontId="5" fillId="6" borderId="5" xfId="0" applyNumberFormat="1" applyFont="1" applyFill="1" applyBorder="1" applyAlignment="1">
      <x:alignment horizontal="right" vertical="center"/>
    </x:xf>
    <x:xf numFmtId="0" fontId="5" fillId="6" borderId="6" xfId="0" applyNumberFormat="1" applyFont="1" applyFill="1" applyBorder="1" applyAlignment="1">
      <x:alignment horizontal="right" vertical="center"/>
    </x:xf>
    <x:xf numFmtId="0" fontId="5" fillId="7" borderId="4" xfId="0" applyNumberFormat="1" applyFont="1" applyFill="1" applyBorder="1" applyAlignment="1">
      <x:alignment vertical="center"/>
    </x:xf>
    <x:xf numFmtId="0" fontId="5" fillId="7" borderId="5" xfId="0" applyNumberFormat="1" applyFont="1" applyFill="1" applyBorder="1" applyAlignment="1">
      <x:alignment vertical="center"/>
    </x:xf>
    <x:xf numFmtId="0" fontId="5" fillId="7" borderId="6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6" xfId="0" applyNumberFormat="1" applyFont="1" applyFill="1" applyBorder="1" applyAlignment="1">
      <x:alignment vertical="center"/>
    </x:xf>
    <x:xf numFmtId="200" fontId="5" fillId="6" borderId="4" xfId="0" applyNumberFormat="1" applyFont="1" applyFill="1" applyBorder="1" applyAlignment="1">
      <x:alignment vertical="center"/>
    </x:xf>
    <x:xf numFmtId="200" fontId="5" fillId="6" borderId="5" xfId="0" applyNumberFormat="1" applyFont="1" applyFill="1" applyBorder="1" applyAlignment="1">
      <x:alignment vertical="center"/>
    </x:xf>
    <x:xf numFmtId="200" fontId="5" fillId="6" borderId="6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201" fontId="5" fillId="0" borderId="6" xfId="0" applyNumberFormat="1" applyFont="1" applyFill="1" applyBorder="1" applyAlignment="1">
      <x:alignment vertical="center"/>
    </x:xf>
    <x:xf numFmtId="201" fontId="5" fillId="6" borderId="4" xfId="0" applyNumberFormat="1" applyFont="1" applyFill="1" applyBorder="1" applyAlignment="1">
      <x:alignment vertical="center"/>
    </x:xf>
    <x:xf numFmtId="201" fontId="5" fillId="6" borderId="5" xfId="0" applyNumberFormat="1" applyFont="1" applyFill="1" applyBorder="1" applyAlignment="1">
      <x:alignment vertical="center"/>
    </x:xf>
    <x:xf numFmtId="201" fontId="5" fillId="6" borderId="6" xfId="0" applyNumberFormat="1" applyFont="1" applyFill="1" applyBorder="1" applyAlignment="1">
      <x:alignment vertical="center"/>
    </x:xf>
    <x:xf numFmtId="201" fontId="5" fillId="7" borderId="4" xfId="0" applyNumberFormat="1" applyFont="1" applyFill="1" applyBorder="1" applyAlignment="1">
      <x:alignment vertical="center"/>
    </x:xf>
    <x:xf numFmtId="201" fontId="5" fillId="7" borderId="5" xfId="0" applyNumberFormat="1" applyFont="1" applyFill="1" applyBorder="1" applyAlignment="1">
      <x:alignment vertical="center"/>
    </x:xf>
    <x:xf numFmtId="201" fontId="5" fillId="7" borderId="6" xfId="0" applyNumberFormat="1" applyFont="1" applyFill="1" applyBorder="1" applyAlignment="1">
      <x:alignment vertical="center"/>
    </x:xf>
    <x:xf numFmtId="201" fontId="7" fillId="7" borderId="4" xfId="0" applyNumberFormat="1" applyFont="1" applyFill="1" applyBorder="1" applyAlignment="1">
      <x:alignment vertical="center"/>
    </x:xf>
    <x:xf numFmtId="201" fontId="7" fillId="7" borderId="5" xfId="0" applyNumberFormat="1" applyFont="1" applyFill="1" applyBorder="1" applyAlignment="1">
      <x:alignment vertical="center"/>
    </x:xf>
    <x:xf numFmtId="201" fontId="7" fillId="7" borderId="6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5" fillId="0" borderId="4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6" xfId="0" applyNumberFormat="1" applyFont="1" applyFill="1" applyBorder="1" applyAlignment="1">
      <x:alignment vertical="center"/>
    </x:xf>
    <x:xf numFmtId="202" fontId="5" fillId="6" borderId="4" xfId="0" applyNumberFormat="1" applyFont="1" applyFill="1" applyBorder="1" applyAlignment="1">
      <x:alignment vertical="center"/>
    </x:xf>
    <x:xf numFmtId="202" fontId="5" fillId="6" borderId="5" xfId="0" applyNumberFormat="1" applyFont="1" applyFill="1" applyBorder="1" applyAlignment="1">
      <x:alignment vertical="center"/>
    </x:xf>
    <x:xf numFmtId="202" fontId="5" fillId="6" borderId="6" xfId="0" applyNumberFormat="1" applyFont="1" applyFill="1" applyBorder="1" applyAlignment="1">
      <x:alignment vertical="center"/>
    </x:xf>
    <x:xf numFmtId="202" fontId="5" fillId="7" borderId="4" xfId="0" applyNumberFormat="1" applyFont="1" applyFill="1" applyBorder="1" applyAlignment="1">
      <x:alignment vertical="center"/>
    </x:xf>
    <x:xf numFmtId="202" fontId="5" fillId="7" borderId="5" xfId="0" applyNumberFormat="1" applyFont="1" applyFill="1" applyBorder="1" applyAlignment="1">
      <x:alignment vertical="center"/>
    </x:xf>
    <x:xf numFmtId="202" fontId="5" fillId="7" borderId="6" xfId="0" applyNumberFormat="1" applyFont="1" applyFill="1" applyBorder="1" applyAlignment="1">
      <x:alignment vertical="center"/>
    </x:xf>
    <x:xf numFmtId="202" fontId="7" fillId="7" borderId="4" xfId="0" applyNumberFormat="1" applyFont="1" applyFill="1" applyBorder="1" applyAlignment="1">
      <x:alignment vertical="center"/>
    </x:xf>
    <x:xf numFmtId="202" fontId="7" fillId="7" borderId="5" xfId="0" applyNumberFormat="1" applyFont="1" applyFill="1" applyBorder="1" applyAlignment="1">
      <x:alignment vertical="center"/>
    </x:xf>
    <x:xf numFmtId="202" fontId="7" fillId="7" borderId="6" xfId="0" applyNumberFormat="1" applyFont="1" applyFill="1" applyBorder="1" applyAlignment="1">
      <x:alignment vertical="center"/>
    </x:xf>
    <x:xf numFmtId="203" fontId="5" fillId="0" borderId="4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3" fontId="5" fillId="0" borderId="6" xfId="0" applyNumberFormat="1" applyFont="1" applyFill="1" applyBorder="1" applyAlignment="1">
      <x:alignment vertical="center"/>
    </x:xf>
    <x:xf numFmtId="203" fontId="5" fillId="6" borderId="4" xfId="0" applyNumberFormat="1" applyFont="1" applyFill="1" applyBorder="1" applyAlignment="1">
      <x:alignment vertical="center"/>
    </x:xf>
    <x:xf numFmtId="203" fontId="5" fillId="6" borderId="5" xfId="0" applyNumberFormat="1" applyFont="1" applyFill="1" applyBorder="1" applyAlignment="1">
      <x:alignment vertical="center"/>
    </x:xf>
    <x:xf numFmtId="203" fontId="5" fillId="6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/>
    <x:xf numFmtId="0" fontId="5" fillId="0" borderId="7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6" fillId="5" borderId="7" xfId="0" applyNumberFormat="1" applyFont="1" applyFill="1" applyBorder="1" applyAlignment="1">
      <x:alignment vertical="center"/>
    </x:xf>
    <x:xf numFmtId="0" fontId="5" fillId="6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4" fontId="5" fillId="6" borderId="7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 wrapText="1"/>
    </x:xf>
    <x:xf numFmtId="0" fontId="5" fillId="6" borderId="7" xfId="0" applyNumberFormat="1" applyFont="1" applyFill="1" applyBorder="1" applyAlignment="1">
      <x:alignment vertical="center" wrapText="1"/>
    </x:xf>
    <x:xf numFmtId="201" fontId="5" fillId="5" borderId="4" xfId="0" applyNumberFormat="1" applyFont="1" applyFill="1" applyBorder="1" applyAlignment="1">
      <x:alignment vertical="center"/>
    </x:xf>
    <x:xf numFmtId="201" fontId="5" fillId="5" borderId="5" xfId="0" applyNumberFormat="1" applyFont="1" applyFill="1" applyBorder="1" applyAlignment="1">
      <x:alignment vertical="center"/>
    </x:xf>
    <x:xf numFmtId="201" fontId="5" fillId="5" borderId="6" xfId="0" applyNumberFormat="1" applyFont="1" applyFill="1" applyBorder="1" applyAlignment="1">
      <x:alignment vertical="center"/>
    </x:xf>
    <x:xf numFmtId="201" fontId="6" fillId="5" borderId="4" xfId="0" applyNumberFormat="1" applyFont="1" applyFill="1" applyBorder="1" applyAlignment="1">
      <x:alignment vertical="center"/>
    </x:xf>
    <x:xf numFmtId="201" fontId="6" fillId="5" borderId="5" xfId="0" applyNumberFormat="1" applyFont="1" applyFill="1" applyBorder="1" applyAlignment="1">
      <x:alignment vertical="center"/>
    </x:xf>
    <x:xf numFmtId="201" fontId="6" fillId="5" borderId="6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204" fontId="0" fillId="6" borderId="0" xfId="0" applyNumberFormat="1" applyFont="1" applyFill="1" applyBorder="1"/>
    <x:xf numFmtId="0" fontId="4" fillId="2" borderId="7" xfId="0" applyNumberFormat="1" applyFont="1" applyFill="1" applyBorder="1"/>
    <x:xf numFmtId="0" fontId="0" fillId="5" borderId="8" xfId="0" applyNumberFormat="1" applyFont="1" applyFill="1" applyBorder="1"/>
    <x:xf numFmtId="0" fontId="0" fillId="6" borderId="8" xfId="0" applyNumberFormat="1" applyFont="1" applyFill="1" applyBorder="1"/>
    <x:xf numFmtId="0" fontId="0" fillId="4" borderId="8" xfId="0" applyNumberFormat="1" applyFont="1" applyFill="1" applyBorder="1"/>
    <x:xf numFmtId="204" fontId="0" fillId="6" borderId="8" xfId="0" applyNumberFormat="1" applyFont="1" applyFill="1" applyBorder="1"/>
    <x:xf numFmtId="0" fontId="0" fillId="5" borderId="9" xfId="0" applyNumberFormat="1" applyFont="1" applyFill="1" applyBorder="1"/>
    <x:xf numFmtId="0" fontId="0" fillId="6" borderId="9" xfId="0" applyNumberFormat="1" applyFont="1" applyFill="1" applyBorder="1"/>
    <x:xf numFmtId="0" fontId="0" fillId="4" borderId="9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0" fontId="4" fillId="2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6" borderId="8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204" fontId="0" fillId="6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  <x:xf numFmtId="0" fontId="0" fillId="4" borderId="9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9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</x:cellXfs>
  <x:cellStyles count="1">
    <x:cellStyle name="Normal" xfId="0"/>
  </x:cellStyles>
  <x:dxfs count="65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7085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ac216750d24c4f" /><Relationship Type="http://schemas.openxmlformats.org/officeDocument/2006/relationships/theme" Target="/xl/theme/theme1.xml" Id="R1520c8f7116a4c86" /><Relationship Type="http://schemas.microsoft.com/office/2022/11/relationships/FeaturePropertyBag" Target="/xl/featurePropertyBag/featurePropertyBag.xml" Id="R1736a4c67c4d4467" /><Relationship Type="http://schemas.openxmlformats.org/officeDocument/2006/relationships/sharedStrings" Target="/xl/sharedStrings.xml" Id="R62fa4f6bbedb4f83" /><Relationship Type="http://schemas.openxmlformats.org/officeDocument/2006/relationships/worksheet" Target="/xl/worksheets/sheet1.xml" Id="Rcd5c6776a0c94e73" /><Relationship Type="http://schemas.openxmlformats.org/officeDocument/2006/relationships/worksheet" Target="/xl/worksheets/sheet2.xml" Id="R6ff853071c1f433d" /><Relationship Type="http://schemas.openxmlformats.org/officeDocument/2006/relationships/worksheet" Target="/xl/worksheets/sheet3.xml" Id="R0f6e8b0d3cf749ef" /><Relationship Type="http://schemas.openxmlformats.org/officeDocument/2006/relationships/worksheet" Target="/xl/worksheets/sheet4.xml" Id="R5a87c4dde00d426f" /><Relationship Type="http://schemas.openxmlformats.org/officeDocument/2006/relationships/worksheet" Target="/xl/worksheets/sheet5.xml" Id="Rd99e93316d4e4ad6" /><Relationship Type="http://schemas.openxmlformats.org/officeDocument/2006/relationships/worksheet" Target="/xl/worksheets/sheet6.xml" Id="R269611197d504bb3" /><Relationship Type="http://schemas.openxmlformats.org/officeDocument/2006/relationships/worksheet" Target="/xl/worksheets/sheet7.xml" Id="R04c924238d4b42f3" /><Relationship Type="http://schemas.openxmlformats.org/officeDocument/2006/relationships/worksheet" Target="/xl/worksheets/sheet8.xml" Id="Rcd57126f22634077" /><Relationship Type="http://schemas.openxmlformats.org/officeDocument/2006/relationships/worksheet" Target="/xl/worksheets/sheet9.xml" Id="R9edef57be81a47a0" /><Relationship Type="http://schemas.openxmlformats.org/officeDocument/2006/relationships/worksheet" Target="/xl/worksheets/sheet10.xml" Id="R9dfa648cc8de45d6" /><Relationship Type="http://schemas.openxmlformats.org/officeDocument/2006/relationships/worksheet" Target="/xl/worksheets/sheet11.xml" Id="Re3e492a73dc144ec" /><Relationship Type="http://schemas.openxmlformats.org/officeDocument/2006/relationships/worksheet" Target="/xl/worksheets/sheet12.xml" Id="R2651f82a0f784aaa" /><Relationship Type="http://schemas.openxmlformats.org/officeDocument/2006/relationships/worksheet" Target="/xl/worksheets/sheet13.xml" Id="R8637d02fddf346d4" /><Relationship Type="http://schemas.openxmlformats.org/officeDocument/2006/relationships/worksheet" Target="/xl/worksheets/sheet14.xml" Id="R7bc6a91e57b54eab" /><Relationship Type="http://schemas.microsoft.com/office/2017/10/relationships/person" Target="/xl/persons/person.xml" Id="Rb4d5f9478fe44a1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AB5DDED9-9A6D-43B3-9A6C-FB536E0085D5}"/>
</xltc:personList>
</file>

<file path=xl/tables/table1.xml><?xml version="1.0" encoding="utf-8"?>
<x:table xmlns:x="http://schemas.openxmlformats.org/spreadsheetml/2006/main" id="1" name="GlobalConfigTable" displayName="GlobalConfigTable" ref="A5:K89" headerRowCount="1" totalsRowCount="0" totalsRowShown="0">
  <x:autoFilter ref="A5:K89"/>
  <x:tableColumns count="11">
    <x:tableColumn id="1" name="Key"/>
    <x:tableColumn id="2" name="Group"/>
    <x:tableColumn id="3" name="Description RU"/>
    <x:tableColumn id="4" name="Value"/>
    <x:tableColumn id="5" name="Data Type"/>
    <x:tableColumn id="6" name="Unit"/>
    <x:tableColumn id="7" name="Min"/>
    <x:tableColumn id="8" name="Max"/>
    <x:tableColumn id="9" name="Status"/>
    <x:tableColumn id="10" name="Notes RU"/>
    <x:tableColumn id="11" name="Valid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ghterStatsTable" displayName="FighterStatsTable" ref="A5:AA8" headerRowCount="1" totalsRowCount="0" totalsRowShown="0">
  <x:autoFilter ref="A5:AA8"/>
  <x:tableColumns count="27">
    <x:tableColumn id="1" name="Animal ID"/>
    <x:tableColumn id="2" name="Display Name RU"/>
    <x:tableColumn id="3" name="Resource ID"/>
    <x:tableColumn id="4" name="Max Health"/>
    <x:tableColumn id="5" name="Power"/>
    <x:tableColumn id="6" name="Armor"/>
    <x:tableColumn id="7" name="Precision"/>
    <x:tableColumn id="8" name="Evasion"/>
    <x:tableColumn id="9" name="Guard"/>
    <x:tableColumn id="10" name="Guard Break"/>
    <x:tableColumn id="11" name="Move Speed"/>
    <x:tableColumn id="12" name="Action Speed"/>
    <x:tableColumn id="13" name="Initiative"/>
    <x:tableColumn id="14" name="Control Power"/>
    <x:tableColumn id="15" name="Control Resistance"/>
    <x:tableColumn id="16" name="Mass"/>
    <x:tableColumn id="17" name="Max Energy"/>
    <x:tableColumn id="18" name="Energy Regen / tick"/>
    <x:tableColumn id="19" name="Collision Radius"/>
    <x:tableColumn id="20" name="Start Resource"/>
    <x:tableColumn id="21" name="Max Resource"/>
    <x:tableColumn id="22" name="Stagger Threshold"/>
    <x:tableColumn id="23" name="Base Combat Index"/>
    <x:tableColumn id="24" name="Archetype RU"/>
    <x:tableColumn id="25" name="Win Condition RU"/>
    <x:tableColumn id="26" name="Status"/>
    <x:tableColumn id="27" name="Valid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onsTable" displayName="ActionsTable" ref="A5:BF29" headerRowCount="1" totalsRowCount="0" totalsRowShown="0">
  <x:autoFilter ref="A5:BF29"/>
  <x:tableColumns count="58">
    <x:tableColumn id="1" name="Action ID"/>
    <x:tableColumn id="2" name="Animal ID"/>
    <x:tableColumn id="3" name="Display Name RU"/>
    <x:tableColumn id="4" name="Slot Type"/>
    <x:tableColumn id="5" name="Category"/>
    <x:tableColumn id="6" name="Tags"/>
    <x:tableColumn id="7" name="Base Weight"/>
    <x:tableColumn id="8" name="Preferred Range Min"/>
    <x:tableColumn id="9" name="Preferred Range Max"/>
    <x:tableColumn id="10" name="Hit Range Min"/>
    <x:tableColumn id="11" name="Hit Range Max"/>
    <x:tableColumn id="12" name="Energy Cost"/>
    <x:tableColumn id="13" name="Resource Cost"/>
    <x:tableColumn id="14" name="Base Damage / hit"/>
    <x:tableColumn id="15" name="Power Ratio FP"/>
    <x:tableColumn id="16" name="Min Damage"/>
    <x:tableColumn id="17" name="Chip Min"/>
    <x:tableColumn id="18" name="Startup Base Ticks"/>
    <x:tableColumn id="19" name="Startup Min Ticks"/>
    <x:tableColumn id="20" name="Startup Max Ticks"/>
    <x:tableColumn id="21" name="Active Ticks"/>
    <x:tableColumn id="22" name="Hit Schedule"/>
    <x:tableColumn id="23" name="Hit Count"/>
    <x:tableColumn id="24" name="Recovery Base Ticks"/>
    <x:tableColumn id="25" name="Recovery Min Ticks"/>
    <x:tableColumn id="26" name="Recovery Max Ticks"/>
    <x:tableColumn id="27" name="Cooldown Ticks"/>
    <x:tableColumn id="28" name="Action Priority"/>
    <x:tableColumn id="29" name="Clash Priority"/>
    <x:tableColumn id="30" name="Grab Priority"/>
    <x:tableColumn id="31" name="Resolution Priority"/>
    <x:tableColumn id="32" name="Interrupt Profile"/>
    <x:tableColumn id="33" name="Blockable"/>
    <x:tableColumn id="34" name="Dodgeable"/>
    <x:tableColumn id="35" name="Undodgeable"/>
    <x:tableColumn id="36" name="Wall Impact"/>
    <x:tableColumn id="37" name="Track Target"/>
    <x:tableColumn id="38" name="Block Base Chance FP"/>
    <x:tableColumn id="39" name="Block Reduction FP"/>
    <x:tableColumn id="40" name="Dodge Base Chance FP"/>
    <x:tableColumn id="41" name="Movement Mode"/>
    <x:tableColumn id="42" name="Move Distance"/>
    <x:tableColumn id="43" name="Base Stagger"/>
    <x:tableColumn id="44" name="Base Stun Ticks"/>
    <x:tableColumn id="45" name="Base Knockback"/>
    <x:tableColumn id="46" name="Knockback Min"/>
    <x:tableColumn id="47" name="Knockback Max"/>
    <x:tableColumn id="48" name="Wall Damage / Unit FP"/>
    <x:tableColumn id="49" name="Wall Damage Min"/>
    <x:tableColumn id="50" name="Wall Damage Max"/>
    <x:tableColumn id="51" name="Max Consecutive Uses"/>
    <x:tableColumn id="52" name="Opportunity Cap FP"/>
    <x:tableColumn id="53" name="Hard Opportunity Misses"/>
    <x:tableColumn id="54" name="Expected Power Term"/>
    <x:tableColumn id="55" name="Expected vs Benchmark Armor"/>
    <x:tableColumn id="56" name="Status"/>
    <x:tableColumn id="57" name="Validation"/>
    <x:tableColumn id="58" name="Notes R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ssivesTable" displayName="PassivesTable" ref="A5:W11" headerRowCount="1" totalsRowCount="0" totalsRowShown="0">
  <x:autoFilter ref="A5:W11"/>
  <x:tableColumns count="23">
    <x:tableColumn id="1" name="Passive ID"/>
    <x:tableColumn id="2" name="Animal ID"/>
    <x:tableColumn id="3" name="Display Name RU"/>
    <x:tableColumn id="4" name="Trigger"/>
    <x:tableColumn id="5" name="Conditions"/>
    <x:tableColumn id="6" name="Effect ID"/>
    <x:tableColumn id="7" name="Modifier Stat 1"/>
    <x:tableColumn id="8" name="Operation 1"/>
    <x:tableColumn id="9" name="Value 1"/>
    <x:tableColumn id="10" name="Modifier Stat 2"/>
    <x:tableColumn id="11" name="Operation 2"/>
    <x:tableColumn id="12" name="Value 2"/>
    <x:tableColumn id="13" name="Duration Ticks"/>
    <x:tableColumn id="14" name="Internal Cooldown Ticks"/>
    <x:tableColumn id="15" name="Stack Cap"/>
    <x:tableColumn id="16" name="Max Activations / Tick"/>
    <x:tableColumn id="17" name="Max Activations / Battle"/>
    <x:tableColumn id="18" name="Resource Gain"/>
    <x:tableColumn id="19" name="Weight Multiplier FP"/>
    <x:tableColumn id="20" name="Tags"/>
    <x:tableColumn id="21" name="Status"/>
    <x:tableColumn id="22" name="Validation"/>
    <x:tableColumn id="23" name="Notes RU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ffectsTable" displayName="EffectsTable" ref="A5:V15" headerRowCount="1" totalsRowCount="0" totalsRowShown="0">
  <x:autoFilter ref="A5:V15"/>
  <x:tableColumns count="22">
    <x:tableColumn id="1" name="Effect ID"/>
    <x:tableColumn id="2" name="Display Name RU"/>
    <x:tableColumn id="3" name="Duration Ticks"/>
    <x:tableColumn id="4" name="Expiry Boundary"/>
    <x:tableColumn id="5" name="Stack Group"/>
    <x:tableColumn id="6" name="Stack Policy"/>
    <x:tableColumn id="7" name="Stack Cap"/>
    <x:tableColumn id="8" name="Compare Key"/>
    <x:tableColumn id="9" name="Modifier Stat 1"/>
    <x:tableColumn id="10" name="Operation 1"/>
    <x:tableColumn id="11" name="Value 1"/>
    <x:tableColumn id="12" name="Modifier Stat 2"/>
    <x:tableColumn id="13" name="Operation 2"/>
    <x:tableColumn id="14" name="Value 2"/>
    <x:tableColumn id="15" name="Tags"/>
    <x:tableColumn id="16" name="Max Activations / Tick"/>
    <x:tableColumn id="17" name="Max Activations / Battle"/>
    <x:tableColumn id="18" name="Internal Cooldown Ticks"/>
    <x:tableColumn id="19" name="Lookup Profile"/>
    <x:tableColumn id="20" name="Status"/>
    <x:tableColumn id="21" name="Validation"/>
    <x:tableColumn id="22" name="Notes RU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acticsTable" displayName="TacticsTable" ref="A5:V9" headerRowCount="1" totalsRowCount="0" totalsRowShown="0">
  <x:autoFilter ref="A5:V9"/>
  <x:tableColumns count="22">
    <x:tableColumn id="1" name="Tactic ID"/>
    <x:tableColumn id="2" name="Display Name RU"/>
    <x:tableColumn id="3" name="Approach FP"/>
    <x:tableColumn id="4" name="Retreat FP"/>
    <x:tableColumn id="5" name="Light FP"/>
    <x:tableColumn id="6" name="Heavy FP"/>
    <x:tableColumn id="7" name="Block FP"/>
    <x:tableColumn id="8" name="Dodge FP"/>
    <x:tableColumn id="9" name="Counter FP"/>
    <x:tableColumn id="10" name="Grab FP"/>
    <x:tableColumn id="11" name="Signature FP"/>
    <x:tableColumn id="12" name="Resource Generator FP"/>
    <x:tableColumn id="13" name="Resource Spender FP"/>
    <x:tableColumn id="14" name="Target Recovery FP"/>
    <x:tableColumn id="15" name="Target Wall FP"/>
    <x:tableColumn id="16" name="Self Wall FP"/>
    <x:tableColumn id="17" name="Low HP FP"/>
    <x:tableColumn id="18" name="Perception Delay Ticks"/>
    <x:tableColumn id="19" name="Repeat Penalty FP"/>
    <x:tableColumn id="20" name="Notes RU"/>
    <x:tableColumn id="21" name="Status"/>
    <x:tableColumn id="22" name="Valida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earTable" displayName="GearTable" ref="A5:N14" headerRowCount="1" totalsRowCount="0" totalsRowShown="0">
  <x:autoFilter ref="A5:N14"/>
  <x:tableColumns count="14">
    <x:tableColumn id="1" name="Gear ID"/>
    <x:tableColumn id="2" name="Display Name RU"/>
    <x:tableColumn id="3" name="Slot"/>
    <x:tableColumn id="4" name="Stat 1"/>
    <x:tableColumn id="5" name="Operation 1"/>
    <x:tableColumn id="6" name="Value 1"/>
    <x:tableColumn id="7" name="Stat 2"/>
    <x:tableColumn id="8" name="Operation 2"/>
    <x:tableColumn id="9" name="Value 2"/>
    <x:tableColumn id="10" name="Tags"/>
    <x:tableColumn id="11" name="Normalized Value FP"/>
    <x:tableColumn id="12" name="Status"/>
    <x:tableColumn id="13" name="Validation"/>
    <x:tableColumn id="14" name="Notes RU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estBuildsTable" displayName="TestBuildsTable" ref="A5:O17" headerRowCount="1" totalsRowCount="0" totalsRowShown="0">
  <x:autoFilter ref="A5:O17"/>
  <x:tableColumns count="15">
    <x:tableColumn id="1" name="Build ID"/>
    <x:tableColumn id="2" name="Display Name RU"/>
    <x:tableColumn id="3" name="Animal ID"/>
    <x:tableColumn id="4" name="Special 1"/>
    <x:tableColumn id="5" name="Special 2"/>
    <x:tableColumn id="6" name="Passive"/>
    <x:tableColumn id="7" name="Offense Gear"/>
    <x:tableColumn id="8" name="Defense Gear"/>
    <x:tableColumn id="9" name="Utility Gear"/>
    <x:tableColumn id="10" name="Tactic ID"/>
    <x:tableColumn id="11" name="Power Band"/>
    <x:tableColumn id="12" name="Intended Matchup"/>
    <x:tableColumn id="13" name="Status"/>
    <x:tableColumn id="14" name="Validation"/>
    <x:tableColumn id="15" name="Notes RU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ExpectedMatchupsTable" displayName="ExpectedMatchupsTable" ref="A5:S14" headerRowCount="1" totalsRowCount="0" totalsRowShown="0">
  <x:autoFilter ref="A5:S14"/>
  <x:tableColumns count="19">
    <x:tableColumn id="1" name="Matchup ID"/>
    <x:tableColumn id="2" name="Animal A"/>
    <x:tableColumn id="3" name="Animal B"/>
    <x:tableColumn id="4" name="Target Win Rate A"/>
    <x:tableColumn id="5" name="Min Win Rate A"/>
    <x:tableColumn id="6" name="Max Win Rate A"/>
    <x:tableColumn id="7" name="Draw Rate Max"/>
    <x:tableColumn id="8" name="Timeout Rate Max"/>
    <x:tableColumn id="9" name="Duration Min Sec"/>
    <x:tableColumn id="10" name="Duration Max Sec"/>
    <x:tableColumn id="11" name="Signature Use Min"/>
    <x:tableColumn id="12" name="Signature Use Max"/>
    <x:tableColumn id="13" name="Expected Edge"/>
    <x:tableColumn id="14" name="Control Build A"/>
    <x:tableColumn id="15" name="Control Build B"/>
    <x:tableColumn id="16" name="Hypothesis RU"/>
    <x:tableColumn id="17" name="Risk RU"/>
    <x:tableColumn id="18" name="Status"/>
    <x:tableColumn id="19" name="Valid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BatchResultsTable" displayName="BatchResultsTable" ref="A5:AM14" headerRowCount="1" totalsRowCount="0" totalsRowShown="0">
  <x:autoFilter ref="A5:AM14"/>
  <x:tableColumns count="39">
    <x:tableColumn id="1" name="Run ID"/>
    <x:tableColumn id="2" name="Run Status"/>
    <x:tableColumn id="3" name="Config Version"/>
    <x:tableColumn id="4" name="Engine Version"/>
    <x:tableColumn id="5" name="Config Hash"/>
    <x:tableColumn id="6" name="Seed Start"/>
    <x:tableColumn id="7" name="Battle Count"/>
    <x:tableColumn id="8" name="Build A"/>
    <x:tableColumn id="9" name="Build B"/>
    <x:tableColumn id="10" name="Animal A"/>
    <x:tableColumn id="11" name="Animal B"/>
    <x:tableColumn id="12" name="Wins A"/>
    <x:tableColumn id="13" name="Wins B"/>
    <x:tableColumn id="14" name="Draws"/>
    <x:tableColumn id="15" name="Timeouts"/>
    <x:tableColumn id="16" name="Invalid"/>
    <x:tableColumn id="17" name="Win Rate A"/>
    <x:tableColumn id="18" name="Draw Rate"/>
    <x:tableColumn id="19" name="Timeout Rate"/>
    <x:tableColumn id="20" name="Avg Duration Sec"/>
    <x:tableColumn id="21" name="Median Duration Sec"/>
    <x:tableColumn id="22" name="P10 Duration Sec"/>
    <x:tableColumn id="23" name="P90 Duration Sec"/>
    <x:tableColumn id="24" name="Avg Winner HP %"/>
    <x:tableColumn id="25" name="Signature Usage A"/>
    <x:tableColumn id="26" name="Signature Usage B"/>
    <x:tableColumn id="27" name="Control Time A Sec"/>
    <x:tableColumn id="28" name="Control Time B Sec"/>
    <x:tableColumn id="29" name="Wall Impact Rate"/>
    <x:tableColumn id="30" name="Comeback Rate"/>
    <x:tableColumn id="31" name="Repeated N-gram Rate"/>
    <x:tableColumn id="32" name="Determinism Failures"/>
    <x:tableColumn id="33" name="Explainability Failures"/>
    <x:tableColumn id="34" name="Matchup ID"/>
    <x:tableColumn id="35" name="Expected Min"/>
    <x:tableColumn id="36" name="Expected Max"/>
    <x:tableColumn id="37" name="Expected Timeout Max"/>
    <x:tableColumn id="38" name="Result Status"/>
    <x:tableColumn id="39" name="Notes RU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hangeLogTable" displayName="ChangeLogTable" ref="A5:I6" headerRowCount="1" totalsRowCount="0" totalsRowShown="0">
  <x:autoFilter ref="A5:I6"/>
  <x:tableColumns count="9">
    <x:tableColumn id="1" name="Change ID"/>
    <x:tableColumn id="2" name="Version"/>
    <x:tableColumn id="3" name="Date"/>
    <x:tableColumn id="4" name="Status"/>
    <x:tableColumn id="5" name="Owner"/>
    <x:tableColumn id="6" name="Sheets"/>
    <x:tableColumn id="7" name="Decision"/>
    <x:tableColumn id="8" name="Reason"/>
    <x:tableColumn id="9" name="Related Hypothesi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JsonMapTable" displayName="JsonMapTable" ref="A5:M2099" headerRowCount="1" totalsRowCount="0" totalsRowShown="0">
  <x:autoFilter ref="A5:M2099"/>
  <x:tableColumns count="13">
    <x:tableColumn id="1" name="Sort Order"/>
    <x:tableColumn id="2" name="Namespace"/>
    <x:tableColumn id="3" name="Object ID"/>
    <x:tableColumn id="4" name="Property Path"/>
    <x:tableColumn id="5" name="Value Type"/>
    <x:tableColumn id="6" name="Live Value"/>
    <x:tableColumn id="7" name="Unit"/>
    <x:tableColumn id="8" name="Source Sheet"/>
    <x:tableColumn id="9" name="Source Cell"/>
    <x:tableColumn id="10" name="Required"/>
    <x:tableColumn id="11" name="Include Runtime"/>
    <x:tableColumn id="12" name="Validation"/>
    <x:tableColumn id="13" name="Notes RU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ValidationTable" displayName="ValidationTable" ref="A5:G166" headerRowCount="1" totalsRowCount="0" totalsRowShown="0">
  <x:autoFilter ref="A5:G166"/>
  <x:tableColumns count="7">
    <x:tableColumn id="1" name="Check ID"/>
    <x:tableColumn id="2" name="Source Sheet"/>
    <x:tableColumn id="3" name="Entity ID"/>
    <x:tableColumn id="4" name="Rule"/>
    <x:tableColumn id="5" name="Result"/>
    <x:tableColumn id="6" name="Severity"/>
    <x:tableColumn id="7" name="Detai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D10" dT="2026-07-29T18:47:20.796" personId="{AB5DDED9-9A6D-43B3-9A6C-FB536E0085D5}" id="{E1BE2FF2-41E9-273D-D914-576BE72E51A0}">
    <xltc:text>Источник: CDS v0.1, раздел 4.1. Это стартовая гипотеза; изменение требует полного determinism regression.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D7" dT="2026-07-29T18:47:20.797" personId="{AB5DDED9-9A6D-43B3-9A6C-FB536E0085D5}" id="{860C0142-AD7D-088E-603B-60487B26B9E8}">
    <xltc:text>RPS-гипотеза HYP-04. Целевые 53% — мягкое преимущество, а не скрытый видовой коэффициент.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e552fe728ee640aa" /><Relationship Type="http://schemas.openxmlformats.org/officeDocument/2006/relationships/vmlDrawing" Target="/xl/drawings/vmldrawing.vml" Id="R167870e5ffd84cd2" /><Relationship Type="http://schemas.microsoft.com/office/2017/10/relationships/threadedComment" Target="/xl/threadedcomments/threadedcomment.xml" Id="R34df724729d0446e" /><Relationship Type="http://schemas.openxmlformats.org/officeDocument/2006/relationships/table" Target="/xl/tables/table1.xml" Id="R9367a519914d43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0911770f99640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58ba9dcec404b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4e6250b95db4c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24ae0e9932046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6f355afe794d1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8278bc4bd4347e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6f4c6f31f574c5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f3e8de190090495f" /><Relationship Type="http://schemas.openxmlformats.org/officeDocument/2006/relationships/vmlDrawing" Target="/xl/drawings/vmldrawing2.vml" Id="R2eb3dd8396814efd" /><Relationship Type="http://schemas.microsoft.com/office/2017/10/relationships/threadedComment" Target="/xl/threadedcomments/threadedcomment2.xml" Id="Rddf69964f4f14fa9" /><Relationship Type="http://schemas.openxmlformats.org/officeDocument/2006/relationships/table" Target="/xl/tables/table9.xml" Id="Rc9ca4a0a2a984d0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8c226f3a5724b5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dcfb5dcc0f546d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92b95af5de92447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3b0d913a062457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3" hidden="0" customWidth="1"/>
    <x:col min="6" max="6" width="24" hidden="0" customWidth="1"/>
    <x:col min="7" max="7" width="13" hidden="0" customWidth="1"/>
    <x:col min="8" max="8" width="13" hidden="0" customWidth="1"/>
    <x:col min="9" max="9" width="13" hidden="0" customWidth="1"/>
    <x:col min="10" max="10" width="3" hidden="0" customWidth="1"/>
    <x:col min="11" max="11" width="18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36" customHeight="1">
      <x:c r="A1" s="121" t="str">
        <x:v>Combat Balance Workbook</x:v>
      </x:c>
      <x:c r="B1" s="121"/>
      <x:c r="C1" s="121"/>
      <x:c r="D1" s="121"/>
      <x:c r="E1" s="121"/>
      <x:c r="F1" s="121"/>
      <x:c r="G1" s="121"/>
      <x:c r="H1" s="121"/>
      <x:c r="I1" s="121"/>
      <x:c r="J1" s="121"/>
      <x:c r="K1" s="121"/>
      <x:c r="L1" s="121"/>
      <x:c r="M1" s="121"/>
      <x:c r="N1" s="121"/>
    </x:row>
    <x:row r="2" ht="24" customHeight="1">
      <x:c r="A2" s="123" t="str">
        <x:v>v0.1 • Draft • единый источник настраиваемых чисел для Combat Lab</x:v>
      </x:c>
      <x:c r="B2" s="123"/>
      <x:c r="C2" s="123"/>
      <x:c r="D2" s="123"/>
      <x:c r="E2" s="123"/>
      <x:c r="F2" s="123"/>
      <x:c r="G2" s="123"/>
      <x:c r="H2" s="123"/>
      <x:c r="I2" s="123"/>
      <x:c r="J2" s="123"/>
      <x:c r="K2" s="123"/>
      <x:c r="L2" s="123"/>
      <x:c r="M2" s="123"/>
      <x:c r="N2" s="123"/>
    </x:row>
    <x:row r="4">
      <x:c r="A4" s="137" t="str">
        <x:v>Паспорт документа</x:v>
      </x:c>
      <x:c r="B4" s="137"/>
      <x:c r="C4" s="137"/>
      <x:c r="D4" s="137"/>
      <x:c r="F4" s="125" t="str">
        <x:v>Контроль качества</x:v>
      </x:c>
      <x:c r="G4" s="125"/>
      <x:c r="H4" s="125"/>
      <x:c r="I4" s="125"/>
      <x:c r="K4" s="125" t="str">
        <x:v>Профиль бойцов</x:v>
      </x:c>
      <x:c r="L4" s="125"/>
      <x:c r="M4" s="125"/>
      <x:c r="N4" s="125"/>
    </x:row>
    <x:row r="5">
      <x:c r="A5" s="138" t="str">
        <x:v>Поле</x:v>
      </x:c>
      <x:c r="B5" s="138" t="str">
        <x:v>Значение</x:v>
      </x:c>
      <x:c r="C5" s="138" t="str">
        <x:v>Статус</x:v>
      </x:c>
      <x:c r="D5" s="138" t="str">
        <x:v>Примечание</x:v>
      </x:c>
      <x:c r="F5" s="129" t="str">
        <x:v>Метрика</x:v>
      </x:c>
      <x:c r="G5" s="129" t="str">
        <x:v>Текущее</x:v>
      </x:c>
      <x:c r="H5" s="129" t="str">
        <x:v>Требование</x:v>
      </x:c>
      <x:c r="I5" s="129" t="str">
        <x:v>Статус</x:v>
      </x:c>
      <x:c r="K5" s="129" t="str">
        <x:v>Параметр</x:v>
      </x:c>
      <x:c r="L5" s="129" t="str">
        <x:v>Медведь</x:v>
      </x:c>
      <x:c r="M5" s="129" t="str">
        <x:v>Кенгуру</x:v>
      </x:c>
      <x:c r="N5" s="129" t="str">
        <x:v>Горилла</x:v>
      </x:c>
    </x:row>
    <x:row r="6">
      <x:c r="A6" s="139" t="str">
        <x:v>Документ</x:v>
      </x:c>
      <x:c r="B6" s="140" t="str">
        <x:v>Combat Balance Workbook</x:v>
      </x:c>
      <x:c r="C6" s="140" t="str">
        <x:v>Draft</x:v>
      </x:c>
      <x:c r="D6" s="141" t="str">
        <x:v>Числовое приложение к CDS v0.1</x:v>
      </x:c>
      <x:c r="F6" s="130" t="str">
        <x:v>Животные</x:v>
      </x:c>
      <x:c r="G6" s="147" t="n">
        <x:f>COUNTA('Fighter Stats'!$A$6:$A$8)</x:f>
        <x:v>3</x:v>
      </x:c>
      <x:c r="H6" s="131" t="n">
        <x:v>3</x:v>
      </x:c>
      <x:c r="I6" s="147" t="str">
        <x:f>IF(G6=H6,"OK","ERROR")</x:f>
        <x:v>OK</x:v>
      </x:c>
      <x:c r="K6" s="130" t="str">
        <x:v>Health</x:v>
      </x:c>
      <x:c r="L6" s="147" t="n">
        <x:f>'Fighter Stats'!D6</x:f>
        <x:v>1650</x:v>
      </x:c>
      <x:c r="M6" s="147" t="n">
        <x:f>'Fighter Stats'!D7</x:f>
        <x:v>1150</x:v>
      </x:c>
      <x:c r="N6" s="147" t="n">
        <x:f>'Fighter Stats'!D8</x:f>
        <x:v>1450</x:v>
      </x:c>
    </x:row>
    <x:row r="7">
      <x:c r="A7" s="139" t="str">
        <x:v>Версия</x:v>
      </x:c>
      <x:c r="B7" s="140" t="str">
        <x:v>v0.1</x:v>
      </x:c>
      <x:c r="C7" s="140" t="str">
        <x:v>Hypothesis</x:v>
      </x:c>
      <x:c r="D7" s="141" t="str">
        <x:v>До пакетных симуляций</x:v>
      </x:c>
      <x:c r="F7" s="130" t="str">
        <x:v>Действия</x:v>
      </x:c>
      <x:c r="G7" s="147" t="n">
        <x:f>COUNTA('Actions'!$A$6:$A$29)</x:f>
        <x:v>24</x:v>
      </x:c>
      <x:c r="H7" s="131" t="n">
        <x:v>24</x:v>
      </x:c>
      <x:c r="I7" s="147" t="str">
        <x:f>IF(G7=H7,"OK","ERROR")</x:f>
        <x:v>OK</x:v>
      </x:c>
      <x:c r="K7" s="130" t="str">
        <x:v>Power</x:v>
      </x:c>
      <x:c r="L7" s="147" t="n">
        <x:f>'Fighter Stats'!E6</x:f>
        <x:v>130</x:v>
      </x:c>
      <x:c r="M7" s="147" t="n">
        <x:f>'Fighter Stats'!E7</x:f>
        <x:v>100</x:v>
      </x:c>
      <x:c r="N7" s="147" t="n">
        <x:f>'Fighter Stats'!E8</x:f>
        <x:v>110</x:v>
      </x:c>
    </x:row>
    <x:row r="8">
      <x:c r="A8" s="139" t="str">
        <x:v>Обновлено</x:v>
      </x:c>
      <x:c r="B8" s="142" t="n">
        <x:v>46232</x:v>
      </x:c>
      <x:c r="C8" s="140" t="str">
        <x:v>Current</x:v>
      </x:c>
      <x:c r="D8" s="141" t="str">
        <x:v>Europe/Warsaw</x:v>
      </x:c>
      <x:c r="F8" s="130" t="str">
        <x:v>Пассивы</x:v>
      </x:c>
      <x:c r="G8" s="147" t="n">
        <x:f>COUNTA('Passives'!$A$6:$A$11)</x:f>
        <x:v>6</x:v>
      </x:c>
      <x:c r="H8" s="131" t="n">
        <x:v>6</x:v>
      </x:c>
      <x:c r="I8" s="147" t="str">
        <x:f>IF(G8=H8,"OK","ERROR")</x:f>
        <x:v>OK</x:v>
      </x:c>
      <x:c r="K8" s="130" t="str">
        <x:v>Armor</x:v>
      </x:c>
      <x:c r="L8" s="147" t="n">
        <x:f>'Fighter Stats'!F6</x:f>
        <x:v>75</x:v>
      </x:c>
      <x:c r="M8" s="147" t="n">
        <x:f>'Fighter Stats'!F7</x:f>
        <x:v>40</x:v>
      </x:c>
      <x:c r="N8" s="147" t="n">
        <x:f>'Fighter Stats'!F8</x:f>
        <x:v>95</x:v>
      </x:c>
    </x:row>
    <x:row r="9">
      <x:c r="A9" s="139" t="str">
        <x:v>Владелец</x:v>
      </x:c>
      <x:c r="B9" s="140" t="str">
        <x:v>Game Designer / Founder / Product Owner</x:v>
      </x:c>
      <x:c r="C9" s="140" t="str">
        <x:v>Assigned</x:v>
      </x:c>
      <x:c r="D9" s="141" t="str">
        <x:v>Один владелец решения</x:v>
      </x:c>
      <x:c r="F9" s="130" t="str">
        <x:v>Эффекты</x:v>
      </x:c>
      <x:c r="G9" s="147" t="n">
        <x:f>COUNTA('Effects'!$A$6:$A$15)</x:f>
        <x:v>10</x:v>
      </x:c>
      <x:c r="H9" s="131" t="n">
        <x:v>10</x:v>
      </x:c>
      <x:c r="I9" s="147" t="str">
        <x:f>IF(G9=H9,"OK","ERROR")</x:f>
        <x:v>OK</x:v>
      </x:c>
      <x:c r="K9" s="134" t="str">
        <x:v>Move Speed</x:v>
      </x:c>
      <x:c r="L9" s="148" t="n">
        <x:f>'Fighter Stats'!K6</x:f>
        <x:v>70</x:v>
      </x:c>
      <x:c r="M9" s="148" t="n">
        <x:f>'Fighter Stats'!K7</x:f>
        <x:v>135</x:v>
      </x:c>
      <x:c r="N9" s="148" t="n">
        <x:f>'Fighter Stats'!K8</x:f>
        <x:v>75</x:v>
      </x:c>
    </x:row>
    <x:row r="10">
      <x:c r="A10" s="139" t="str">
        <x:v>Источник правил</x:v>
      </x:c>
      <x:c r="B10" s="140" t="str">
        <x:v>Combat Design Specification v0.1</x:v>
      </x:c>
      <x:c r="C10" s="140" t="str">
        <x:v>Linked</x:v>
      </x:c>
      <x:c r="D10" s="141" t="str">
        <x:v>Формулы и семантика — в CDS</x:v>
      </x:c>
      <x:c r="F10" s="130" t="str">
        <x:v>Тактики</x:v>
      </x:c>
      <x:c r="G10" s="147" t="n">
        <x:f>COUNTA('Tactics'!$A$6:$A$9)</x:f>
        <x:v>4</x:v>
      </x:c>
      <x:c r="H10" s="131" t="n">
        <x:v>4</x:v>
      </x:c>
      <x:c r="I10" s="147" t="str">
        <x:f>IF(G10=H10,"OK","ERROR")</x:f>
        <x:v>OK</x:v>
      </x:c>
    </x:row>
    <x:row r="11" ht="24" customHeight="1">
      <x:c r="A11" s="139" t="str">
        <x:v>Целевой бой</x:v>
      </x:c>
      <x:c r="B11" s="140" t="str">
        <x:v>35–60 секунд</x:v>
      </x:c>
      <x:c r="C11" s="140" t="str">
        <x:v>Target</x:v>
      </x:c>
      <x:c r="D11" s="141" t="str">
        <x:v>Timeout менее 2%</x:v>
      </x:c>
      <x:c r="F11" s="130" t="str">
        <x:v>Экипировка</x:v>
      </x:c>
      <x:c r="G11" s="147" t="n">
        <x:f>COUNTA('Gear'!$A$6:$A$14)</x:f>
        <x:v>9</x:v>
      </x:c>
      <x:c r="H11" s="131" t="n">
        <x:v>9</x:v>
      </x:c>
      <x:c r="I11" s="147" t="str">
        <x:f>IF(G11=H11,"OK","ERROR")</x:f>
        <x:v>OK</x:v>
      </x:c>
      <x:c r="K11" s="161" t="str">
        <x:v>JSON map SHA-256: 9b5c4aae4551d2f61ea3d02d4121898e09c0ad333ca4714b112a4124f1e6aebf</x:v>
      </x:c>
      <x:c r="L11" s="161"/>
      <x:c r="M11" s="161"/>
      <x:c r="N11" s="161"/>
    </x:row>
    <x:row r="12">
      <x:c r="A12" s="139" t="str">
        <x:v>JSON schema</x:v>
      </x:c>
      <x:c r="B12" s="140" t="str">
        <x:v>combat.balance/0.1</x:v>
      </x:c>
      <x:c r="C12" s="140" t="str">
        <x:v>Mapped</x:v>
      </x:c>
      <x:c r="D12" s="141" t="str">
        <x:v>Лист JSON Map</x:v>
      </x:c>
      <x:c r="F12" s="130" t="str">
        <x:v>Тестовые сборки</x:v>
      </x:c>
      <x:c r="G12" s="147" t="n">
        <x:f>COUNTA('Test Builds'!$A$6:$A$17)</x:f>
        <x:v>12</x:v>
      </x:c>
      <x:c r="H12" s="131" t="n">
        <x:v>12</x:v>
      </x:c>
      <x:c r="I12" s="147" t="str">
        <x:f>IF(G12=H12,"OK","ERROR")</x:f>
        <x:v>OK</x:v>
      </x:c>
    </x:row>
    <x:row r="13">
      <x:c r="A13" s="143" t="str">
        <x:v>Числа в коде/CDS</x:v>
      </x:c>
      <x:c r="B13" s="144" t="str">
        <x:v>Запрещены</x:v>
      </x:c>
      <x:c r="C13" s="144" t="str">
        <x:v>Fixed</x:v>
      </x:c>
      <x:c r="D13" s="145" t="str">
        <x:v>Только технические инварианты формата</x:v>
      </x:c>
      <x:c r="F13" s="130" t="str">
        <x:v>Matchup rows</x:v>
      </x:c>
      <x:c r="G13" s="147" t="n">
        <x:f>COUNTA('Expected Matchups'!$A$6:$A$14)</x:f>
        <x:v>9</x:v>
      </x:c>
      <x:c r="H13" s="131" t="n">
        <x:v>9</x:v>
      </x:c>
      <x:c r="I13" s="147" t="str">
        <x:f>IF(G13=H13,"OK","ERROR")</x:f>
        <x:v>OK</x:v>
      </x:c>
    </x:row>
    <x:row r="14">
      <x:c r="F14" s="134" t="str">
        <x:v>Ошибки валидации</x:v>
      </x:c>
      <x:c r="G14" s="148" t="n">
        <x:f>COUNTIF('Validation'!$E$6:$E$166,"ERROR")</x:f>
        <x:v>0</x:v>
      </x:c>
      <x:c r="H14" s="135" t="n">
        <x:v>0</x:v>
      </x:c>
      <x:c r="I14" s="148" t="str">
        <x:f>IF(G14=H14,"OK","ERROR")</x:f>
        <x:v>OK</x:v>
      </x:c>
    </x:row>
    <x:row r="16">
      <x:c r="A16" s="125" t="str">
        <x:v>Как работать с книгой</x:v>
      </x:c>
      <x:c r="B16" s="125"/>
      <x:c r="C16" s="125"/>
      <x:c r="D16" s="125"/>
      <x:c r="E16" s="125"/>
      <x:c r="F16" s="125"/>
      <x:c r="G16" s="125"/>
      <x:c r="H16" s="125"/>
      <x:c r="I16" s="125"/>
      <x:c r="J16" s="125"/>
      <x:c r="K16" s="125"/>
      <x:c r="L16" s="125"/>
      <x:c r="M16" s="125"/>
      <x:c r="N16" s="125"/>
    </x:row>
    <x:row r="17">
      <x:c r="A17" s="138" t="str">
        <x:v>Шаг</x:v>
      </x:c>
      <x:c r="B17" s="138" t="str">
        <x:v>Действие</x:v>
      </x:c>
      <x:c r="C17" s="138" t="str">
        <x:v>Результат</x:v>
      </x:c>
      <x:c r="D17" s="138" t="str">
        <x:v>Блокирующая проверка</x:v>
      </x:c>
      <x:c r="E17" s="138" t="str"/>
      <x:c r="F17" s="138" t="str"/>
      <x:c r="G17" s="138" t="str"/>
      <x:c r="H17" s="138" t="str"/>
      <x:c r="I17" s="138" t="str"/>
      <x:c r="J17" s="138" t="str"/>
      <x:c r="K17" s="138" t="str"/>
      <x:c r="L17" s="138" t="str"/>
      <x:c r="M17" s="138" t="str"/>
      <x:c r="N17" s="138" t="str"/>
    </x:row>
    <x:row r="18" ht="34" customHeight="1">
      <x:c r="A18" s="139" t="str">
        <x:v>1</x:v>
      </x:c>
      <x:c r="B18" s="140" t="str">
        <x:v>Менять только жёлтые входные клетки на профильном листе.</x:v>
      </x:c>
      <x:c r="C18" s="140" t="str">
        <x:v>Validation пересчитывается.</x:v>
      </x:c>
      <x:c r="D18" s="140" t="str">
        <x:v>Нет ERROR.</x:v>
      </x:c>
      <x:c r="E18" s="140" t="str"/>
      <x:c r="F18" s="140" t="str"/>
      <x:c r="G18" s="154" t="str"/>
      <x:c r="H18" s="154" t="str"/>
      <x:c r="I18" s="154" t="str"/>
      <x:c r="J18" s="154" t="str"/>
      <x:c r="K18" s="141" t="str"/>
      <x:c r="L18" s="141" t="str"/>
      <x:c r="M18" s="141" t="str"/>
      <x:c r="N18" s="141" t="str"/>
    </x:row>
    <x:row r="19" ht="34" customHeight="1">
      <x:c r="A19" s="139" t="str">
        <x:v>2</x:v>
      </x:c>
      <x:c r="B19" s="140" t="str">
        <x:v>Добавить запись в Change Log и повысить ConfigVersion.</x:v>
      </x:c>
      <x:c r="C19" s="140" t="str">
        <x:v>Изменение трассируется.</x:v>
      </x:c>
      <x:c r="D19" s="140" t="str">
        <x:v>Версия уникальна.</x:v>
      </x:c>
      <x:c r="E19" s="140" t="str"/>
      <x:c r="F19" s="140" t="str"/>
      <x:c r="G19" s="154" t="str"/>
      <x:c r="H19" s="154" t="str"/>
      <x:c r="I19" s="154" t="str"/>
      <x:c r="J19" s="154" t="str"/>
      <x:c r="K19" s="141" t="str"/>
      <x:c r="L19" s="141" t="str"/>
      <x:c r="M19" s="141" t="str"/>
      <x:c r="N19" s="141" t="str"/>
    </x:row>
    <x:row r="20" ht="34" customHeight="1">
      <x:c r="A20" s="139" t="str">
        <x:v>3</x:v>
      </x:c>
      <x:c r="B20" s="140" t="str">
        <x:v>Экспортировать JSON по живой карте JSON Map.</x:v>
      </x:c>
      <x:c r="C20" s="140" t="str">
        <x:v>Сортированный canonical JSON.</x:v>
      </x:c>
      <x:c r="D20" s="140" t="str">
        <x:v>ValueType и Required соблюдены.</x:v>
      </x:c>
      <x:c r="E20" s="140" t="str"/>
      <x:c r="F20" s="140" t="str"/>
      <x:c r="G20" s="154" t="str"/>
      <x:c r="H20" s="154" t="str"/>
      <x:c r="I20" s="154" t="str"/>
      <x:c r="J20" s="154" t="str"/>
      <x:c r="K20" s="141" t="str"/>
      <x:c r="L20" s="141" t="str"/>
      <x:c r="M20" s="141" t="str"/>
      <x:c r="N20" s="141" t="str"/>
    </x:row>
    <x:row r="21" ht="34" customHeight="1">
      <x:c r="A21" s="139" t="str">
        <x:v>4</x:v>
      </x:c>
      <x:c r="B21" s="140" t="str">
        <x:v>Запустить seed sweep и вставить агрегаты в Batch Results.</x:v>
      </x:c>
      <x:c r="C21" s="140" t="str">
        <x:v>Получены статистические распределения.</x:v>
      </x:c>
      <x:c r="D21" s="140" t="str">
        <x:v>DeterminismFailures = 0.</x:v>
      </x:c>
      <x:c r="E21" s="140" t="str"/>
      <x:c r="F21" s="140" t="str"/>
      <x:c r="G21" s="154" t="str"/>
      <x:c r="H21" s="154" t="str"/>
      <x:c r="I21" s="154" t="str"/>
      <x:c r="J21" s="154" t="str"/>
      <x:c r="K21" s="141" t="str"/>
      <x:c r="L21" s="141" t="str"/>
      <x:c r="M21" s="141" t="str"/>
      <x:c r="N21" s="141" t="str"/>
    </x:row>
    <x:row r="22" ht="34" customHeight="1">
      <x:c r="A22" s="143" t="str">
        <x:v>5</x:v>
      </x:c>
      <x:c r="B22" s="144" t="str">
        <x:v>Сравнить с Expected Matchups и принять balance pass.</x:v>
      </x:c>
      <x:c r="C22" s="144" t="str">
        <x:v>PASS или осознанное изменение гипотезы.</x:v>
      </x:c>
      <x:c r="D22" s="144" t="str">
        <x:v>Timeout &lt; 2%; длительность 35–60 s.</x:v>
      </x:c>
      <x:c r="E22" s="144" t="str"/>
      <x:c r="F22" s="144" t="str"/>
      <x:c r="G22" s="155" t="str"/>
      <x:c r="H22" s="155" t="str"/>
      <x:c r="I22" s="155" t="str"/>
      <x:c r="J22" s="155" t="str"/>
      <x:c r="K22" s="145" t="str"/>
      <x:c r="L22" s="145" t="str"/>
      <x:c r="M22" s="145" t="str"/>
      <x:c r="N22" s="145" t="str"/>
    </x:row>
    <x:row r="24">
      <x:c r="A24" s="125" t="str">
        <x:v>Легенда и ключевые ограничения</x:v>
      </x:c>
      <x:c r="B24" s="125"/>
      <x:c r="C24" s="125"/>
      <x:c r="D24" s="125"/>
      <x:c r="E24" s="125"/>
      <x:c r="F24" s="125"/>
      <x:c r="G24" s="125"/>
      <x:c r="H24" s="125"/>
      <x:c r="I24" s="125"/>
      <x:c r="J24" s="125"/>
      <x:c r="K24" s="125"/>
      <x:c r="L24" s="125"/>
      <x:c r="M24" s="125"/>
      <x:c r="N24" s="125"/>
    </x:row>
    <x:row r="25">
      <x:c r="A25" s="129" t="str">
        <x:v>Цвет</x:v>
      </x:c>
      <x:c r="B25" s="129" t="str">
        <x:v>Смысл</x:v>
      </x:c>
      <x:c r="C25" s="129" t="str">
        <x:v>Ограничение</x:v>
      </x:c>
      <x:c r="D25" s="129" t="str"/>
      <x:c r="E25" s="129" t="str"/>
      <x:c r="F25" s="129" t="str"/>
      <x:c r="G25" s="129" t="str"/>
      <x:c r="H25" s="129" t="str"/>
      <x:c r="I25" s="129" t="str"/>
      <x:c r="J25" s="129" t="str"/>
      <x:c r="K25" s="129" t="str"/>
      <x:c r="L25" s="129" t="str"/>
      <x:c r="M25" s="129" t="str"/>
      <x:c r="N25" s="129" t="str"/>
    </x:row>
    <x:row r="26">
      <x:c r="A26" s="131" t="str">
        <x:v>Жёлтый</x:v>
      </x:c>
      <x:c r="B26" s="158" t="str">
        <x:v>Настраиваемый input</x:v>
      </x:c>
      <x:c r="C26" s="158" t="str">
        <x:v>Единственное место изменения числа.</x:v>
      </x:c>
      <x:c r="D26" s="158" t="str"/>
      <x:c r="E26" s="158" t="str"/>
      <x:c r="F26" s="158" t="str"/>
      <x:c r="G26" s="158" t="str"/>
      <x:c r="H26" s="158" t="str"/>
      <x:c r="I26" s="158" t="str"/>
      <x:c r="J26" s="158" t="str"/>
      <x:c r="K26" s="158" t="str"/>
      <x:c r="L26" s="158" t="str"/>
      <x:c r="M26" s="158" t="str"/>
      <x:c r="N26" s="158" t="str"/>
    </x:row>
    <x:row r="27">
      <x:c r="A27" s="130" t="str">
        <x:v>Голубой</x:v>
      </x:c>
      <x:c r="B27" s="158" t="str">
        <x:v>Stable ID / ключ</x:v>
      </x:c>
      <x:c r="C27" s="158" t="str">
        <x:v>Семантика ID не меняется без новой схемы.</x:v>
      </x:c>
      <x:c r="D27" s="158" t="str"/>
      <x:c r="E27" s="158" t="str"/>
      <x:c r="F27" s="158" t="str"/>
      <x:c r="G27" s="158" t="str"/>
      <x:c r="H27" s="158" t="str"/>
      <x:c r="I27" s="158" t="str"/>
      <x:c r="J27" s="158" t="str"/>
      <x:c r="K27" s="158" t="str"/>
      <x:c r="L27" s="158" t="str"/>
      <x:c r="M27" s="158" t="str"/>
      <x:c r="N27" s="158" t="str"/>
    </x:row>
    <x:row r="28">
      <x:c r="A28" s="147" t="str">
        <x:v>Зелёный</x:v>
      </x:c>
      <x:c r="B28" s="158" t="str">
        <x:v>Формула / проверка</x:v>
      </x:c>
      <x:c r="C28" s="158" t="str">
        <x:v>Не заменять статическим значением.</x:v>
      </x:c>
      <x:c r="D28" s="158" t="str"/>
      <x:c r="E28" s="158" t="str"/>
      <x:c r="F28" s="158" t="str"/>
      <x:c r="G28" s="158" t="str"/>
      <x:c r="H28" s="158" t="str"/>
      <x:c r="I28" s="158" t="str"/>
      <x:c r="J28" s="158" t="str"/>
      <x:c r="K28" s="158" t="str"/>
      <x:c r="L28" s="158" t="str"/>
      <x:c r="M28" s="158" t="str"/>
      <x:c r="N28" s="158" t="str"/>
    </x:row>
    <x:row r="29">
      <x:c r="A29" s="159" t="str">
        <x:v>Красный</x:v>
      </x:c>
      <x:c r="B29" s="160" t="str">
        <x:v>Ошибка</x:v>
      </x:c>
      <x:c r="C29" s="160" t="str">
        <x:v>JSON export и batch approval запрещены.</x:v>
      </x:c>
      <x:c r="D29" s="160" t="str"/>
      <x:c r="E29" s="160" t="str"/>
      <x:c r="F29" s="160" t="str"/>
      <x:c r="G29" s="160" t="str"/>
      <x:c r="H29" s="160" t="str"/>
      <x:c r="I29" s="160" t="str"/>
      <x:c r="J29" s="160" t="str"/>
      <x:c r="K29" s="160" t="str"/>
      <x:c r="L29" s="160" t="str"/>
      <x:c r="M29" s="160" t="str"/>
      <x:c r="N29" s="160" t="str"/>
    </x:row>
  </x:sheetData>
  <x:mergeCells>
    <x:mergeCell ref="A1:N1"/>
    <x:mergeCell ref="A2:N2"/>
    <x:mergeCell ref="A4:D4"/>
    <x:mergeCell ref="F4:I4"/>
    <x:mergeCell ref="K4:N4"/>
    <x:mergeCell ref="A16:N16"/>
    <x:mergeCell ref="B17:F17"/>
    <x:mergeCell ref="G17:J17"/>
    <x:mergeCell ref="K17:N17"/>
    <x:mergeCell ref="B18:F18"/>
    <x:mergeCell ref="G18:J18"/>
    <x:mergeCell ref="K18:N18"/>
    <x:mergeCell ref="B19:F19"/>
    <x:mergeCell ref="G19:J19"/>
    <x:mergeCell ref="K19:N19"/>
    <x:mergeCell ref="B20:F20"/>
    <x:mergeCell ref="G20:J20"/>
    <x:mergeCell ref="K20:N20"/>
    <x:mergeCell ref="B21:F21"/>
    <x:mergeCell ref="G21:J21"/>
    <x:mergeCell ref="K21:N21"/>
    <x:mergeCell ref="B22:F22"/>
    <x:mergeCell ref="G22:J22"/>
    <x:mergeCell ref="K22:N22"/>
    <x:mergeCell ref="A24:N24"/>
    <x:mergeCell ref="B25:E25"/>
    <x:mergeCell ref="F25:N25"/>
    <x:mergeCell ref="B26:E26"/>
    <x:mergeCell ref="F26:N26"/>
    <x:mergeCell ref="B27:E27"/>
    <x:mergeCell ref="F27:N27"/>
    <x:mergeCell ref="B28:E28"/>
    <x:mergeCell ref="F28:N28"/>
    <x:mergeCell ref="B29:E29"/>
    <x:mergeCell ref="F29:N29"/>
    <x:mergeCell ref="K11:N11"/>
  </x:mergeCells>
  <x:conditionalFormatting sqref="I6:I14">
    <x:cfRule type="containsText" dxfId="60" priority="1" operator="containsText" text="ERROR"/>
    <x:cfRule type="containsText" dxfId="61" priority="2" operator="containsText" text="OK"/>
    <x:cfRule type="containsText" dxfId="62" priority="3" operator="containsText" text="PASS"/>
    <x:cfRule type="containsText" dxfId="63" priority="4" operator="containsText" text="REVIEW"/>
    <x:cfRule type="containsText" dxfId="64" priority="5" operator="containsText" text="PENDING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2" hidden="0" customWidth="1"/>
    <x:col min="4" max="4" width="16" hidden="0" customWidth="1"/>
    <x:col min="5" max="5" width="12" hidden="0" customWidth="1"/>
    <x:col min="6" max="6" width="16" hidden="0" customWidth="1"/>
    <x:col min="7" max="7" width="12" hidden="0" customWidth="1"/>
    <x:col min="8" max="8" width="12" hidden="0" customWidth="1"/>
    <x:col min="9" max="9" width="13" hidden="0" customWidth="1"/>
    <x:col min="10" max="10" width="46" hidden="0" customWidth="1"/>
    <x:col min="11" max="11" width="12" hidden="0" customWidth="1"/>
  </x:cols>
  <x:sheetData>
    <x:row r="1" ht="30" customHeight="1">
      <x:c r="A1" s="3" t="str">
        <x:v>Global Config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2" customHeight="1">
      <x:c r="A2" s="6" t="str">
        <x:v>Глобальные коэффициенты, пределы, тайминги и ресурсные профили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3" ht="32" customHeight="1">
      <x:c r="A3" s="10" t="str">
        <x:v>Жёлтые клетки — настраиваемые данные. Зелёные — вычисляемая проверка диапазона. Любое изменение требует новой ConfigVersion и записи в Change Log.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</x:row>
    <x:row r="5" ht="44" customHeight="1">
      <x:c r="A5" s="21" t="str">
        <x:v>Key</x:v>
      </x:c>
      <x:c r="B5" s="22" t="str">
        <x:v>Group</x:v>
      </x:c>
      <x:c r="C5" s="22" t="str">
        <x:v>Description RU</x:v>
      </x:c>
      <x:c r="D5" s="22" t="str">
        <x:v>Value</x:v>
      </x:c>
      <x:c r="E5" s="22" t="str">
        <x:v>Data Type</x:v>
      </x:c>
      <x:c r="F5" s="22" t="str">
        <x:v>Unit</x:v>
      </x:c>
      <x:c r="G5" s="22" t="str">
        <x:v>Min</x:v>
      </x:c>
      <x:c r="H5" s="22" t="str">
        <x:v>Max</x:v>
      </x:c>
      <x:c r="I5" s="22" t="str">
        <x:v>Status</x:v>
      </x:c>
      <x:c r="J5" s="22" t="str">
        <x:v>Notes RU</x:v>
      </x:c>
      <x:c r="K5" s="23" t="str">
        <x:v>Validation</x:v>
      </x:c>
    </x:row>
    <x:row r="6" ht="36" customHeight="1">
      <x:c r="A6" s="34" t="str">
        <x:v>global.sim.schema_version</x:v>
      </x:c>
      <x:c r="B6" s="37" t="str">
        <x:v>Simulation</x:v>
      </x:c>
      <x:c r="C6" s="43" t="str">
        <x:v>Версия схемы баланса</x:v>
      </x:c>
      <x:c r="D6" s="49" t="str">
        <x:v>combat.balance/0.1</x:v>
      </x:c>
      <x:c r="E6" s="37" t="str">
        <x:v>string</x:v>
      </x:c>
      <x:c r="F6" s="37" t="str">
        <x:v>id</x:v>
      </x:c>
      <x:c r="G6" s="49"/>
      <x:c r="H6" s="49"/>
      <x:c r="I6" s="37" t="str">
        <x:v>Fixed</x:v>
      </x:c>
      <x:c r="J6" s="43" t="str">
        <x:v>Менять только вместе со схемой JSON.</x:v>
      </x:c>
      <x:c r="K6" s="55" t="str">
        <x:f>IF(OR(E6="string",E6="bool",AND(D6&gt;=G6,D6&lt;=H6)),"OK","ERROR")</x:f>
        <x:v>OK</x:v>
      </x:c>
    </x:row>
    <x:row r="7" ht="36" customHeight="1">
      <x:c r="A7" s="35" t="str">
        <x:v>global.sim.config_version</x:v>
      </x:c>
      <x:c r="B7" s="38" t="str">
        <x:v>Simulation</x:v>
      </x:c>
      <x:c r="C7" s="44" t="str">
        <x:v>Версия набора параметров</x:v>
      </x:c>
      <x:c r="D7" s="50" t="str">
        <x:v>v0.1</x:v>
      </x:c>
      <x:c r="E7" s="38" t="str">
        <x:v>string</x:v>
      </x:c>
      <x:c r="F7" s="38" t="str">
        <x:v>id</x:v>
      </x:c>
      <x:c r="G7" s="50"/>
      <x:c r="H7" s="50"/>
      <x:c r="I7" s="38" t="str">
        <x:v>Hypothesis</x:v>
      </x:c>
      <x:c r="J7" s="44" t="str">
        <x:v>Повышается при любом утверждённом balance pass.</x:v>
      </x:c>
      <x:c r="K7" s="56" t="str">
        <x:f>IF(OR(E7="string",E7="bool",AND(D7&gt;=G7,D7&lt;=H7)),"OK","ERROR")</x:f>
        <x:v>OK</x:v>
      </x:c>
    </x:row>
    <x:row r="8" ht="36" customHeight="1">
      <x:c r="A8" s="35" t="str">
        <x:v>global.sim.rng_version</x:v>
      </x:c>
      <x:c r="B8" s="38" t="str">
        <x:v>Simulation</x:v>
      </x:c>
      <x:c r="C8" s="44" t="str">
        <x:v>Версия алгоритма RNG</x:v>
      </x:c>
      <x:c r="D8" s="50" t="str">
        <x:v>pcg32/1</x:v>
      </x:c>
      <x:c r="E8" s="38" t="str">
        <x:v>string</x:v>
      </x:c>
      <x:c r="F8" s="38" t="str">
        <x:v>id</x:v>
      </x:c>
      <x:c r="G8" s="50"/>
      <x:c r="H8" s="50"/>
      <x:c r="I8" s="38" t="str">
        <x:v>Hypothesis</x:v>
      </x:c>
      <x:c r="J8" s="44" t="str">
        <x:v>Финально фиксируется в Combat Lab Technical Design.</x:v>
      </x:c>
      <x:c r="K8" s="56" t="str">
        <x:f>IF(OR(E8="string",E8="bool",AND(D8&gt;=G8,D8&lt;=H8)),"OK","ERROR")</x:f>
        <x:v>OK</x:v>
      </x:c>
    </x:row>
    <x:row r="9" ht="36" customHeight="1">
      <x:c r="A9" s="35" t="str">
        <x:v>global.sim.ordering_version</x:v>
      </x:c>
      <x:c r="B9" s="38" t="str">
        <x:v>Simulation</x:v>
      </x:c>
      <x:c r="C9" s="44" t="str">
        <x:v>Версия порядка тика</x:v>
      </x:c>
      <x:c r="D9" s="50" t="str">
        <x:v>tick-pipeline/1</x:v>
      </x:c>
      <x:c r="E9" s="38" t="str">
        <x:v>string</x:v>
      </x:c>
      <x:c r="F9" s="38" t="str">
        <x:v>id</x:v>
      </x:c>
      <x:c r="G9" s="50"/>
      <x:c r="H9" s="50"/>
      <x:c r="I9" s="38" t="str">
        <x:v>Fixed</x:v>
      </x:c>
      <x:c r="J9" s="44" t="str">
        <x:v>Соответствует CDS v0.1, раздел 4.2.</x:v>
      </x:c>
      <x:c r="K9" s="56" t="str">
        <x:f>IF(OR(E9="string",E9="bool",AND(D9&gt;=G9,D9&lt;=H9)),"OK","ERROR")</x:f>
        <x:v>OK</x:v>
      </x:c>
    </x:row>
    <x:row r="10" ht="36" customHeight="1">
      <x:c r="A10" s="35" t="str">
        <x:v>global.sim.tick_ms</x:v>
      </x:c>
      <x:c r="B10" s="38" t="str">
        <x:v>Simulation</x:v>
      </x:c>
      <x:c r="C10" s="44" t="str">
        <x:v>Длительность одного тика</x:v>
      </x:c>
      <x:c r="D10" s="50" t="n">
        <x:v>100</x:v>
      </x:c>
      <x:c r="E10" s="38" t="str">
        <x:v>int</x:v>
      </x:c>
      <x:c r="F10" s="38" t="str">
        <x:v>ms</x:v>
      </x:c>
      <x:c r="G10" s="50" t="n">
        <x:v>50</x:v>
      </x:c>
      <x:c r="H10" s="50" t="n">
        <x:v>200</x:v>
      </x:c>
      <x:c r="I10" s="38" t="str">
        <x:v>Hypothesis</x:v>
      </x:c>
      <x:c r="J10" s="44" t="str">
        <x:v>10 тиков в секунду; все фазы целочисленные.</x:v>
      </x:c>
      <x:c r="K10" s="56" t="str">
        <x:f>IF(OR(E10="string",E10="bool",AND(D10&gt;=G10,D10&lt;=H10)),"OK","ERROR")</x:f>
        <x:v>OK</x:v>
      </x:c>
    </x:row>
    <x:row r="11" ht="36" customHeight="1">
      <x:c r="A11" s="35" t="str">
        <x:v>battle.time_limit_ticks</x:v>
      </x:c>
      <x:c r="B11" s="38" t="str">
        <x:v>Simulation</x:v>
      </x:c>
      <x:c r="C11" s="44" t="str">
        <x:v>Лимит боя</x:v>
      </x:c>
      <x:c r="D11" s="50" t="n">
        <x:v>600</x:v>
      </x:c>
      <x:c r="E11" s="38" t="str">
        <x:v>int</x:v>
      </x:c>
      <x:c r="F11" s="38" t="str">
        <x:v>ticks</x:v>
      </x:c>
      <x:c r="G11" s="50" t="n">
        <x:v>350</x:v>
      </x:c>
      <x:c r="H11" s="50" t="n">
        <x:v>900</x:v>
      </x:c>
      <x:c r="I11" s="38" t="str">
        <x:v>Hypothesis</x:v>
      </x:c>
      <x:c r="J11" s="44" t="str">
        <x:v>60 секунд при tick_ms=100.</x:v>
      </x:c>
      <x:c r="K11" s="56" t="str">
        <x:f>IF(OR(E11="string",E11="bool",AND(D11&gt;=G11,D11&lt;=H11)),"OK","ERROR")</x:f>
        <x:v>OK</x:v>
      </x:c>
    </x:row>
    <x:row r="12" ht="36" customHeight="1">
      <x:c r="A12" s="35" t="str">
        <x:v>global.sim.fp_scale</x:v>
      </x:c>
      <x:c r="B12" s="38" t="str">
        <x:v>Math</x:v>
      </x:c>
      <x:c r="C12" s="44" t="str">
        <x:v>Масштаб fixed-point</x:v>
      </x:c>
      <x:c r="D12" s="50" t="n">
        <x:v>1000</x:v>
      </x:c>
      <x:c r="E12" s="38" t="str">
        <x:v>int</x:v>
      </x:c>
      <x:c r="F12" s="38" t="str">
        <x:v>fp</x:v>
      </x:c>
      <x:c r="G12" s="50" t="n">
        <x:v>100</x:v>
      </x:c>
      <x:c r="H12" s="50" t="n">
        <x:v>100000</x:v>
      </x:c>
      <x:c r="I12" s="38" t="str">
        <x:v>Fixed</x:v>
      </x:c>
      <x:c r="J12" s="44" t="str">
        <x:v>1000 = множитель 1.000 и вероятность 100%.</x:v>
      </x:c>
      <x:c r="K12" s="56" t="str">
        <x:f>IF(OR(E12="string",E12="bool",AND(D12&gt;=G12,D12&lt;=H12)),"OK","ERROR")</x:f>
        <x:v>OK</x:v>
      </x:c>
    </x:row>
    <x:row r="13" ht="36" customHeight="1">
      <x:c r="A13" s="35" t="str">
        <x:v>global.sim.probability_min</x:v>
      </x:c>
      <x:c r="B13" s="38" t="str">
        <x:v>Math</x:v>
      </x:c>
      <x:c r="C13" s="44" t="str">
        <x:v>Минимум вероятности</x:v>
      </x:c>
      <x:c r="D13" s="50" t="n">
        <x:v>0</x:v>
      </x:c>
      <x:c r="E13" s="38" t="str">
        <x:v>fp</x:v>
      </x:c>
      <x:c r="F13" s="38" t="str">
        <x:v>fp</x:v>
      </x:c>
      <x:c r="G13" s="50" t="n">
        <x:v>0</x:v>
      </x:c>
      <x:c r="H13" s="50" t="n">
        <x:v>0</x:v>
      </x:c>
      <x:c r="I13" s="38" t="str">
        <x:v>Fixed</x:v>
      </x:c>
      <x:c r="J13" s="44" t="str">
        <x:v>Нижняя граница clamp.</x:v>
      </x:c>
      <x:c r="K13" s="56" t="str">
        <x:f>IF(OR(E13="string",E13="bool",AND(D13&gt;=G13,D13&lt;=H13)),"OK","ERROR")</x:f>
        <x:v>OK</x:v>
      </x:c>
    </x:row>
    <x:row r="14" ht="36" customHeight="1">
      <x:c r="A14" s="35" t="str">
        <x:v>global.sim.probability_max</x:v>
      </x:c>
      <x:c r="B14" s="38" t="str">
        <x:v>Math</x:v>
      </x:c>
      <x:c r="C14" s="44" t="str">
        <x:v>Максимум вероятности</x:v>
      </x:c>
      <x:c r="D14" s="50" t="n">
        <x:v>1000</x:v>
      </x:c>
      <x:c r="E14" s="38" t="str">
        <x:v>fp</x:v>
      </x:c>
      <x:c r="F14" s="38" t="str">
        <x:v>fp</x:v>
      </x:c>
      <x:c r="G14" s="50" t="n">
        <x:v>1000</x:v>
      </x:c>
      <x:c r="H14" s="50" t="n">
        <x:v>1000</x:v>
      </x:c>
      <x:c r="I14" s="38" t="str">
        <x:v>Fixed</x:v>
      </x:c>
      <x:c r="J14" s="44" t="str">
        <x:v>Верхняя граница clamp.</x:v>
      </x:c>
      <x:c r="K14" s="56" t="str">
        <x:f>IF(OR(E14="string",E14="bool",AND(D14&gt;=G14,D14&lt;=H14)),"OK","ERROR")</x:f>
        <x:v>OK</x:v>
      </x:c>
    </x:row>
    <x:row r="15" ht="36" customHeight="1">
      <x:c r="A15" s="35" t="str">
        <x:v>global.sim.multiplier_min</x:v>
      </x:c>
      <x:c r="B15" s="38" t="str">
        <x:v>Math</x:v>
      </x:c>
      <x:c r="C15" s="44" t="str">
        <x:v>Минимальный множитель веса</x:v>
      </x:c>
      <x:c r="D15" s="50" t="n">
        <x:v>250</x:v>
      </x:c>
      <x:c r="E15" s="38" t="str">
        <x:v>fp</x:v>
      </x:c>
      <x:c r="F15" s="38" t="str">
        <x:v>fp</x:v>
      </x:c>
      <x:c r="G15" s="50" t="n">
        <x:v>0</x:v>
      </x:c>
      <x:c r="H15" s="50" t="n">
        <x:v>1000</x:v>
      </x:c>
      <x:c r="I15" s="38" t="str">
        <x:v>Hypothesis</x:v>
      </x:c>
      <x:c r="J15" s="44" t="str">
        <x:v>0.250x.</x:v>
      </x:c>
      <x:c r="K15" s="56" t="str">
        <x:f>IF(OR(E15="string",E15="bool",AND(D15&gt;=G15,D15&lt;=H15)),"OK","ERROR")</x:f>
        <x:v>OK</x:v>
      </x:c>
    </x:row>
    <x:row r="16" ht="36" customHeight="1">
      <x:c r="A16" s="35" t="str">
        <x:v>global.sim.multiplier_max</x:v>
      </x:c>
      <x:c r="B16" s="38" t="str">
        <x:v>Math</x:v>
      </x:c>
      <x:c r="C16" s="44" t="str">
        <x:v>Максимальный множитель веса</x:v>
      </x:c>
      <x:c r="D16" s="50" t="n">
        <x:v>3000</x:v>
      </x:c>
      <x:c r="E16" s="38" t="str">
        <x:v>fp</x:v>
      </x:c>
      <x:c r="F16" s="38" t="str">
        <x:v>fp</x:v>
      </x:c>
      <x:c r="G16" s="50" t="n">
        <x:v>1000</x:v>
      </x:c>
      <x:c r="H16" s="50" t="n">
        <x:v>5000</x:v>
      </x:c>
      <x:c r="I16" s="38" t="str">
        <x:v>Hypothesis</x:v>
      </x:c>
      <x:c r="J16" s="44" t="str">
        <x:v>3.000x.</x:v>
      </x:c>
      <x:c r="K16" s="56" t="str">
        <x:f>IF(OR(E16="string",E16="bool",AND(D16&gt;=G16,D16&lt;=H16)),"OK","ERROR")</x:f>
        <x:v>OK</x:v>
      </x:c>
    </x:row>
    <x:row r="17" ht="36" customHeight="1">
      <x:c r="A17" s="35" t="str">
        <x:v>global.sim.decision_weight_max</x:v>
      </x:c>
      <x:c r="B17" s="38" t="str">
        <x:v>Math</x:v>
      </x:c>
      <x:c r="C17" s="44" t="str">
        <x:v>Максимальный итоговый вес</x:v>
      </x:c>
      <x:c r="D17" s="50" t="n">
        <x:v>100000000</x:v>
      </x:c>
      <x:c r="E17" s="38" t="str">
        <x:v>int</x:v>
      </x:c>
      <x:c r="F17" s="38" t="str">
        <x:v>weight</x:v>
      </x:c>
      <x:c r="G17" s="50" t="n">
        <x:v>1000000</x:v>
      </x:c>
      <x:c r="H17" s="50" t="n">
        <x:v>2000000000</x:v>
      </x:c>
      <x:c r="I17" s="38" t="str">
        <x:v>Hypothesis</x:v>
      </x:c>
      <x:c r="J17" s="44" t="str">
        <x:v>Ограничивает переполнение суммы весов.</x:v>
      </x:c>
      <x:c r="K17" s="56" t="str">
        <x:f>IF(OR(E17="string",E17="bool",AND(D17&gt;=G17,D17&lt;=H17)),"OK","ERROR")</x:f>
        <x:v>OK</x:v>
      </x:c>
    </x:row>
    <x:row r="18" ht="36" customHeight="1">
      <x:c r="A18" s="35" t="str">
        <x:v>global.arena.min_position</x:v>
      </x:c>
      <x:c r="B18" s="38" t="str">
        <x:v>Arena</x:v>
      </x:c>
      <x:c r="C18" s="44" t="str">
        <x:v>Левая граница арены</x:v>
      </x:c>
      <x:c r="D18" s="50" t="n">
        <x:v>0</x:v>
      </x:c>
      <x:c r="E18" s="38" t="str">
        <x:v>int</x:v>
      </x:c>
      <x:c r="F18" s="38" t="str">
        <x:v>position</x:v>
      </x:c>
      <x:c r="G18" s="50" t="n">
        <x:v>0</x:v>
      </x:c>
      <x:c r="H18" s="50" t="n">
        <x:v>0</x:v>
      </x:c>
      <x:c r="I18" s="38" t="str">
        <x:v>Hypothesis</x:v>
      </x:c>
      <x:c r="J18" s="44" t="str">
        <x:v>Закрытый одномерный отрезок.</x:v>
      </x:c>
      <x:c r="K18" s="56" t="str">
        <x:f>IF(OR(E18="string",E18="bool",AND(D18&gt;=G18,D18&lt;=H18)),"OK","ERROR")</x:f>
        <x:v>OK</x:v>
      </x:c>
    </x:row>
    <x:row r="19" ht="36" customHeight="1">
      <x:c r="A19" s="35" t="str">
        <x:v>global.arena.max_position</x:v>
      </x:c>
      <x:c r="B19" s="38" t="str">
        <x:v>Arena</x:v>
      </x:c>
      <x:c r="C19" s="44" t="str">
        <x:v>Правая граница арены</x:v>
      </x:c>
      <x:c r="D19" s="50" t="n">
        <x:v>10000</x:v>
      </x:c>
      <x:c r="E19" s="38" t="str">
        <x:v>int</x:v>
      </x:c>
      <x:c r="F19" s="38" t="str">
        <x:v>position</x:v>
      </x:c>
      <x:c r="G19" s="50" t="n">
        <x:v>6000</x:v>
      </x:c>
      <x:c r="H19" s="50" t="n">
        <x:v>20000</x:v>
      </x:c>
      <x:c r="I19" s="38" t="str">
        <x:v>Hypothesis</x:v>
      </x:c>
      <x:c r="J19" s="44" t="str">
        <x:v>Рабочая длина 10 000 условных единиц.</x:v>
      </x:c>
      <x:c r="K19" s="56" t="str">
        <x:f>IF(OR(E19="string",E19="bool",AND(D19&gt;=G19,D19&lt;=H19)),"OK","ERROR")</x:f>
        <x:v>OK</x:v>
      </x:c>
    </x:row>
    <x:row r="20" ht="36" customHeight="1">
      <x:c r="A20" s="35" t="str">
        <x:v>global.arena.start_position_a</x:v>
      </x:c>
      <x:c r="B20" s="38" t="str">
        <x:v>Arena</x:v>
      </x:c>
      <x:c r="C20" s="44" t="str">
        <x:v>Стартовая позиция A</x:v>
      </x:c>
      <x:c r="D20" s="50" t="n">
        <x:v>2000</x:v>
      </x:c>
      <x:c r="E20" s="38" t="str">
        <x:v>int</x:v>
      </x:c>
      <x:c r="F20" s="38" t="str">
        <x:v>position</x:v>
      </x:c>
      <x:c r="G20" s="50" t="n">
        <x:v>500</x:v>
      </x:c>
      <x:c r="H20" s="50" t="n">
        <x:v>4500</x:v>
      </x:c>
      <x:c r="I20" s="38" t="str">
        <x:v>Hypothesis</x:v>
      </x:c>
      <x:c r="J20" s="44" t="str">
        <x:v>Зеркальна позиции B.</x:v>
      </x:c>
      <x:c r="K20" s="56" t="str">
        <x:f>IF(OR(E20="string",E20="bool",AND(D20&gt;=G20,D20&lt;=H20)),"OK","ERROR")</x:f>
        <x:v>OK</x:v>
      </x:c>
    </x:row>
    <x:row r="21" ht="36" customHeight="1">
      <x:c r="A21" s="35" t="str">
        <x:v>global.arena.start_position_b</x:v>
      </x:c>
      <x:c r="B21" s="38" t="str">
        <x:v>Arena</x:v>
      </x:c>
      <x:c r="C21" s="44" t="str">
        <x:v>Стартовая позиция B</x:v>
      </x:c>
      <x:c r="D21" s="50" t="n">
        <x:v>8000</x:v>
      </x:c>
      <x:c r="E21" s="38" t="str">
        <x:v>int</x:v>
      </x:c>
      <x:c r="F21" s="38" t="str">
        <x:v>position</x:v>
      </x:c>
      <x:c r="G21" s="50" t="n">
        <x:v>5500</x:v>
      </x:c>
      <x:c r="H21" s="50" t="n">
        <x:v>9500</x:v>
      </x:c>
      <x:c r="I21" s="38" t="str">
        <x:v>Hypothesis</x:v>
      </x:c>
      <x:c r="J21" s="44" t="str">
        <x:v>Зеркальна позиции A.</x:v>
      </x:c>
      <x:c r="K21" s="56" t="str">
        <x:f>IF(OR(E21="string",E21="bool",AND(D21&gt;=G21,D21&lt;=H21)),"OK","ERROR")</x:f>
        <x:v>OK</x:v>
      </x:c>
    </x:row>
    <x:row r="22" ht="36" customHeight="1">
      <x:c r="A22" s="35" t="str">
        <x:v>global.arena.wall_zone_size</x:v>
      </x:c>
      <x:c r="B22" s="38" t="str">
        <x:v>Arena</x:v>
      </x:c>
      <x:c r="C22" s="44" t="str">
        <x:v>Ширина зоны стены</x:v>
      </x:c>
      <x:c r="D22" s="50" t="n">
        <x:v>1200</x:v>
      </x:c>
      <x:c r="E22" s="38" t="str">
        <x:v>int</x:v>
      </x:c>
      <x:c r="F22" s="38" t="str">
        <x:v>position</x:v>
      </x:c>
      <x:c r="G22" s="50" t="n">
        <x:v>600</x:v>
      </x:c>
      <x:c r="H22" s="50" t="n">
        <x:v>2500</x:v>
      </x:c>
      <x:c r="I22" s="38" t="str">
        <x:v>Hypothesis</x:v>
      </x:c>
      <x:c r="J22" s="44" t="str">
        <x:v>Используется wall prerequisites и Grip.</x:v>
      </x:c>
      <x:c r="K22" s="56" t="str">
        <x:f>IF(OR(E22="string",E22="bool",AND(D22&gt;=G22,D22&lt;=H22)),"OK","ERROR")</x:f>
        <x:v>OK</x:v>
      </x:c>
    </x:row>
    <x:row r="23" ht="36" customHeight="1">
      <x:c r="A23" s="35" t="str">
        <x:v>global.damage.armor_k</x:v>
      </x:c>
      <x:c r="B23" s="38" t="str">
        <x:v>Damage</x:v>
      </x:c>
      <x:c r="C23" s="44" t="str">
        <x:v>Константа нелинейной брони</x:v>
      </x:c>
      <x:c r="D23" s="50" t="n">
        <x:v>200</x:v>
      </x:c>
      <x:c r="E23" s="38" t="str">
        <x:v>int</x:v>
      </x:c>
      <x:c r="F23" s="38" t="str">
        <x:v>rating</x:v>
      </x:c>
      <x:c r="G23" s="50" t="n">
        <x:v>50</x:v>
      </x:c>
      <x:c r="H23" s="50" t="n">
        <x:v>500</x:v>
      </x:c>
      <x:c r="I23" s="38" t="str">
        <x:v>Hypothesis</x:v>
      </x:c>
      <x:c r="J23" s="44" t="str">
        <x:v>ArmorRatio=Armor/(Armor+K).</x:v>
      </x:c>
      <x:c r="K23" s="56" t="str">
        <x:f>IF(OR(E23="string",E23="bool",AND(D23&gt;=G23,D23&lt;=H23)),"OK","ERROR")</x:f>
        <x:v>OK</x:v>
      </x:c>
    </x:row>
    <x:row r="24" ht="36" customHeight="1">
      <x:c r="A24" s="35" t="str">
        <x:v>global.damage.floor</x:v>
      </x:c>
      <x:c r="B24" s="38" t="str">
        <x:v>Damage</x:v>
      </x:c>
      <x:c r="C24" s="44" t="str">
        <x:v>Общий нижний clamp урона</x:v>
      </x:c>
      <x:c r="D24" s="50" t="n">
        <x:v>1</x:v>
      </x:c>
      <x:c r="E24" s="38" t="str">
        <x:v>int</x:v>
      </x:c>
      <x:c r="F24" s="38" t="str">
        <x:v>hp</x:v>
      </x:c>
      <x:c r="G24" s="50" t="n">
        <x:v>0</x:v>
      </x:c>
      <x:c r="H24" s="50" t="n">
        <x:v>20</x:v>
      </x:c>
      <x:c r="I24" s="38" t="str">
        <x:v>Hypothesis</x:v>
      </x:c>
      <x:c r="J24" s="44" t="str">
        <x:v>Action MinDamage применяется после clamp.</x:v>
      </x:c>
      <x:c r="K24" s="56" t="str">
        <x:f>IF(OR(E24="string",E24="bool",AND(D24&gt;=G24,D24&lt;=H24)),"OK","ERROR")</x:f>
        <x:v>OK</x:v>
      </x:c>
    </x:row>
    <x:row r="25" ht="36" customHeight="1">
      <x:c r="A25" s="35" t="str">
        <x:v>global.damage.cap</x:v>
      </x:c>
      <x:c r="B25" s="38" t="str">
        <x:v>Damage</x:v>
      </x:c>
      <x:c r="C25" s="44" t="str">
        <x:v>Общий верхний clamp урона</x:v>
      </x:c>
      <x:c r="D25" s="50" t="n">
        <x:v>600</x:v>
      </x:c>
      <x:c r="E25" s="38" t="str">
        <x:v>int</x:v>
      </x:c>
      <x:c r="F25" s="38" t="str">
        <x:v>hp</x:v>
      </x:c>
      <x:c r="G25" s="50" t="n">
        <x:v>200</x:v>
      </x:c>
      <x:c r="H25" s="50" t="n">
        <x:v>1500</x:v>
      </x:c>
      <x:c r="I25" s="38" t="str">
        <x:v>Hypothesis</x:v>
      </x:c>
      <x:c r="J25" s="44" t="str">
        <x:v>Защита от ошибочных мультипликаторов.</x:v>
      </x:c>
      <x:c r="K25" s="56" t="str">
        <x:f>IF(OR(E25="string",E25="bool",AND(D25&gt;=G25,D25&lt;=H25)),"OK","ERROR")</x:f>
        <x:v>OK</x:v>
      </x:c>
    </x:row>
    <x:row r="26" ht="36" customHeight="1">
      <x:c r="A26" s="35" t="str">
        <x:v>global.damage.block_slope</x:v>
      </x:c>
      <x:c r="B26" s="38" t="str">
        <x:v>Defense</x:v>
      </x:c>
      <x:c r="C26" s="44" t="str">
        <x:v>Наклон Guard против GuardBreak</x:v>
      </x:c>
      <x:c r="D26" s="50" t="n">
        <x:v>3</x:v>
      </x:c>
      <x:c r="E26" s="38" t="str">
        <x:v>fp</x:v>
      </x:c>
      <x:c r="F26" s="38" t="str">
        <x:v>fp/rating</x:v>
      </x:c>
      <x:c r="G26" s="50" t="n">
        <x:v>1</x:v>
      </x:c>
      <x:c r="H26" s="50" t="n">
        <x:v>10</x:v>
      </x:c>
      <x:c r="I26" s="38" t="str">
        <x:v>Hypothesis</x:v>
      </x:c>
      <x:c r="J26" s="44" t="str">
        <x:v>Добавляется к BlockChance.</x:v>
      </x:c>
      <x:c r="K26" s="56" t="str">
        <x:f>IF(OR(E26="string",E26="bool",AND(D26&gt;=G26,D26&lt;=H26)),"OK","ERROR")</x:f>
        <x:v>OK</x:v>
      </x:c>
    </x:row>
    <x:row r="27" ht="36" customHeight="1">
      <x:c r="A27" s="35" t="str">
        <x:v>global.damage.block_min</x:v>
      </x:c>
      <x:c r="B27" s="38" t="str">
        <x:v>Defense</x:v>
      </x:c>
      <x:c r="C27" s="44" t="str">
        <x:v>Минимальный шанс Block</x:v>
      </x:c>
      <x:c r="D27" s="50" t="n">
        <x:v>100</x:v>
      </x:c>
      <x:c r="E27" s="38" t="str">
        <x:v>fp</x:v>
      </x:c>
      <x:c r="F27" s="38" t="str">
        <x:v>fp</x:v>
      </x:c>
      <x:c r="G27" s="50" t="n">
        <x:v>0</x:v>
      </x:c>
      <x:c r="H27" s="50" t="n">
        <x:v>300</x:v>
      </x:c>
      <x:c r="I27" s="38" t="str">
        <x:v>Hypothesis</x:v>
      </x:c>
      <x:c r="J27" s="44" t="str">
        <x:v>10% при активном окне.</x:v>
      </x:c>
      <x:c r="K27" s="56" t="str">
        <x:f>IF(OR(E27="string",E27="bool",AND(D27&gt;=G27,D27&lt;=H27)),"OK","ERROR")</x:f>
        <x:v>OK</x:v>
      </x:c>
    </x:row>
    <x:row r="28" ht="36" customHeight="1">
      <x:c r="A28" s="35" t="str">
        <x:v>global.damage.block_max</x:v>
      </x:c>
      <x:c r="B28" s="38" t="str">
        <x:v>Defense</x:v>
      </x:c>
      <x:c r="C28" s="44" t="str">
        <x:v>Максимальный шанс Block</x:v>
      </x:c>
      <x:c r="D28" s="50" t="n">
        <x:v>900</x:v>
      </x:c>
      <x:c r="E28" s="38" t="str">
        <x:v>fp</x:v>
      </x:c>
      <x:c r="F28" s="38" t="str">
        <x:v>fp</x:v>
      </x:c>
      <x:c r="G28" s="50" t="n">
        <x:v>700</x:v>
      </x:c>
      <x:c r="H28" s="50" t="n">
        <x:v>1000</x:v>
      </x:c>
      <x:c r="I28" s="38" t="str">
        <x:v>Hypothesis</x:v>
      </x:c>
      <x:c r="J28" s="44" t="str">
        <x:v>Всегда остаётся риск провала.</x:v>
      </x:c>
      <x:c r="K28" s="56" t="str">
        <x:f>IF(OR(E28="string",E28="bool",AND(D28&gt;=G28,D28&lt;=H28)),"OK","ERROR")</x:f>
        <x:v>OK</x:v>
      </x:c>
    </x:row>
    <x:row r="29" ht="36" customHeight="1">
      <x:c r="A29" s="35" t="str">
        <x:v>global.damage.dodge_slope</x:v>
      </x:c>
      <x:c r="B29" s="38" t="str">
        <x:v>Defense</x:v>
      </x:c>
      <x:c r="C29" s="44" t="str">
        <x:v>Наклон Evasion против Precision</x:v>
      </x:c>
      <x:c r="D29" s="50" t="n">
        <x:v>3</x:v>
      </x:c>
      <x:c r="E29" s="38" t="str">
        <x:v>fp</x:v>
      </x:c>
      <x:c r="F29" s="38" t="str">
        <x:v>fp/rating</x:v>
      </x:c>
      <x:c r="G29" s="50" t="n">
        <x:v>1</x:v>
      </x:c>
      <x:c r="H29" s="50" t="n">
        <x:v>10</x:v>
      </x:c>
      <x:c r="I29" s="38" t="str">
        <x:v>Hypothesis</x:v>
      </x:c>
      <x:c r="J29" s="44" t="str">
        <x:v>Добавляется к DodgeChance.</x:v>
      </x:c>
      <x:c r="K29" s="56" t="str">
        <x:f>IF(OR(E29="string",E29="bool",AND(D29&gt;=G29,D29&lt;=H29)),"OK","ERROR")</x:f>
        <x:v>OK</x:v>
      </x:c>
    </x:row>
    <x:row r="30" ht="36" customHeight="1">
      <x:c r="A30" s="35" t="str">
        <x:v>global.damage.dodge_min</x:v>
      </x:c>
      <x:c r="B30" s="38" t="str">
        <x:v>Defense</x:v>
      </x:c>
      <x:c r="C30" s="44" t="str">
        <x:v>Минимальный шанс Dodge</x:v>
      </x:c>
      <x:c r="D30" s="50" t="n">
        <x:v>50</x:v>
      </x:c>
      <x:c r="E30" s="38" t="str">
        <x:v>fp</x:v>
      </x:c>
      <x:c r="F30" s="38" t="str">
        <x:v>fp</x:v>
      </x:c>
      <x:c r="G30" s="50" t="n">
        <x:v>0</x:v>
      </x:c>
      <x:c r="H30" s="50" t="n">
        <x:v>250</x:v>
      </x:c>
      <x:c r="I30" s="38" t="str">
        <x:v>Hypothesis</x:v>
      </x:c>
      <x:c r="J30" s="44" t="str">
        <x:v>5% при активном окне.</x:v>
      </x:c>
      <x:c r="K30" s="56" t="str">
        <x:f>IF(OR(E30="string",E30="bool",AND(D30&gt;=G30,D30&lt;=H30)),"OK","ERROR")</x:f>
        <x:v>OK</x:v>
      </x:c>
    </x:row>
    <x:row r="31" ht="36" customHeight="1">
      <x:c r="A31" s="35" t="str">
        <x:v>global.damage.dodge_max</x:v>
      </x:c>
      <x:c r="B31" s="38" t="str">
        <x:v>Defense</x:v>
      </x:c>
      <x:c r="C31" s="44" t="str">
        <x:v>Максимальный шанс Dodge</x:v>
      </x:c>
      <x:c r="D31" s="50" t="n">
        <x:v>850</x:v>
      </x:c>
      <x:c r="E31" s="38" t="str">
        <x:v>fp</x:v>
      </x:c>
      <x:c r="F31" s="38" t="str">
        <x:v>fp</x:v>
      </x:c>
      <x:c r="G31" s="50" t="n">
        <x:v>650</x:v>
      </x:c>
      <x:c r="H31" s="50" t="n">
        <x:v>1000</x:v>
      </x:c>
      <x:c r="I31" s="38" t="str">
        <x:v>Hypothesis</x:v>
      </x:c>
      <x:c r="J31" s="44" t="str">
        <x:v>Не допускает гарантированный dodge.</x:v>
      </x:c>
      <x:c r="K31" s="56" t="str">
        <x:f>IF(OR(E31="string",E31="bool",AND(D31&gt;=G31,D31&lt;=H31)),"OK","ERROR")</x:f>
        <x:v>OK</x:v>
      </x:c>
    </x:row>
    <x:row r="32" ht="36" customHeight="1">
      <x:c r="A32" s="35" t="str">
        <x:v>global.damage.speed_baseline</x:v>
      </x:c>
      <x:c r="B32" s="38" t="str">
        <x:v>Timing</x:v>
      </x:c>
      <x:c r="C32" s="44" t="str">
        <x:v>Базовый ActionSpeed</x:v>
      </x:c>
      <x:c r="D32" s="50" t="n">
        <x:v>100</x:v>
      </x:c>
      <x:c r="E32" s="38" t="str">
        <x:v>int</x:v>
      </x:c>
      <x:c r="F32" s="38" t="str">
        <x:v>rating</x:v>
      </x:c>
      <x:c r="G32" s="50" t="n">
        <x:v>50</x:v>
      </x:c>
      <x:c r="H32" s="50" t="n">
        <x:v>200</x:v>
      </x:c>
      <x:c r="I32" s="38" t="str">
        <x:v>Hypothesis</x:v>
      </x:c>
      <x:c r="J32" s="44" t="str">
        <x:v>Даёт множитель 1.0.</x:v>
      </x:c>
      <x:c r="K32" s="56" t="str">
        <x:f>IF(OR(E32="string",E32="bool",AND(D32&gt;=G32,D32&lt;=H32)),"OK","ERROR")</x:f>
        <x:v>OK</x:v>
      </x:c>
    </x:row>
    <x:row r="33" ht="36" customHeight="1">
      <x:c r="A33" s="35" t="str">
        <x:v>global.damage.speed_slope</x:v>
      </x:c>
      <x:c r="B33" s="38" t="str">
        <x:v>Timing</x:v>
      </x:c>
      <x:c r="C33" s="44" t="str">
        <x:v>Влияние ActionSpeed</x:v>
      </x:c>
      <x:c r="D33" s="50" t="n">
        <x:v>5</x:v>
      </x:c>
      <x:c r="E33" s="38" t="str">
        <x:v>fp</x:v>
      </x:c>
      <x:c r="F33" s="38" t="str">
        <x:v>fp/rating</x:v>
      </x:c>
      <x:c r="G33" s="50" t="n">
        <x:v>1</x:v>
      </x:c>
      <x:c r="H33" s="50" t="n">
        <x:v>15</x:v>
      </x:c>
      <x:c r="I33" s="38" t="str">
        <x:v>Hypothesis</x:v>
      </x:c>
      <x:c r="J33" s="44" t="str">
        <x:v>Изменяет startup и recovery.</x:v>
      </x:c>
      <x:c r="K33" s="56" t="str">
        <x:f>IF(OR(E33="string",E33="bool",AND(D33&gt;=G33,D33&lt;=H33)),"OK","ERROR")</x:f>
        <x:v>OK</x:v>
      </x:c>
    </x:row>
    <x:row r="34" ht="36" customHeight="1">
      <x:c r="A34" s="35" t="str">
        <x:v>global.damage.speed_min</x:v>
      </x:c>
      <x:c r="B34" s="38" t="str">
        <x:v>Timing</x:v>
      </x:c>
      <x:c r="C34" s="44" t="str">
        <x:v>Минимальный speed multiplier</x:v>
      </x:c>
      <x:c r="D34" s="50" t="n">
        <x:v>600</x:v>
      </x:c>
      <x:c r="E34" s="38" t="str">
        <x:v>fp</x:v>
      </x:c>
      <x:c r="F34" s="38" t="str">
        <x:v>fp</x:v>
      </x:c>
      <x:c r="G34" s="50" t="n">
        <x:v>300</x:v>
      </x:c>
      <x:c r="H34" s="50" t="n">
        <x:v>1000</x:v>
      </x:c>
      <x:c r="I34" s="38" t="str">
        <x:v>Hypothesis</x:v>
      </x:c>
      <x:c r="J34" s="44" t="str">
        <x:v>0.600x.</x:v>
      </x:c>
      <x:c r="K34" s="56" t="str">
        <x:f>IF(OR(E34="string",E34="bool",AND(D34&gt;=G34,D34&lt;=H34)),"OK","ERROR")</x:f>
        <x:v>OK</x:v>
      </x:c>
    </x:row>
    <x:row r="35" ht="36" customHeight="1">
      <x:c r="A35" s="35" t="str">
        <x:v>global.damage.speed_max</x:v>
      </x:c>
      <x:c r="B35" s="38" t="str">
        <x:v>Timing</x:v>
      </x:c>
      <x:c r="C35" s="44" t="str">
        <x:v>Максимальный speed multiplier</x:v>
      </x:c>
      <x:c r="D35" s="50" t="n">
        <x:v>1500</x:v>
      </x:c>
      <x:c r="E35" s="38" t="str">
        <x:v>fp</x:v>
      </x:c>
      <x:c r="F35" s="38" t="str">
        <x:v>fp</x:v>
      </x:c>
      <x:c r="G35" s="50" t="n">
        <x:v>1000</x:v>
      </x:c>
      <x:c r="H35" s="50" t="n">
        <x:v>2500</x:v>
      </x:c>
      <x:c r="I35" s="38" t="str">
        <x:v>Hypothesis</x:v>
      </x:c>
      <x:c r="J35" s="44" t="str">
        <x:v>1.500x.</x:v>
      </x:c>
      <x:c r="K35" s="56" t="str">
        <x:f>IF(OR(E35="string",E35="bool",AND(D35&gt;=G35,D35&lt;=H35)),"OK","ERROR")</x:f>
        <x:v>OK</x:v>
      </x:c>
    </x:row>
    <x:row r="36" ht="36" customHeight="1">
      <x:c r="A36" s="35" t="str">
        <x:v>analysis.benchmark_armor</x:v>
      </x:c>
      <x:c r="B36" s="38" t="str">
        <x:v>Analysis</x:v>
      </x:c>
      <x:c r="C36" s="44" t="str">
        <x:v>Броня для сравнительного урона</x:v>
      </x:c>
      <x:c r="D36" s="50" t="n">
        <x:v>100</x:v>
      </x:c>
      <x:c r="E36" s="38" t="str">
        <x:v>int</x:v>
      </x:c>
      <x:c r="F36" s="38" t="str">
        <x:v>rating</x:v>
      </x:c>
      <x:c r="G36" s="50" t="n">
        <x:v>0</x:v>
      </x:c>
      <x:c r="H36" s="50" t="n">
        <x:v>300</x:v>
      </x:c>
      <x:c r="I36" s="38" t="str">
        <x:v>Hypothesis</x:v>
      </x:c>
      <x:c r="J36" s="44" t="str">
        <x:v>Только аналитическая колонка Actions.</x:v>
      </x:c>
      <x:c r="K36" s="56" t="str">
        <x:f>IF(OR(E36="string",E36="bool",AND(D36&gt;=G36,D36&lt;=H36)),"OK","ERROR")</x:f>
        <x:v>OK</x:v>
      </x:c>
    </x:row>
    <x:row r="37" ht="36" customHeight="1">
      <x:c r="A37" s="35" t="str">
        <x:v>global.control.control_k</x:v>
      </x:c>
      <x:c r="B37" s="38" t="str">
        <x:v>Control</x:v>
      </x:c>
      <x:c r="C37" s="44" t="str">
        <x:v>Константа контроля</x:v>
      </x:c>
      <x:c r="D37" s="50" t="n">
        <x:v>150</x:v>
      </x:c>
      <x:c r="E37" s="38" t="str">
        <x:v>int</x:v>
      </x:c>
      <x:c r="F37" s="38" t="str">
        <x:v>rating</x:v>
      </x:c>
      <x:c r="G37" s="50" t="n">
        <x:v>50</x:v>
      </x:c>
      <x:c r="H37" s="50" t="n">
        <x:v>500</x:v>
      </x:c>
      <x:c r="I37" s="38" t="str">
        <x:v>Hypothesis</x:v>
      </x:c>
      <x:c r="J37" s="44" t="str">
        <x:v>ControlRatio по CDS.</x:v>
      </x:c>
      <x:c r="K37" s="56" t="str">
        <x:f>IF(OR(E37="string",E37="bool",AND(D37&gt;=G37,D37&lt;=H37)),"OK","ERROR")</x:f>
        <x:v>OK</x:v>
      </x:c>
    </x:row>
    <x:row r="38" ht="36" customHeight="1">
      <x:c r="A38" s="35" t="str">
        <x:v>global.control.force_k</x:v>
      </x:c>
      <x:c r="B38" s="38" t="str">
        <x:v>Control</x:v>
      </x:c>
      <x:c r="C38" s="44" t="str">
        <x:v>Константа массы и силы</x:v>
      </x:c>
      <x:c r="D38" s="50" t="n">
        <x:v>120</x:v>
      </x:c>
      <x:c r="E38" s="38" t="str">
        <x:v>int</x:v>
      </x:c>
      <x:c r="F38" s="38" t="str">
        <x:v>rating</x:v>
      </x:c>
      <x:c r="G38" s="50" t="n">
        <x:v>40</x:v>
      </x:c>
      <x:c r="H38" s="50" t="n">
        <x:v>500</x:v>
      </x:c>
      <x:c r="I38" s="38" t="str">
        <x:v>Hypothesis</x:v>
      </x:c>
      <x:c r="J38" s="44" t="str">
        <x:v>ForceRatio по CDS.</x:v>
      </x:c>
      <x:c r="K38" s="56" t="str">
        <x:f>IF(OR(E38="string",E38="bool",AND(D38&gt;=G38,D38&lt;=H38)),"OK","ERROR")</x:f>
        <x:v>OK</x:v>
      </x:c>
    </x:row>
    <x:row r="39" ht="36" customHeight="1">
      <x:c r="A39" s="35" t="str">
        <x:v>global.control.stun_min_ticks</x:v>
      </x:c>
      <x:c r="B39" s="38" t="str">
        <x:v>Control</x:v>
      </x:c>
      <x:c r="C39" s="44" t="str">
        <x:v>Минимальное оглушение</x:v>
      </x:c>
      <x:c r="D39" s="50" t="n">
        <x:v>3</x:v>
      </x:c>
      <x:c r="E39" s="38" t="str">
        <x:v>int</x:v>
      </x:c>
      <x:c r="F39" s="38" t="str">
        <x:v>ticks</x:v>
      </x:c>
      <x:c r="G39" s="50" t="n">
        <x:v>1</x:v>
      </x:c>
      <x:c r="H39" s="50" t="n">
        <x:v>8</x:v>
      </x:c>
      <x:c r="I39" s="38" t="str">
        <x:v>Hypothesis</x:v>
      </x:c>
      <x:c r="J39" s="44" t="str">
        <x:v>До fatigue multiplier.</x:v>
      </x:c>
      <x:c r="K39" s="56" t="str">
        <x:f>IF(OR(E39="string",E39="bool",AND(D39&gt;=G39,D39&lt;=H39)),"OK","ERROR")</x:f>
        <x:v>OK</x:v>
      </x:c>
    </x:row>
    <x:row r="40" ht="36" customHeight="1">
      <x:c r="A40" s="35" t="str">
        <x:v>global.control.stun_max_ticks</x:v>
      </x:c>
      <x:c r="B40" s="38" t="str">
        <x:v>Control</x:v>
      </x:c>
      <x:c r="C40" s="44" t="str">
        <x:v>Максимальное оглушение</x:v>
      </x:c>
      <x:c r="D40" s="50" t="n">
        <x:v>20</x:v>
      </x:c>
      <x:c r="E40" s="38" t="str">
        <x:v>int</x:v>
      </x:c>
      <x:c r="F40" s="38" t="str">
        <x:v>ticks</x:v>
      </x:c>
      <x:c r="G40" s="50" t="n">
        <x:v>8</x:v>
      </x:c>
      <x:c r="H40" s="50" t="n">
        <x:v>40</x:v>
      </x:c>
      <x:c r="I40" s="38" t="str">
        <x:v>Hypothesis</x:v>
      </x:c>
      <x:c r="J40" s="44" t="str">
        <x:v>2 секунды при tick_ms=100.</x:v>
      </x:c>
      <x:c r="K40" s="56" t="str">
        <x:f>IF(OR(E40="string",E40="bool",AND(D40&gt;=G40,D40&lt;=H40)),"OK","ERROR")</x:f>
        <x:v>OK</x:v>
      </x:c>
    </x:row>
    <x:row r="41" ht="36" customHeight="1">
      <x:c r="A41" s="35" t="str">
        <x:v>global.control.fatigue_threshold</x:v>
      </x:c>
      <x:c r="B41" s="38" t="str">
        <x:v>Anti-loop</x:v>
      </x:c>
      <x:c r="C41" s="44" t="str">
        <x:v>Стаки до immunity</x:v>
      </x:c>
      <x:c r="D41" s="50" t="n">
        <x:v>3</x:v>
      </x:c>
      <x:c r="E41" s="38" t="str">
        <x:v>int</x:v>
      </x:c>
      <x:c r="F41" s="38" t="str">
        <x:v>stacks</x:v>
      </x:c>
      <x:c r="G41" s="50" t="n">
        <x:v>2</x:v>
      </x:c>
      <x:c r="H41" s="50" t="n">
        <x:v>5</x:v>
      </x:c>
      <x:c r="I41" s="38" t="str">
        <x:v>Hypothesis</x:v>
      </x:c>
      <x:c r="J41" s="44" t="str">
        <x:v>После hard control.</x:v>
      </x:c>
      <x:c r="K41" s="56" t="str">
        <x:f>IF(OR(E41="string",E41="bool",AND(D41&gt;=G41,D41&lt;=H41)),"OK","ERROR")</x:f>
        <x:v>OK</x:v>
      </x:c>
    </x:row>
    <x:row r="42" ht="36" customHeight="1">
      <x:c r="A42" s="35" t="str">
        <x:v>global.control.fatigue_decay_ticks</x:v>
      </x:c>
      <x:c r="B42" s="38" t="str">
        <x:v>Anti-loop</x:v>
      </x:c>
      <x:c r="C42" s="44" t="str">
        <x:v>Время сброса fatigue</x:v>
      </x:c>
      <x:c r="D42" s="50" t="n">
        <x:v>100</x:v>
      </x:c>
      <x:c r="E42" s="38" t="str">
        <x:v>int</x:v>
      </x:c>
      <x:c r="F42" s="38" t="str">
        <x:v>ticks</x:v>
      </x:c>
      <x:c r="G42" s="50" t="n">
        <x:v>40</x:v>
      </x:c>
      <x:c r="H42" s="50" t="n">
        <x:v>250</x:v>
      </x:c>
      <x:c r="I42" s="38" t="str">
        <x:v>Hypothesis</x:v>
      </x:c>
      <x:c r="J42" s="44" t="str">
        <x:v>10 секунд без нового контроля.</x:v>
      </x:c>
      <x:c r="K42" s="56" t="str">
        <x:f>IF(OR(E42="string",E42="bool",AND(D42&gt;=G42,D42&lt;=H42)),"OK","ERROR")</x:f>
        <x:v>OK</x:v>
      </x:c>
    </x:row>
    <x:row r="43" ht="36" customHeight="1">
      <x:c r="A43" s="35" t="str">
        <x:v>global.control.immunity_ticks</x:v>
      </x:c>
      <x:c r="B43" s="38" t="str">
        <x:v>Anti-loop</x:v>
      </x:c>
      <x:c r="C43" s="44" t="str">
        <x:v>Окно ControlImmunity</x:v>
      </x:c>
      <x:c r="D43" s="50" t="n">
        <x:v>25</x:v>
      </x:c>
      <x:c r="E43" s="38" t="str">
        <x:v>int</x:v>
      </x:c>
      <x:c r="F43" s="38" t="str">
        <x:v>ticks</x:v>
      </x:c>
      <x:c r="G43" s="50" t="n">
        <x:v>10</x:v>
      </x:c>
      <x:c r="H43" s="50" t="n">
        <x:v>60</x:v>
      </x:c>
      <x:c r="I43" s="38" t="str">
        <x:v>Hypothesis</x:v>
      </x:c>
      <x:c r="J43" s="44" t="str">
        <x:v>Новый hard control не продлевает окно.</x:v>
      </x:c>
      <x:c r="K43" s="56" t="str">
        <x:f>IF(OR(E43="string",E43="bool",AND(D43&gt;=G43,D43&lt;=H43)),"OK","ERROR")</x:f>
        <x:v>OK</x:v>
      </x:c>
    </x:row>
    <x:row r="44" ht="36" customHeight="1">
      <x:c r="A44" s="35" t="str">
        <x:v>global.control.grab_lockout_ticks</x:v>
      </x:c>
      <x:c r="B44" s="38" t="str">
        <x:v>Anti-loop</x:v>
      </x:c>
      <x:c r="C44" s="44" t="str">
        <x:v>Запрет повторного grab</x:v>
      </x:c>
      <x:c r="D44" s="50" t="n">
        <x:v>20</x:v>
      </x:c>
      <x:c r="E44" s="38" t="str">
        <x:v>int</x:v>
      </x:c>
      <x:c r="F44" s="38" t="str">
        <x:v>ticks</x:v>
      </x:c>
      <x:c r="G44" s="50" t="n">
        <x:v>8</x:v>
      </x:c>
      <x:c r="H44" s="50" t="n">
        <x:v>60</x:v>
      </x:c>
      <x:c r="I44" s="38" t="str">
        <x:v>Hypothesis</x:v>
      </x:c>
      <x:c r="J44" s="44" t="str">
        <x:v>Применяется после Grabbed.</x:v>
      </x:c>
      <x:c r="K44" s="56" t="str">
        <x:f>IF(OR(E44="string",E44="bool",AND(D44&gt;=G44,D44&lt;=H44)),"OK","ERROR")</x:f>
        <x:v>OK</x:v>
      </x:c>
    </x:row>
    <x:row r="45" ht="36" customHeight="1">
      <x:c r="A45" s="35" t="str">
        <x:v>global.control.wakeup_immunity_ticks</x:v>
      </x:c>
      <x:c r="B45" s="38" t="str">
        <x:v>Anti-loop</x:v>
      </x:c>
      <x:c r="C45" s="44" t="str">
        <x:v>Защита после KnockedDown</x:v>
      </x:c>
      <x:c r="D45" s="50" t="n">
        <x:v>25</x:v>
      </x:c>
      <x:c r="E45" s="38" t="str">
        <x:v>int</x:v>
      </x:c>
      <x:c r="F45" s="38" t="str">
        <x:v>ticks</x:v>
      </x:c>
      <x:c r="G45" s="50" t="n">
        <x:v>10</x:v>
      </x:c>
      <x:c r="H45" s="50" t="n">
        <x:v>60</x:v>
      </x:c>
      <x:c r="I45" s="38" t="str">
        <x:v>Hypothesis</x:v>
      </x:c>
      <x:c r="J45" s="44" t="str">
        <x:v>Не запрещает разрешённый GroundHit damage.</x:v>
      </x:c>
      <x:c r="K45" s="56" t="str">
        <x:f>IF(OR(E45="string",E45="bool",AND(D45&gt;=G45,D45&lt;=H45)),"OK","ERROR")</x:f>
        <x:v>OK</x:v>
      </x:c>
    </x:row>
    <x:row r="46" ht="36" customHeight="1">
      <x:c r="A46" s="35" t="str">
        <x:v>global.control.max_hold_ticks</x:v>
      </x:c>
      <x:c r="B46" s="38" t="str">
        <x:v>Anti-loop</x:v>
      </x:c>
      <x:c r="C46" s="44" t="str">
        <x:v>Глобальный предел захвата</x:v>
      </x:c>
      <x:c r="D46" s="50" t="n">
        <x:v>12</x:v>
      </x:c>
      <x:c r="E46" s="38" t="str">
        <x:v>int</x:v>
      </x:c>
      <x:c r="F46" s="38" t="str">
        <x:v>ticks</x:v>
      </x:c>
      <x:c r="G46" s="50" t="n">
        <x:v>3</x:v>
      </x:c>
      <x:c r="H46" s="50" t="n">
        <x:v>25</x:v>
      </x:c>
      <x:c r="I46" s="38" t="str">
        <x:v>Hypothesis</x:v>
      </x:c>
      <x:c r="J46" s="44" t="str">
        <x:v>Каждый grab обязан завершиться раньше.</x:v>
      </x:c>
      <x:c r="K46" s="56" t="str">
        <x:f>IF(OR(E46="string",E46="bool",AND(D46&gt;=G46,D46&lt;=H46)),"OK","ERROR")</x:f>
        <x:v>OK</x:v>
      </x:c>
    </x:row>
    <x:row r="47" ht="36" customHeight="1">
      <x:c r="A47" s="35" t="str">
        <x:v>global.ai.repeat_same_action_fp</x:v>
      </x:c>
      <x:c r="B47" s="38" t="str">
        <x:v>AI</x:v>
      </x:c>
      <x:c r="C47" s="44" t="str">
        <x:v>Штраф повтора ActionId</x:v>
      </x:c>
      <x:c r="D47" s="50" t="n">
        <x:v>550</x:v>
      </x:c>
      <x:c r="E47" s="38" t="str">
        <x:v>fp</x:v>
      </x:c>
      <x:c r="F47" s="38" t="str">
        <x:v>fp</x:v>
      </x:c>
      <x:c r="G47" s="50" t="n">
        <x:v>100</x:v>
      </x:c>
      <x:c r="H47" s="50" t="n">
        <x:v>1000</x:v>
      </x:c>
      <x:c r="I47" s="38" t="str">
        <x:v>Hypothesis</x:v>
      </x:c>
      <x:c r="J47" s="44" t="str">
        <x:v>0.55x.</x:v>
      </x:c>
      <x:c r="K47" s="56" t="str">
        <x:f>IF(OR(E47="string",E47="bool",AND(D47&gt;=G47,D47&lt;=H47)),"OK","ERROR")</x:f>
        <x:v>OK</x:v>
      </x:c>
    </x:row>
    <x:row r="48" ht="36" customHeight="1">
      <x:c r="A48" s="35" t="str">
        <x:v>global.ai.repeat_same_category_fp</x:v>
      </x:c>
      <x:c r="B48" s="38" t="str">
        <x:v>AI</x:v>
      </x:c>
      <x:c r="C48" s="44" t="str">
        <x:v>Штраф повтора категории</x:v>
      </x:c>
      <x:c r="D48" s="50" t="n">
        <x:v>800</x:v>
      </x:c>
      <x:c r="E48" s="38" t="str">
        <x:v>fp</x:v>
      </x:c>
      <x:c r="F48" s="38" t="str">
        <x:v>fp</x:v>
      </x:c>
      <x:c r="G48" s="50" t="n">
        <x:v>300</x:v>
      </x:c>
      <x:c r="H48" s="50" t="n">
        <x:v>1000</x:v>
      </x:c>
      <x:c r="I48" s="38" t="str">
        <x:v>Hypothesis</x:v>
      </x:c>
      <x:c r="J48" s="44" t="str">
        <x:v>0.80x.</x:v>
      </x:c>
      <x:c r="K48" s="56" t="str">
        <x:f>IF(OR(E48="string",E48="bool",AND(D48&gt;=G48,D48&lt;=H48)),"OK","ERROR")</x:f>
        <x:v>OK</x:v>
      </x:c>
    </x:row>
    <x:row r="49" ht="36" customHeight="1">
      <x:c r="A49" s="35" t="str">
        <x:v>global.ai.opportunity_growth_fp</x:v>
      </x:c>
      <x:c r="B49" s="38" t="str">
        <x:v>AI</x:v>
      </x:c>
      <x:c r="C49" s="44" t="str">
        <x:v>Рост signature opportunity</x:v>
      </x:c>
      <x:c r="D49" s="50" t="n">
        <x:v>250</x:v>
      </x:c>
      <x:c r="E49" s="38" t="str">
        <x:v>fp</x:v>
      </x:c>
      <x:c r="F49" s="38" t="str">
        <x:v>fp/eligible miss</x:v>
      </x:c>
      <x:c r="G49" s="50" t="n">
        <x:v>50</x:v>
      </x:c>
      <x:c r="H49" s="50" t="n">
        <x:v>600</x:v>
      </x:c>
      <x:c r="I49" s="38" t="str">
        <x:v>Hypothesis</x:v>
      </x:c>
      <x:c r="J49" s="44" t="str">
        <x:v>+0.25x за legal miss.</x:v>
      </x:c>
      <x:c r="K49" s="56" t="str">
        <x:f>IF(OR(E49="string",E49="bool",AND(D49&gt;=G49,D49&lt;=H49)),"OK","ERROR")</x:f>
        <x:v>OK</x:v>
      </x:c>
    </x:row>
    <x:row r="50" ht="36" customHeight="1">
      <x:c r="A50" s="35" t="str">
        <x:v>global.ai.opportunity_cap_fp</x:v>
      </x:c>
      <x:c r="B50" s="38" t="str">
        <x:v>AI</x:v>
      </x:c>
      <x:c r="C50" s="44" t="str">
        <x:v>Предел opportunity multiplier</x:v>
      </x:c>
      <x:c r="D50" s="50" t="n">
        <x:v>2500</x:v>
      </x:c>
      <x:c r="E50" s="38" t="str">
        <x:v>fp</x:v>
      </x:c>
      <x:c r="F50" s="38" t="str">
        <x:v>fp</x:v>
      </x:c>
      <x:c r="G50" s="50" t="n">
        <x:v>1500</x:v>
      </x:c>
      <x:c r="H50" s="50" t="n">
        <x:v>4000</x:v>
      </x:c>
      <x:c r="I50" s="38" t="str">
        <x:v>Hypothesis</x:v>
      </x:c>
      <x:c r="J50" s="44" t="str">
        <x:v>2.50x.</x:v>
      </x:c>
      <x:c r="K50" s="56" t="str">
        <x:f>IF(OR(E50="string",E50="bool",AND(D50&gt;=G50,D50&lt;=H50)),"OK","ERROR")</x:f>
        <x:v>OK</x:v>
      </x:c>
    </x:row>
    <x:row r="51" ht="36" customHeight="1">
      <x:c r="A51" s="35" t="str">
        <x:v>global.ai.hard_opportunity_misses</x:v>
      </x:c>
      <x:c r="B51" s="38" t="str">
        <x:v>AI</x:v>
      </x:c>
      <x:c r="C51" s="44" t="str">
        <x:v>Eligible misses до hard opportunity</x:v>
      </x:c>
      <x:c r="D51" s="50" t="n">
        <x:v>4</x:v>
      </x:c>
      <x:c r="E51" s="38" t="str">
        <x:v>int</x:v>
      </x:c>
      <x:c r="F51" s="38" t="str">
        <x:v>count</x:v>
      </x:c>
      <x:c r="G51" s="50" t="n">
        <x:v>2</x:v>
      </x:c>
      <x:c r="H51" s="50" t="n">
        <x:v>8</x:v>
      </x:c>
      <x:c r="I51" s="38" t="str">
        <x:v>Hypothesis</x:v>
      </x:c>
      <x:c r="J51" s="44" t="str">
        <x:v>Emergency defense остаётся выше.</x:v>
      </x:c>
      <x:c r="K51" s="56" t="str">
        <x:f>IF(OR(E51="string",E51="bool",AND(D51&gt;=G51,D51&lt;=H51)),"OK","ERROR")</x:f>
        <x:v>OK</x:v>
      </x:c>
    </x:row>
    <x:row r="52" ht="36" customHeight="1">
      <x:c r="A52" s="35" t="str">
        <x:v>global.ai.default_perception_delay_ticks</x:v>
      </x:c>
      <x:c r="B52" s="38" t="str">
        <x:v>AI</x:v>
      </x:c>
      <x:c r="C52" s="44" t="str">
        <x:v>Базовая задержка распознавания</x:v>
      </x:c>
      <x:c r="D52" s="50" t="n">
        <x:v>5</x:v>
      </x:c>
      <x:c r="E52" s="38" t="str">
        <x:v>int</x:v>
      </x:c>
      <x:c r="F52" s="38" t="str">
        <x:v>ticks</x:v>
      </x:c>
      <x:c r="G52" s="50" t="n">
        <x:v>1</x:v>
      </x:c>
      <x:c r="H52" s="50" t="n">
        <x:v>12</x:v>
      </x:c>
      <x:c r="I52" s="38" t="str">
        <x:v>Hypothesis</x:v>
      </x:c>
      <x:c r="J52" s="44" t="str">
        <x:v>Модифицируется тактикой.</x:v>
      </x:c>
      <x:c r="K52" s="56" t="str">
        <x:f>IF(OR(E52="string",E52="bool",AND(D52&gt;=G52,D52&lt;=H52)),"OK","ERROR")</x:f>
        <x:v>OK</x:v>
      </x:c>
    </x:row>
    <x:row r="53" ht="36" customHeight="1">
      <x:c r="A53" s="35" t="str">
        <x:v>state.idle.energy_regen_fp</x:v>
      </x:c>
      <x:c r="B53" s="38" t="str">
        <x:v>Energy</x:v>
      </x:c>
      <x:c r="C53" s="44" t="str">
        <x:v>Регенерация в Idle</x:v>
      </x:c>
      <x:c r="D53" s="50" t="n">
        <x:v>1000</x:v>
      </x:c>
      <x:c r="E53" s="38" t="str">
        <x:v>fp</x:v>
      </x:c>
      <x:c r="F53" s="38" t="str">
        <x:v>fp</x:v>
      </x:c>
      <x:c r="G53" s="50" t="n">
        <x:v>0</x:v>
      </x:c>
      <x:c r="H53" s="50" t="n">
        <x:v>1500</x:v>
      </x:c>
      <x:c r="I53" s="38" t="str">
        <x:v>Hypothesis</x:v>
      </x:c>
      <x:c r="J53" s="44" t="str">
        <x:v>1.0x.</x:v>
      </x:c>
      <x:c r="K53" s="56" t="str">
        <x:f>IF(OR(E53="string",E53="bool",AND(D53&gt;=G53,D53&lt;=H53)),"OK","ERROR")</x:f>
        <x:v>OK</x:v>
      </x:c>
    </x:row>
    <x:row r="54" ht="36" customHeight="1">
      <x:c r="A54" s="35" t="str">
        <x:v>state.prepare.energy_regen_fp</x:v>
      </x:c>
      <x:c r="B54" s="38" t="str">
        <x:v>Energy</x:v>
      </x:c>
      <x:c r="C54" s="44" t="str">
        <x:v>Регенерация в Prepare</x:v>
      </x:c>
      <x:c r="D54" s="50" t="n">
        <x:v>750</x:v>
      </x:c>
      <x:c r="E54" s="38" t="str">
        <x:v>fp</x:v>
      </x:c>
      <x:c r="F54" s="38" t="str">
        <x:v>fp</x:v>
      </x:c>
      <x:c r="G54" s="50" t="n">
        <x:v>0</x:v>
      </x:c>
      <x:c r="H54" s="50" t="n">
        <x:v>1500</x:v>
      </x:c>
      <x:c r="I54" s="38" t="str">
        <x:v>Hypothesis</x:v>
      </x:c>
      <x:c r="J54" s="44" t="str">
        <x:v>0.75x.</x:v>
      </x:c>
      <x:c r="K54" s="56" t="str">
        <x:f>IF(OR(E54="string",E54="bool",AND(D54&gt;=G54,D54&lt;=H54)),"OK","ERROR")</x:f>
        <x:v>OK</x:v>
      </x:c>
    </x:row>
    <x:row r="55" ht="36" customHeight="1">
      <x:c r="A55" s="35" t="str">
        <x:v>state.active.energy_regen_fp</x:v>
      </x:c>
      <x:c r="B55" s="38" t="str">
        <x:v>Energy</x:v>
      </x:c>
      <x:c r="C55" s="44" t="str">
        <x:v>Регенерация в Active</x:v>
      </x:c>
      <x:c r="D55" s="50" t="n">
        <x:v>400</x:v>
      </x:c>
      <x:c r="E55" s="38" t="str">
        <x:v>fp</x:v>
      </x:c>
      <x:c r="F55" s="38" t="str">
        <x:v>fp</x:v>
      </x:c>
      <x:c r="G55" s="50" t="n">
        <x:v>0</x:v>
      </x:c>
      <x:c r="H55" s="50" t="n">
        <x:v>1500</x:v>
      </x:c>
      <x:c r="I55" s="38" t="str">
        <x:v>Hypothesis</x:v>
      </x:c>
      <x:c r="J55" s="44" t="str">
        <x:v>0.40x.</x:v>
      </x:c>
      <x:c r="K55" s="56" t="str">
        <x:f>IF(OR(E55="string",E55="bool",AND(D55&gt;=G55,D55&lt;=H55)),"OK","ERROR")</x:f>
        <x:v>OK</x:v>
      </x:c>
    </x:row>
    <x:row r="56" ht="36" customHeight="1">
      <x:c r="A56" s="35" t="str">
        <x:v>state.recovery.energy_regen_fp</x:v>
      </x:c>
      <x:c r="B56" s="38" t="str">
        <x:v>Energy</x:v>
      </x:c>
      <x:c r="C56" s="44" t="str">
        <x:v>Регенерация в Recovery</x:v>
      </x:c>
      <x:c r="D56" s="50" t="n">
        <x:v>1100</x:v>
      </x:c>
      <x:c r="E56" s="38" t="str">
        <x:v>fp</x:v>
      </x:c>
      <x:c r="F56" s="38" t="str">
        <x:v>fp</x:v>
      </x:c>
      <x:c r="G56" s="50" t="n">
        <x:v>0</x:v>
      </x:c>
      <x:c r="H56" s="50" t="n">
        <x:v>1500</x:v>
      </x:c>
      <x:c r="I56" s="38" t="str">
        <x:v>Hypothesis</x:v>
      </x:c>
      <x:c r="J56" s="44" t="str">
        <x:v>1.10x.</x:v>
      </x:c>
      <x:c r="K56" s="56" t="str">
        <x:f>IF(OR(E56="string",E56="bool",AND(D56&gt;=G56,D56&lt;=H56)),"OK","ERROR")</x:f>
        <x:v>OK</x:v>
      </x:c>
    </x:row>
    <x:row r="57" ht="36" customHeight="1">
      <x:c r="A57" s="35" t="str">
        <x:v>state.block.energy_regen_fp</x:v>
      </x:c>
      <x:c r="B57" s="38" t="str">
        <x:v>Energy</x:v>
      </x:c>
      <x:c r="C57" s="44" t="str">
        <x:v>Регенерация в Block</x:v>
      </x:c>
      <x:c r="D57" s="50" t="n">
        <x:v>600</x:v>
      </x:c>
      <x:c r="E57" s="38" t="str">
        <x:v>fp</x:v>
      </x:c>
      <x:c r="F57" s="38" t="str">
        <x:v>fp</x:v>
      </x:c>
      <x:c r="G57" s="50" t="n">
        <x:v>0</x:v>
      </x:c>
      <x:c r="H57" s="50" t="n">
        <x:v>1500</x:v>
      </x:c>
      <x:c r="I57" s="38" t="str">
        <x:v>Hypothesis</x:v>
      </x:c>
      <x:c r="J57" s="44" t="str">
        <x:v>0.60x.</x:v>
      </x:c>
      <x:c r="K57" s="56" t="str">
        <x:f>IF(OR(E57="string",E57="bool",AND(D57&gt;=G57,D57&lt;=H57)),"OK","ERROR")</x:f>
        <x:v>OK</x:v>
      </x:c>
    </x:row>
    <x:row r="58" ht="36" customHeight="1">
      <x:c r="A58" s="35" t="str">
        <x:v>state.dodge.energy_regen_fp</x:v>
      </x:c>
      <x:c r="B58" s="38" t="str">
        <x:v>Energy</x:v>
      </x:c>
      <x:c r="C58" s="44" t="str">
        <x:v>Регенерация в Dodge</x:v>
      </x:c>
      <x:c r="D58" s="50" t="n">
        <x:v>600</x:v>
      </x:c>
      <x:c r="E58" s="38" t="str">
        <x:v>fp</x:v>
      </x:c>
      <x:c r="F58" s="38" t="str">
        <x:v>fp</x:v>
      </x:c>
      <x:c r="G58" s="50" t="n">
        <x:v>0</x:v>
      </x:c>
      <x:c r="H58" s="50" t="n">
        <x:v>1500</x:v>
      </x:c>
      <x:c r="I58" s="38" t="str">
        <x:v>Hypothesis</x:v>
      </x:c>
      <x:c r="J58" s="44" t="str">
        <x:v>0.60x.</x:v>
      </x:c>
      <x:c r="K58" s="56" t="str">
        <x:f>IF(OR(E58="string",E58="bool",AND(D58&gt;=G58,D58&lt;=H58)),"OK","ERROR")</x:f>
        <x:v>OK</x:v>
      </x:c>
    </x:row>
    <x:row r="59" ht="36" customHeight="1">
      <x:c r="A59" s="35" t="str">
        <x:v>state.stunned.energy_regen_fp</x:v>
      </x:c>
      <x:c r="B59" s="38" t="str">
        <x:v>Energy</x:v>
      </x:c>
      <x:c r="C59" s="44" t="str">
        <x:v>Регенерация в Stunned</x:v>
      </x:c>
      <x:c r="D59" s="50" t="n">
        <x:v>250</x:v>
      </x:c>
      <x:c r="E59" s="38" t="str">
        <x:v>fp</x:v>
      </x:c>
      <x:c r="F59" s="38" t="str">
        <x:v>fp</x:v>
      </x:c>
      <x:c r="G59" s="50" t="n">
        <x:v>0</x:v>
      </x:c>
      <x:c r="H59" s="50" t="n">
        <x:v>1000</x:v>
      </x:c>
      <x:c r="I59" s="38" t="str">
        <x:v>Hypothesis</x:v>
      </x:c>
      <x:c r="J59" s="44" t="str">
        <x:v>0.25x.</x:v>
      </x:c>
      <x:c r="K59" s="56" t="str">
        <x:f>IF(OR(E59="string",E59="bool",AND(D59&gt;=G59,D59&lt;=H59)),"OK","ERROR")</x:f>
        <x:v>OK</x:v>
      </x:c>
    </x:row>
    <x:row r="60" ht="36" customHeight="1">
      <x:c r="A60" s="35" t="str">
        <x:v>state.knocked_down.energy_regen_fp</x:v>
      </x:c>
      <x:c r="B60" s="38" t="str">
        <x:v>Energy</x:v>
      </x:c>
      <x:c r="C60" s="44" t="str">
        <x:v>Регенерация в KnockedDown</x:v>
      </x:c>
      <x:c r="D60" s="50" t="n">
        <x:v>0</x:v>
      </x:c>
      <x:c r="E60" s="38" t="str">
        <x:v>fp</x:v>
      </x:c>
      <x:c r="F60" s="38" t="str">
        <x:v>fp</x:v>
      </x:c>
      <x:c r="G60" s="50" t="n">
        <x:v>0</x:v>
      </x:c>
      <x:c r="H60" s="50" t="n">
        <x:v>1000</x:v>
      </x:c>
      <x:c r="I60" s="38" t="str">
        <x:v>Hypothesis</x:v>
      </x:c>
      <x:c r="J60" s="44" t="str">
        <x:v>Нет регенерации.</x:v>
      </x:c>
      <x:c r="K60" s="56" t="str">
        <x:f>IF(OR(E60="string",E60="bool",AND(D60&gt;=G60,D60&lt;=H60)),"OK","ERROR")</x:f>
        <x:v>OK</x:v>
      </x:c>
    </x:row>
    <x:row r="61" ht="36" customHeight="1">
      <x:c r="A61" s="35" t="str">
        <x:v>state.grabbed.energy_regen_fp</x:v>
      </x:c>
      <x:c r="B61" s="38" t="str">
        <x:v>Energy</x:v>
      </x:c>
      <x:c r="C61" s="44" t="str">
        <x:v>Регенерация в Grabbed</x:v>
      </x:c>
      <x:c r="D61" s="50" t="n">
        <x:v>0</x:v>
      </x:c>
      <x:c r="E61" s="38" t="str">
        <x:v>fp</x:v>
      </x:c>
      <x:c r="F61" s="38" t="str">
        <x:v>fp</x:v>
      </x:c>
      <x:c r="G61" s="50" t="n">
        <x:v>0</x:v>
      </x:c>
      <x:c r="H61" s="50" t="n">
        <x:v>1000</x:v>
      </x:c>
      <x:c r="I61" s="38" t="str">
        <x:v>Hypothesis</x:v>
      </x:c>
      <x:c r="J61" s="44" t="str">
        <x:v>Нет регенерации.</x:v>
      </x:c>
      <x:c r="K61" s="56" t="str">
        <x:f>IF(OR(E61="string",E61="bool",AND(D61&gt;=G61,D61&lt;=H61)),"OK","ERROR")</x:f>
        <x:v>OK</x:v>
      </x:c>
    </x:row>
    <x:row r="62" ht="36" customHeight="1">
      <x:c r="A62" s="35" t="str">
        <x:v>fighter.bear.rage_per_damage_fp</x:v>
      </x:c>
      <x:c r="B62" s="38" t="str">
        <x:v>Bear Rage</x:v>
      </x:c>
      <x:c r="C62" s="44" t="str">
        <x:v>Ярость за полученный урон</x:v>
      </x:c>
      <x:c r="D62" s="50" t="n">
        <x:v>350</x:v>
      </x:c>
      <x:c r="E62" s="38" t="str">
        <x:v>fp</x:v>
      </x:c>
      <x:c r="F62" s="38" t="str">
        <x:v>fp</x:v>
      </x:c>
      <x:c r="G62" s="50" t="n">
        <x:v>100</x:v>
      </x:c>
      <x:c r="H62" s="50" t="n">
        <x:v>800</x:v>
      </x:c>
      <x:c r="I62" s="38" t="str">
        <x:v>Hypothesis</x:v>
      </x:c>
      <x:c r="J62" s="44" t="str">
        <x:v>0.35 ярости за 1 HP.</x:v>
      </x:c>
      <x:c r="K62" s="56" t="str">
        <x:f>IF(OR(E62="string",E62="bool",AND(D62&gt;=G62,D62&lt;=H62)),"OK","ERROR")</x:f>
        <x:v>OK</x:v>
      </x:c>
    </x:row>
    <x:row r="63" ht="36" customHeight="1">
      <x:c r="A63" s="35" t="str">
        <x:v>fighter.bear.rage_per_heavy</x:v>
      </x:c>
      <x:c r="B63" s="38" t="str">
        <x:v>Bear Rage</x:v>
      </x:c>
      <x:c r="C63" s="44" t="str">
        <x:v>Ярость за heavy hit</x:v>
      </x:c>
      <x:c r="D63" s="50" t="n">
        <x:v>80</x:v>
      </x:c>
      <x:c r="E63" s="38" t="str">
        <x:v>int</x:v>
      </x:c>
      <x:c r="F63" s="38" t="str">
        <x:v>resource</x:v>
      </x:c>
      <x:c r="G63" s="50" t="n">
        <x:v>20</x:v>
      </x:c>
      <x:c r="H63" s="50" t="n">
        <x:v>200</x:v>
      </x:c>
      <x:c r="I63" s="38" t="str">
        <x:v>Hypothesis</x:v>
      </x:c>
      <x:c r="J63" s="44" t="str">
        <x:v>На resolved heavy.</x:v>
      </x:c>
      <x:c r="K63" s="56" t="str">
        <x:f>IF(OR(E63="string",E63="bool",AND(D63&gt;=G63,D63&lt;=H63)),"OK","ERROR")</x:f>
        <x:v>OK</x:v>
      </x:c>
    </x:row>
    <x:row r="64" ht="36" customHeight="1">
      <x:c r="A64" s="35" t="str">
        <x:v>fighter.bear.rage_per_blocked_heavy</x:v>
      </x:c>
      <x:c r="B64" s="38" t="str">
        <x:v>Bear Rage</x:v>
      </x:c>
      <x:c r="C64" s="44" t="str">
        <x:v>Ярость за blocked heavy</x:v>
      </x:c>
      <x:c r="D64" s="50" t="n">
        <x:v>40</x:v>
      </x:c>
      <x:c r="E64" s="38" t="str">
        <x:v>int</x:v>
      </x:c>
      <x:c r="F64" s="38" t="str">
        <x:v>resource</x:v>
      </x:c>
      <x:c r="G64" s="50" t="n">
        <x:v>10</x:v>
      </x:c>
      <x:c r="H64" s="50" t="n">
        <x:v>120</x:v>
      </x:c>
      <x:c r="I64" s="38" t="str">
        <x:v>Hypothesis</x:v>
      </x:c>
      <x:c r="J64" s="44" t="str">
        <x:v>Один раз на source event.</x:v>
      </x:c>
      <x:c r="K64" s="56" t="str">
        <x:f>IF(OR(E64="string",E64="bool",AND(D64&gt;=G64,D64&lt;=H64)),"OK","ERROR")</x:f>
        <x:v>OK</x:v>
      </x:c>
    </x:row>
    <x:row r="65" ht="36" customHeight="1">
      <x:c r="A65" s="35" t="str">
        <x:v>fighter.bear.low_health_threshold_fp</x:v>
      </x:c>
      <x:c r="B65" s="38" t="str">
        <x:v>Bear Rage</x:v>
      </x:c>
      <x:c r="C65" s="44" t="str">
        <x:v>Порог low health</x:v>
      </x:c>
      <x:c r="D65" s="50" t="n">
        <x:v>350</x:v>
      </x:c>
      <x:c r="E65" s="38" t="str">
        <x:v>fp</x:v>
      </x:c>
      <x:c r="F65" s="38" t="str">
        <x:v>fp</x:v>
      </x:c>
      <x:c r="G65" s="50" t="n">
        <x:v>200</x:v>
      </x:c>
      <x:c r="H65" s="50" t="n">
        <x:v>500</x:v>
      </x:c>
      <x:c r="I65" s="38" t="str">
        <x:v>Hypothesis</x:v>
      </x:c>
      <x:c r="J65" s="44" t="str">
        <x:v>35% MaxHealth.</x:v>
      </x:c>
      <x:c r="K65" s="56" t="str">
        <x:f>IF(OR(E65="string",E65="bool",AND(D65&gt;=G65,D65&lt;=H65)),"OK","ERROR")</x:f>
        <x:v>OK</x:v>
      </x:c>
    </x:row>
    <x:row r="66" ht="36" customHeight="1">
      <x:c r="A66" s="35" t="str">
        <x:v>fighter.bear.low_health_rage_multiplier_fp</x:v>
      </x:c>
      <x:c r="B66" s="38" t="str">
        <x:v>Bear Rage</x:v>
      </x:c>
      <x:c r="C66" s="44" t="str">
        <x:v>Множитель ярости при low health</x:v>
      </x:c>
      <x:c r="D66" s="50" t="n">
        <x:v>1500</x:v>
      </x:c>
      <x:c r="E66" s="38" t="str">
        <x:v>fp</x:v>
      </x:c>
      <x:c r="F66" s="38" t="str">
        <x:v>fp</x:v>
      </x:c>
      <x:c r="G66" s="50" t="n">
        <x:v>1000</x:v>
      </x:c>
      <x:c r="H66" s="50" t="n">
        <x:v>2200</x:v>
      </x:c>
      <x:c r="I66" s="38" t="str">
        <x:v>Hypothesis</x:v>
      </x:c>
      <x:c r="J66" s="44" t="str">
        <x:v>1.50x, capped per tick.</x:v>
      </x:c>
      <x:c r="K66" s="56" t="str">
        <x:f>IF(OR(E66="string",E66="bool",AND(D66&gt;=G66,D66&lt;=H66)),"OK","ERROR")</x:f>
        <x:v>OK</x:v>
      </x:c>
    </x:row>
    <x:row r="67" ht="36" customHeight="1">
      <x:c r="A67" s="35" t="str">
        <x:v>fighter.bear.rage_tier_1</x:v>
      </x:c>
      <x:c r="B67" s="38" t="str">
        <x:v>Bear Rage</x:v>
      </x:c>
      <x:c r="C67" s="44" t="str">
        <x:v>Порог Rage I</x:v>
      </x:c>
      <x:c r="D67" s="50" t="n">
        <x:v>250</x:v>
      </x:c>
      <x:c r="E67" s="38" t="str">
        <x:v>int</x:v>
      </x:c>
      <x:c r="F67" s="38" t="str">
        <x:v>resource</x:v>
      </x:c>
      <x:c r="G67" s="50" t="n">
        <x:v>100</x:v>
      </x:c>
      <x:c r="H67" s="50" t="n">
        <x:v>400</x:v>
      </x:c>
      <x:c r="I67" s="38" t="str">
        <x:v>Hypothesis</x:v>
      </x:c>
      <x:c r="J67" s="44" t="str">
        <x:v>Повышает pressure weight.</x:v>
      </x:c>
      <x:c r="K67" s="56" t="str">
        <x:f>IF(OR(E67="string",E67="bool",AND(D67&gt;=G67,D67&lt;=H67)),"OK","ERROR")</x:f>
        <x:v>OK</x:v>
      </x:c>
    </x:row>
    <x:row r="68" ht="36" customHeight="1">
      <x:c r="A68" s="35" t="str">
        <x:v>fighter.bear.rage_tier_2</x:v>
      </x:c>
      <x:c r="B68" s="38" t="str">
        <x:v>Bear Rage</x:v>
      </x:c>
      <x:c r="C68" s="44" t="str">
        <x:v>Порог Rage II</x:v>
      </x:c>
      <x:c r="D68" s="50" t="n">
        <x:v>550</x:v>
      </x:c>
      <x:c r="E68" s="38" t="str">
        <x:v>int</x:v>
      </x:c>
      <x:c r="F68" s="38" t="str">
        <x:v>resource</x:v>
      </x:c>
      <x:c r="G68" s="50" t="n">
        <x:v>350</x:v>
      </x:c>
      <x:c r="H68" s="50" t="n">
        <x:v>700</x:v>
      </x:c>
      <x:c r="I68" s="38" t="str">
        <x:v>Hypothesis</x:v>
      </x:c>
      <x:c r="J68" s="44" t="str">
        <x:v>Открывает средние signature costs.</x:v>
      </x:c>
      <x:c r="K68" s="56" t="str">
        <x:f>IF(OR(E68="string",E68="bool",AND(D68&gt;=G68,D68&lt;=H68)),"OK","ERROR")</x:f>
        <x:v>OK</x:v>
      </x:c>
    </x:row>
    <x:row r="69" ht="36" customHeight="1">
      <x:c r="A69" s="35" t="str">
        <x:v>fighter.bear.rage_tier_3</x:v>
      </x:c>
      <x:c r="B69" s="38" t="str">
        <x:v>Bear Rage</x:v>
      </x:c>
      <x:c r="C69" s="44" t="str">
        <x:v>Порог Rage III</x:v>
      </x:c>
      <x:c r="D69" s="50" t="n">
        <x:v>800</x:v>
      </x:c>
      <x:c r="E69" s="38" t="str">
        <x:v>int</x:v>
      </x:c>
      <x:c r="F69" s="38" t="str">
        <x:v>resource</x:v>
      </x:c>
      <x:c r="G69" s="50" t="n">
        <x:v>600</x:v>
      </x:c>
      <x:c r="H69" s="50" t="n">
        <x:v>950</x:v>
      </x:c>
      <x:c r="I69" s="38" t="str">
        <x:v>Hypothesis</x:v>
      </x:c>
      <x:c r="J69" s="44" t="str">
        <x:v>Finisher opportunity.</x:v>
      </x:c>
      <x:c r="K69" s="56" t="str">
        <x:f>IF(OR(E69="string",E69="bool",AND(D69&gt;=G69,D69&lt;=H69)),"OK","ERROR")</x:f>
        <x:v>OK</x:v>
      </x:c>
    </x:row>
    <x:row r="70" ht="36" customHeight="1">
      <x:c r="A70" s="35" t="str">
        <x:v>fighter.kangaroo.tempo_per_unit_fp</x:v>
      </x:c>
      <x:c r="B70" s="38" t="str">
        <x:v>Kangaroo Tempo</x:v>
      </x:c>
      <x:c r="C70" s="44" t="str">
        <x:v>Темп за добровольное движение</x:v>
      </x:c>
      <x:c r="D70" s="50" t="n">
        <x:v>100</x:v>
      </x:c>
      <x:c r="E70" s="38" t="str">
        <x:v>fp</x:v>
      </x:c>
      <x:c r="F70" s="38" t="str">
        <x:v>fp/position</x:v>
      </x:c>
      <x:c r="G70" s="50" t="n">
        <x:v>20</x:v>
      </x:c>
      <x:c r="H70" s="50" t="n">
        <x:v>250</x:v>
      </x:c>
      <x:c r="I70" s="38" t="str">
        <x:v>Hypothesis</x:v>
      </x:c>
      <x:c r="J70" s="44" t="str">
        <x:v>0.10 за единицу дистанции.</x:v>
      </x:c>
      <x:c r="K70" s="56" t="str">
        <x:f>IF(OR(E70="string",E70="bool",AND(D70&gt;=G70,D70&lt;=H70)),"OK","ERROR")</x:f>
        <x:v>OK</x:v>
      </x:c>
    </x:row>
    <x:row r="71" ht="36" customHeight="1">
      <x:c r="A71" s="35" t="str">
        <x:v>fighter.kangaroo.dodge_bonus</x:v>
      </x:c>
      <x:c r="B71" s="38" t="str">
        <x:v>Kangaroo Tempo</x:v>
      </x:c>
      <x:c r="C71" s="44" t="str">
        <x:v>Темп за успешный Dodge</x:v>
      </x:c>
      <x:c r="D71" s="50" t="n">
        <x:v>180</x:v>
      </x:c>
      <x:c r="E71" s="38" t="str">
        <x:v>int</x:v>
      </x:c>
      <x:c r="F71" s="38" t="str">
        <x:v>resource</x:v>
      </x:c>
      <x:c r="G71" s="50" t="n">
        <x:v>80</x:v>
      </x:c>
      <x:c r="H71" s="50" t="n">
        <x:v>300</x:v>
      </x:c>
      <x:c r="I71" s="38" t="str">
        <x:v>Hypothesis</x:v>
      </x:c>
      <x:c r="J71" s="44" t="str">
        <x:v>Один раз на hit group.</x:v>
      </x:c>
      <x:c r="K71" s="56" t="str">
        <x:f>IF(OR(E71="string",E71="bool",AND(D71&gt;=G71,D71&lt;=H71)),"OK","ERROR")</x:f>
        <x:v>OK</x:v>
      </x:c>
    </x:row>
    <x:row r="72" ht="36" customHeight="1">
      <x:c r="A72" s="35" t="str">
        <x:v>fighter.kangaroo.rhythm_bonus</x:v>
      </x:c>
      <x:c r="B72" s="38" t="str">
        <x:v>Kangaroo Tempo</x:v>
      </x:c>
      <x:c r="C72" s="44" t="str">
        <x:v>Темп за новую категорию</x:v>
      </x:c>
      <x:c r="D72" s="50" t="n">
        <x:v>100</x:v>
      </x:c>
      <x:c r="E72" s="38" t="str">
        <x:v>int</x:v>
      </x:c>
      <x:c r="F72" s="38" t="str">
        <x:v>resource</x:v>
      </x:c>
      <x:c r="G72" s="50" t="n">
        <x:v>40</x:v>
      </x:c>
      <x:c r="H72" s="50" t="n">
        <x:v>220</x:v>
      </x:c>
      <x:c r="I72" s="38" t="str">
        <x:v>Hypothesis</x:v>
      </x:c>
      <x:c r="J72" s="44" t="str">
        <x:v>Не начисляется за repeat category.</x:v>
      </x:c>
      <x:c r="K72" s="56" t="str">
        <x:f>IF(OR(E72="string",E72="bool",AND(D72&gt;=G72,D72&lt;=H72)),"OK","ERROR")</x:f>
        <x:v>OK</x:v>
      </x:c>
    </x:row>
    <x:row r="73" ht="36" customHeight="1">
      <x:c r="A73" s="35" t="str">
        <x:v>fighter.kangaroo.decay_grace_ticks</x:v>
      </x:c>
      <x:c r="B73" s="38" t="str">
        <x:v>Kangaroo Tempo</x:v>
      </x:c>
      <x:c r="C73" s="44" t="str">
        <x:v>Пауза до распада темпа</x:v>
      </x:c>
      <x:c r="D73" s="50" t="n">
        <x:v>20</x:v>
      </x:c>
      <x:c r="E73" s="38" t="str">
        <x:v>int</x:v>
      </x:c>
      <x:c r="F73" s="38" t="str">
        <x:v>ticks</x:v>
      </x:c>
      <x:c r="G73" s="50" t="n">
        <x:v>8</x:v>
      </x:c>
      <x:c r="H73" s="50" t="n">
        <x:v>50</x:v>
      </x:c>
      <x:c r="I73" s="38" t="str">
        <x:v>Hypothesis</x:v>
      </x:c>
      <x:c r="J73" s="44" t="str">
        <x:v>Продлевается пассивом.</x:v>
      </x:c>
      <x:c r="K73" s="56" t="str">
        <x:f>IF(OR(E73="string",E73="bool",AND(D73&gt;=G73,D73&lt;=H73)),"OK","ERROR")</x:f>
        <x:v>OK</x:v>
      </x:c>
    </x:row>
    <x:row r="74" ht="36" customHeight="1">
      <x:c r="A74" s="35" t="str">
        <x:v>fighter.kangaroo.idle_decay_per_tick</x:v>
      </x:c>
      <x:c r="B74" s="38" t="str">
        <x:v>Kangaroo Tempo</x:v>
      </x:c>
      <x:c r="C74" s="44" t="str">
        <x:v>Распад темпа после grace</x:v>
      </x:c>
      <x:c r="D74" s="50" t="n">
        <x:v>20</x:v>
      </x:c>
      <x:c r="E74" s="38" t="str">
        <x:v>int</x:v>
      </x:c>
      <x:c r="F74" s="38" t="str">
        <x:v>resource/tick</x:v>
      </x:c>
      <x:c r="G74" s="50" t="n">
        <x:v>5</x:v>
      </x:c>
      <x:c r="H74" s="50" t="n">
        <x:v>50</x:v>
      </x:c>
      <x:c r="I74" s="38" t="str">
        <x:v>Hypothesis</x:v>
      </x:c>
      <x:c r="J74" s="44" t="str">
        <x:v>Только после grace.</x:v>
      </x:c>
      <x:c r="K74" s="56" t="str">
        <x:f>IF(OR(E74="string",E74="bool",AND(D74&gt;=G74,D74&lt;=H74)),"OK","ERROR")</x:f>
        <x:v>OK</x:v>
      </x:c>
    </x:row>
    <x:row r="75" ht="36" customHeight="1">
      <x:c r="A75" s="35" t="str">
        <x:v>fighter.kangaroo.break_loss</x:v>
      </x:c>
      <x:c r="B75" s="38" t="str">
        <x:v>Kangaroo Tempo</x:v>
      </x:c>
      <x:c r="C75" s="44" t="str">
        <x:v>Потеря от interrupt/hard control</x:v>
      </x:c>
      <x:c r="D75" s="50" t="n">
        <x:v>300</x:v>
      </x:c>
      <x:c r="E75" s="38" t="str">
        <x:v>int</x:v>
      </x:c>
      <x:c r="F75" s="38" t="str">
        <x:v>resource</x:v>
      </x:c>
      <x:c r="G75" s="50" t="n">
        <x:v>120</x:v>
      </x:c>
      <x:c r="H75" s="50" t="n">
        <x:v>500</x:v>
      </x:c>
      <x:c r="I75" s="38" t="str">
        <x:v>Hypothesis</x:v>
      </x:c>
      <x:c r="J75" s="44" t="str">
        <x:v>Clamp до нуля.</x:v>
      </x:c>
      <x:c r="K75" s="56" t="str">
        <x:f>IF(OR(E75="string",E75="bool",AND(D75&gt;=G75,D75&lt;=H75)),"OK","ERROR")</x:f>
        <x:v>OK</x:v>
      </x:c>
    </x:row>
    <x:row r="76" ht="36" customHeight="1">
      <x:c r="A76" s="35" t="str">
        <x:v>fighter.kangaroo.tempo_tier_1</x:v>
      </x:c>
      <x:c r="B76" s="38" t="str">
        <x:v>Kangaroo Tempo</x:v>
      </x:c>
      <x:c r="C76" s="44" t="str">
        <x:v>Порог Tempo I</x:v>
      </x:c>
      <x:c r="D76" s="50" t="n">
        <x:v>250</x:v>
      </x:c>
      <x:c r="E76" s="38" t="str">
        <x:v>int</x:v>
      </x:c>
      <x:c r="F76" s="38" t="str">
        <x:v>resource</x:v>
      </x:c>
      <x:c r="G76" s="50" t="n">
        <x:v>100</x:v>
      </x:c>
      <x:c r="H76" s="50" t="n">
        <x:v>400</x:v>
      </x:c>
      <x:c r="I76" s="38" t="str">
        <x:v>Hypothesis</x:v>
      </x:c>
      <x:c r="J76" s="44" t="str">
        <x:v>Усиливает movement.</x:v>
      </x:c>
      <x:c r="K76" s="56" t="str">
        <x:f>IF(OR(E76="string",E76="bool",AND(D76&gt;=G76,D76&lt;=H76)),"OK","ERROR")</x:f>
        <x:v>OK</x:v>
      </x:c>
    </x:row>
    <x:row r="77" ht="36" customHeight="1">
      <x:c r="A77" s="35" t="str">
        <x:v>fighter.kangaroo.tempo_tier_2</x:v>
      </x:c>
      <x:c r="B77" s="38" t="str">
        <x:v>Kangaroo Tempo</x:v>
      </x:c>
      <x:c r="C77" s="44" t="str">
        <x:v>Порог Tempo II</x:v>
      </x:c>
      <x:c r="D77" s="50" t="n">
        <x:v>550</x:v>
      </x:c>
      <x:c r="E77" s="38" t="str">
        <x:v>int</x:v>
      </x:c>
      <x:c r="F77" s="38" t="str">
        <x:v>resource</x:v>
      </x:c>
      <x:c r="G77" s="50" t="n">
        <x:v>350</x:v>
      </x:c>
      <x:c r="H77" s="50" t="n">
        <x:v>700</x:v>
      </x:c>
      <x:c r="I77" s="38" t="str">
        <x:v>Hypothesis</x:v>
      </x:c>
      <x:c r="J77" s="44" t="str">
        <x:v>Открывает средние signature costs.</x:v>
      </x:c>
      <x:c r="K77" s="56" t="str">
        <x:f>IF(OR(E77="string",E77="bool",AND(D77&gt;=G77,D77&lt;=H77)),"OK","ERROR")</x:f>
        <x:v>OK</x:v>
      </x:c>
    </x:row>
    <x:row r="78" ht="36" customHeight="1">
      <x:c r="A78" s="35" t="str">
        <x:v>fighter.kangaroo.tempo_tier_3</x:v>
      </x:c>
      <x:c r="B78" s="38" t="str">
        <x:v>Kangaroo Tempo</x:v>
      </x:c>
      <x:c r="C78" s="44" t="str">
        <x:v>Порог Tempo III</x:v>
      </x:c>
      <x:c r="D78" s="50" t="n">
        <x:v>800</x:v>
      </x:c>
      <x:c r="E78" s="38" t="str">
        <x:v>int</x:v>
      </x:c>
      <x:c r="F78" s="38" t="str">
        <x:v>resource</x:v>
      </x:c>
      <x:c r="G78" s="50" t="n">
        <x:v>600</x:v>
      </x:c>
      <x:c r="H78" s="50" t="n">
        <x:v>950</x:v>
      </x:c>
      <x:c r="I78" s="38" t="str">
        <x:v>Hypothesis</x:v>
      </x:c>
      <x:c r="J78" s="44" t="str">
        <x:v>Finisher opportunity.</x:v>
      </x:c>
      <x:c r="K78" s="56" t="str">
        <x:f>IF(OR(E78="string",E78="bool",AND(D78&gt;=G78,D78&lt;=H78)),"OK","ERROR")</x:f>
        <x:v>OK</x:v>
      </x:c>
    </x:row>
    <x:row r="79" ht="36" customHeight="1">
      <x:c r="A79" s="35" t="str">
        <x:v>fighter.gorilla.grip_per_block</x:v>
      </x:c>
      <x:c r="B79" s="38" t="str">
        <x:v>Gorilla Grip</x:v>
      </x:c>
      <x:c r="C79" s="44" t="str">
        <x:v>Хватка за успешный Block</x:v>
      </x:c>
      <x:c r="D79" s="50" t="n">
        <x:v>150</x:v>
      </x:c>
      <x:c r="E79" s="38" t="str">
        <x:v>int</x:v>
      </x:c>
      <x:c r="F79" s="38" t="str">
        <x:v>resource</x:v>
      </x:c>
      <x:c r="G79" s="50" t="n">
        <x:v>60</x:v>
      </x:c>
      <x:c r="H79" s="50" t="n">
        <x:v>260</x:v>
      </x:c>
      <x:c r="I79" s="38" t="str">
        <x:v>Hypothesis</x:v>
      </x:c>
      <x:c r="J79" s="44" t="str">
        <x:v>Один раз на hit group.</x:v>
      </x:c>
      <x:c r="K79" s="56" t="str">
        <x:f>IF(OR(E79="string",E79="bool",AND(D79&gt;=G79,D79&lt;=H79)),"OK","ERROR")</x:f>
        <x:v>OK</x:v>
      </x:c>
    </x:row>
    <x:row r="80" ht="36" customHeight="1">
      <x:c r="A80" s="35" t="str">
        <x:v>fighter.gorilla.grip_per_shove</x:v>
      </x:c>
      <x:c r="B80" s="38" t="str">
        <x:v>Gorilla Grip</x:v>
      </x:c>
      <x:c r="C80" s="44" t="str">
        <x:v>Хватка за Driving Shove</x:v>
      </x:c>
      <x:c r="D80" s="50" t="n">
        <x:v>120</x:v>
      </x:c>
      <x:c r="E80" s="38" t="str">
        <x:v>int</x:v>
      </x:c>
      <x:c r="F80" s="38" t="str">
        <x:v>resource</x:v>
      </x:c>
      <x:c r="G80" s="50" t="n">
        <x:v>40</x:v>
      </x:c>
      <x:c r="H80" s="50" t="n">
        <x:v>220</x:v>
      </x:c>
      <x:c r="I80" s="38" t="str">
        <x:v>Hypothesis</x:v>
      </x:c>
      <x:c r="J80" s="44" t="str">
        <x:v>Только resolved hit.</x:v>
      </x:c>
      <x:c r="K80" s="56" t="str">
        <x:f>IF(OR(E80="string",E80="bool",AND(D80&gt;=G80,D80&lt;=H80)),"OK","ERROR")</x:f>
        <x:v>OK</x:v>
      </x:c>
    </x:row>
    <x:row r="81" ht="36" customHeight="1">
      <x:c r="A81" s="35" t="str">
        <x:v>fighter.gorilla.grip_per_grab</x:v>
      </x:c>
      <x:c r="B81" s="38" t="str">
        <x:v>Gorilla Grip</x:v>
      </x:c>
      <x:c r="C81" s="44" t="str">
        <x:v>Хватка за resolved grab</x:v>
      </x:c>
      <x:c r="D81" s="50" t="n">
        <x:v>180</x:v>
      </x:c>
      <x:c r="E81" s="38" t="str">
        <x:v>int</x:v>
      </x:c>
      <x:c r="F81" s="38" t="str">
        <x:v>resource</x:v>
      </x:c>
      <x:c r="G81" s="50" t="n">
        <x:v>80</x:v>
      </x:c>
      <x:c r="H81" s="50" t="n">
        <x:v>300</x:v>
      </x:c>
      <x:c r="I81" s="38" t="str">
        <x:v>Hypothesis</x:v>
      </x:c>
      <x:c r="J81" s="44" t="str">
        <x:v>Один раз на grab lifecycle.</x:v>
      </x:c>
      <x:c r="K81" s="56" t="str">
        <x:f>IF(OR(E81="string",E81="bool",AND(D81&gt;=G81,D81&lt;=H81)),"OK","ERROR")</x:f>
        <x:v>OK</x:v>
      </x:c>
    </x:row>
    <x:row r="82" ht="36" customHeight="1">
      <x:c r="A82" s="35" t="str">
        <x:v>fighter.gorilla.grip_per_wall_tick</x:v>
      </x:c>
      <x:c r="B82" s="38" t="str">
        <x:v>Gorilla Grip</x:v>
      </x:c>
      <x:c r="C82" s="44" t="str">
        <x:v>Хватка за wall pressure tick</x:v>
      </x:c>
      <x:c r="D82" s="50" t="n">
        <x:v>20</x:v>
      </x:c>
      <x:c r="E82" s="38" t="str">
        <x:v>int</x:v>
      </x:c>
      <x:c r="F82" s="38" t="str">
        <x:v>resource</x:v>
      </x:c>
      <x:c r="G82" s="50" t="n">
        <x:v>5</x:v>
      </x:c>
      <x:c r="H82" s="50" t="n">
        <x:v>60</x:v>
      </x:c>
      <x:c r="I82" s="38" t="str">
        <x:v>Hypothesis</x:v>
      </x:c>
      <x:c r="J82" s="44" t="str">
        <x:v>С rate limit.</x:v>
      </x:c>
      <x:c r="K82" s="56" t="str">
        <x:f>IF(OR(E82="string",E82="bool",AND(D82&gt;=G82,D82&lt;=H82)),"OK","ERROR")</x:f>
        <x:v>OK</x:v>
      </x:c>
    </x:row>
    <x:row r="83" ht="36" customHeight="1">
      <x:c r="A83" s="35" t="str">
        <x:v>fighter.gorilla.wall_tick_interval</x:v>
      </x:c>
      <x:c r="B83" s="38" t="str">
        <x:v>Gorilla Grip</x:v>
      </x:c>
      <x:c r="C83" s="44" t="str">
        <x:v>Интервал wall pressure</x:v>
      </x:c>
      <x:c r="D83" s="50" t="n">
        <x:v>5</x:v>
      </x:c>
      <x:c r="E83" s="38" t="str">
        <x:v>int</x:v>
      </x:c>
      <x:c r="F83" s="38" t="str">
        <x:v>ticks</x:v>
      </x:c>
      <x:c r="G83" s="50" t="n">
        <x:v>2</x:v>
      </x:c>
      <x:c r="H83" s="50" t="n">
        <x:v>12</x:v>
      </x:c>
      <x:c r="I83" s="38" t="str">
        <x:v>Hypothesis</x:v>
      </x:c>
      <x:c r="J83" s="44" t="str">
        <x:v>Не чаще одного начисления за интервал.</x:v>
      </x:c>
      <x:c r="K83" s="56" t="str">
        <x:f>IF(OR(E83="string",E83="bool",AND(D83&gt;=G83,D83&lt;=H83)),"OK","ERROR")</x:f>
        <x:v>OK</x:v>
      </x:c>
    </x:row>
    <x:row r="84" ht="36" customHeight="1">
      <x:c r="A84" s="35" t="str">
        <x:v>fighter.gorilla.disengage_grace_ticks</x:v>
      </x:c>
      <x:c r="B84" s="38" t="str">
        <x:v>Gorilla Grip</x:v>
      </x:c>
      <x:c r="C84" s="44" t="str">
        <x:v>Пауза до потери хватки</x:v>
      </x:c>
      <x:c r="D84" s="50" t="n">
        <x:v>20</x:v>
      </x:c>
      <x:c r="E84" s="38" t="str">
        <x:v>int</x:v>
      </x:c>
      <x:c r="F84" s="38" t="str">
        <x:v>ticks</x:v>
      </x:c>
      <x:c r="G84" s="50" t="n">
        <x:v>8</x:v>
      </x:c>
      <x:c r="H84" s="50" t="n">
        <x:v>50</x:v>
      </x:c>
      <x:c r="I84" s="38" t="str">
        <x:v>Hypothesis</x:v>
      </x:c>
      <x:c r="J84" s="44" t="str">
        <x:v>После потери engagement.</x:v>
      </x:c>
      <x:c r="K84" s="56" t="str">
        <x:f>IF(OR(E84="string",E84="bool",AND(D84&gt;=G84,D84&lt;=H84)),"OK","ERROR")</x:f>
        <x:v>OK</x:v>
      </x:c>
    </x:row>
    <x:row r="85" ht="36" customHeight="1">
      <x:c r="A85" s="35" t="str">
        <x:v>fighter.gorilla.disengage_loss_per_tick</x:v>
      </x:c>
      <x:c r="B85" s="38" t="str">
        <x:v>Gorilla Grip</x:v>
      </x:c>
      <x:c r="C85" s="44" t="str">
        <x:v>Потеря хватки вне engagement</x:v>
      </x:c>
      <x:c r="D85" s="50" t="n">
        <x:v>15</x:v>
      </x:c>
      <x:c r="E85" s="38" t="str">
        <x:v>int</x:v>
      </x:c>
      <x:c r="F85" s="38" t="str">
        <x:v>resource/tick</x:v>
      </x:c>
      <x:c r="G85" s="50" t="n">
        <x:v>5</x:v>
      </x:c>
      <x:c r="H85" s="50" t="n">
        <x:v>40</x:v>
      </x:c>
      <x:c r="I85" s="38" t="str">
        <x:v>Hypothesis</x:v>
      </x:c>
      <x:c r="J85" s="44" t="str">
        <x:v>После grace.</x:v>
      </x:c>
      <x:c r="K85" s="56" t="str">
        <x:f>IF(OR(E85="string",E85="bool",AND(D85&gt;=G85,D85&lt;=H85)),"OK","ERROR")</x:f>
        <x:v>OK</x:v>
      </x:c>
    </x:row>
    <x:row r="86" ht="36" customHeight="1">
      <x:c r="A86" s="35" t="str">
        <x:v>fighter.gorilla.hard_control_loss</x:v>
      </x:c>
      <x:c r="B86" s="38" t="str">
        <x:v>Gorilla Grip</x:v>
      </x:c>
      <x:c r="C86" s="44" t="str">
        <x:v>Потеря от собственного hard control</x:v>
      </x:c>
      <x:c r="D86" s="50" t="n">
        <x:v>250</x:v>
      </x:c>
      <x:c r="E86" s="38" t="str">
        <x:v>int</x:v>
      </x:c>
      <x:c r="F86" s="38" t="str">
        <x:v>resource</x:v>
      </x:c>
      <x:c r="G86" s="50" t="n">
        <x:v>100</x:v>
      </x:c>
      <x:c r="H86" s="50" t="n">
        <x:v>450</x:v>
      </x:c>
      <x:c r="I86" s="38" t="str">
        <x:v>Hypothesis</x:v>
      </x:c>
      <x:c r="J86" s="44" t="str">
        <x:v>Clamp до нуля.</x:v>
      </x:c>
      <x:c r="K86" s="56" t="str">
        <x:f>IF(OR(E86="string",E86="bool",AND(D86&gt;=G86,D86&lt;=H86)),"OK","ERROR")</x:f>
        <x:v>OK</x:v>
      </x:c>
    </x:row>
    <x:row r="87" ht="36" customHeight="1">
      <x:c r="A87" s="35" t="str">
        <x:v>fighter.gorilla.grip_tier_1</x:v>
      </x:c>
      <x:c r="B87" s="38" t="str">
        <x:v>Gorilla Grip</x:v>
      </x:c>
      <x:c r="C87" s="44" t="str">
        <x:v>Порог Grip I</x:v>
      </x:c>
      <x:c r="D87" s="50" t="n">
        <x:v>250</x:v>
      </x:c>
      <x:c r="E87" s="38" t="str">
        <x:v>int</x:v>
      </x:c>
      <x:c r="F87" s="38" t="str">
        <x:v>resource</x:v>
      </x:c>
      <x:c r="G87" s="50" t="n">
        <x:v>100</x:v>
      </x:c>
      <x:c r="H87" s="50" t="n">
        <x:v>400</x:v>
      </x:c>
      <x:c r="I87" s="38" t="str">
        <x:v>Hypothesis</x:v>
      </x:c>
      <x:c r="J87" s="44" t="str">
        <x:v>Повышает wall/grab weights.</x:v>
      </x:c>
      <x:c r="K87" s="56" t="str">
        <x:f>IF(OR(E87="string",E87="bool",AND(D87&gt;=G87,D87&lt;=H87)),"OK","ERROR")</x:f>
        <x:v>OK</x:v>
      </x:c>
    </x:row>
    <x:row r="88" ht="36" customHeight="1">
      <x:c r="A88" s="35" t="str">
        <x:v>fighter.gorilla.grip_tier_2</x:v>
      </x:c>
      <x:c r="B88" s="38" t="str">
        <x:v>Gorilla Grip</x:v>
      </x:c>
      <x:c r="C88" s="44" t="str">
        <x:v>Порог Grip II</x:v>
      </x:c>
      <x:c r="D88" s="50" t="n">
        <x:v>550</x:v>
      </x:c>
      <x:c r="E88" s="38" t="str">
        <x:v>int</x:v>
      </x:c>
      <x:c r="F88" s="38" t="str">
        <x:v>resource</x:v>
      </x:c>
      <x:c r="G88" s="50" t="n">
        <x:v>350</x:v>
      </x:c>
      <x:c r="H88" s="50" t="n">
        <x:v>700</x:v>
      </x:c>
      <x:c r="I88" s="38" t="str">
        <x:v>Hypothesis</x:v>
      </x:c>
      <x:c r="J88" s="44" t="str">
        <x:v>Открывает средние signature costs.</x:v>
      </x:c>
      <x:c r="K88" s="56" t="str">
        <x:f>IF(OR(E88="string",E88="bool",AND(D88&gt;=G88,D88&lt;=H88)),"OK","ERROR")</x:f>
        <x:v>OK</x:v>
      </x:c>
    </x:row>
    <x:row r="89" ht="36" customHeight="1">
      <x:c r="A89" s="36" t="str">
        <x:v>fighter.gorilla.grip_tier_3</x:v>
      </x:c>
      <x:c r="B89" s="39" t="str">
        <x:v>Gorilla Grip</x:v>
      </x:c>
      <x:c r="C89" s="45" t="str">
        <x:v>Порог Grip III</x:v>
      </x:c>
      <x:c r="D89" s="51" t="n">
        <x:v>800</x:v>
      </x:c>
      <x:c r="E89" s="39" t="str">
        <x:v>int</x:v>
      </x:c>
      <x:c r="F89" s="39" t="str">
        <x:v>resource</x:v>
      </x:c>
      <x:c r="G89" s="51" t="n">
        <x:v>600</x:v>
      </x:c>
      <x:c r="H89" s="51" t="n">
        <x:v>950</x:v>
      </x:c>
      <x:c r="I89" s="39" t="str">
        <x:v>Hypothesis</x:v>
      </x:c>
      <x:c r="J89" s="45" t="str">
        <x:v>Finisher opportunity.</x:v>
      </x:c>
      <x:c r="K89" s="57" t="str">
        <x:f>IF(OR(E89="string",E89="bool",AND(D89&gt;=G89,D89&lt;=H89)),"OK","ERROR")</x:f>
        <x:v>OK</x:v>
      </x:c>
    </x:row>
  </x:sheetData>
  <x:mergeCells>
    <x:mergeCell ref="A1:K1"/>
    <x:mergeCell ref="A2:K2"/>
    <x:mergeCell ref="A3:K3"/>
  </x:mergeCells>
  <x:conditionalFormatting sqref="K6:K89">
    <x:cfRule type="containsText" dxfId="0" priority="1" operator="containsText" text="ERROR"/>
    <x:cfRule type="containsText" dxfId="1" priority="2" operator="containsText" text="OK"/>
    <x:cfRule type="containsText" dxfId="2" priority="3" operator="containsText" text="PASS"/>
    <x:cfRule type="containsText" dxfId="3" priority="4" operator="containsText" text="REVIEW"/>
    <x:cfRule type="containsText" dxfId="4" priority="5" operator="containsText" text="PENDING"/>
  </x:conditionalFormatting>
  <x:dataValidations count="2">
    <x:dataValidation type="list" sqref="E6:E89">
      <x:formula1>"int,fp,string,bool"</x:formula1>
    </x:dataValidation>
    <x:dataValidation type="list" sqref="I6:I89">
      <x:formula1>"Fixed,Hypothesis,Approved,Deprecated"</x:formula1>
    </x:dataValidation>
  </x:dataValidations>
  <x:pageMargins left="0.7" right="0.7" top="0.75" bottom="0.75" header="0.3" footer="0.3"/>
  <x:legacyDrawing xmlns:r="http://schemas.openxmlformats.org/officeDocument/2006/relationships" r:id="R167870e5ffd84cd2"/>
  <x:tableParts count="1">
    <x:tablePart xmlns:r="http://schemas.openxmlformats.org/officeDocument/2006/relationships" r:id="R9367a519914d43b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2" hidden="0" customWidth="1"/>
    <x:col min="5" max="5" width="10" hidden="0" customWidth="1"/>
    <x:col min="6" max="6" width="10" hidden="0" customWidth="1"/>
    <x:col min="7" max="7" width="11" hidden="0" customWidth="1"/>
    <x:col min="8" max="8" width="10" hidden="0" customWidth="1"/>
    <x:col min="9" max="9" width="10" hidden="0" customWidth="1"/>
    <x:col min="10" max="10" width="12" hidden="0" customWidth="1"/>
    <x:col min="11" max="11" width="12" hidden="0" customWidth="1"/>
    <x:col min="12" max="12" width="12" hidden="0" customWidth="1"/>
    <x:col min="13" max="13" width="11" hidden="0" customWidth="1"/>
    <x:col min="14" max="14" width="13" hidden="0" customWidth="1"/>
    <x:col min="15" max="15" width="15" hidden="0" customWidth="1"/>
    <x:col min="16" max="16" width="10" hidden="0" customWidth="1"/>
    <x:col min="17" max="17" width="12" hidden="0" customWidth="1"/>
    <x:col min="18" max="18" width="15" hidden="0" customWidth="1"/>
    <x:col min="19" max="19" width="14" hidden="0" customWidth="1"/>
    <x:col min="20" max="20" width="14" hidden="0" customWidth="1"/>
    <x:col min="21" max="21" width="13" hidden="0" customWidth="1"/>
    <x:col min="22" max="22" width="15" hidden="0" customWidth="1"/>
    <x:col min="23" max="23" width="15" hidden="0" customWidth="1"/>
    <x:col min="24" max="24" width="22" hidden="0" customWidth="1"/>
    <x:col min="25" max="25" width="48" hidden="0" customWidth="1"/>
    <x:col min="26" max="26" width="13" hidden="0" customWidth="1"/>
    <x:col min="27" max="27" width="12" hidden="0" customWidth="1"/>
  </x:cols>
  <x:sheetData>
    <x:row r="1" ht="30" customHeight="1">
      <x:c r="A1" s="3" t="str">
        <x:v>Fighter Stats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22" customHeight="1">
      <x:c r="A2" s="6" t="str">
        <x:v>Характеристики стартовых животных и их уникальные ресурсы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</x:row>
    <x:row r="3" ht="32" customHeight="1">
      <x:c r="A3" s="10" t="str">
        <x:v>Base Combat Index — только грубая аналитическая средняя рейтингов E:P; он не участвует в боевой формуле. Относительная идентичность комплекта важнее одинаковой суммы.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</x:row>
    <x:row r="5" ht="44" customHeight="1">
      <x:c r="A5" s="21" t="str">
        <x:v>Animal ID</x:v>
      </x:c>
      <x:c r="B5" s="22" t="str">
        <x:v>Display Name RU</x:v>
      </x:c>
      <x:c r="C5" s="22" t="str">
        <x:v>Resource ID</x:v>
      </x:c>
      <x:c r="D5" s="22" t="str">
        <x:v>Max Health</x:v>
      </x:c>
      <x:c r="E5" s="22" t="str">
        <x:v>Power</x:v>
      </x:c>
      <x:c r="F5" s="22" t="str">
        <x:v>Armor</x:v>
      </x:c>
      <x:c r="G5" s="22" t="str">
        <x:v>Precision</x:v>
      </x:c>
      <x:c r="H5" s="22" t="str">
        <x:v>Evasion</x:v>
      </x:c>
      <x:c r="I5" s="22" t="str">
        <x:v>Guard</x:v>
      </x:c>
      <x:c r="J5" s="22" t="str">
        <x:v>Guard Break</x:v>
      </x:c>
      <x:c r="K5" s="22" t="str">
        <x:v>Move Speed</x:v>
      </x:c>
      <x:c r="L5" s="22" t="str">
        <x:v>Action Speed</x:v>
      </x:c>
      <x:c r="M5" s="22" t="str">
        <x:v>Initiative</x:v>
      </x:c>
      <x:c r="N5" s="22" t="str">
        <x:v>Control Power</x:v>
      </x:c>
      <x:c r="O5" s="22" t="str">
        <x:v>Control Resistance</x:v>
      </x:c>
      <x:c r="P5" s="22" t="str">
        <x:v>Mass</x:v>
      </x:c>
      <x:c r="Q5" s="22" t="str">
        <x:v>Max Energy</x:v>
      </x:c>
      <x:c r="R5" s="22" t="str">
        <x:v>Energy Regen / tick</x:v>
      </x:c>
      <x:c r="S5" s="22" t="str">
        <x:v>Collision Radius</x:v>
      </x:c>
      <x:c r="T5" s="22" t="str">
        <x:v>Start Resource</x:v>
      </x:c>
      <x:c r="U5" s="22" t="str">
        <x:v>Max Resource</x:v>
      </x:c>
      <x:c r="V5" s="22" t="str">
        <x:v>Stagger Threshold</x:v>
      </x:c>
      <x:c r="W5" s="22" t="str">
        <x:v>Base Combat Index</x:v>
      </x:c>
      <x:c r="X5" s="22" t="str">
        <x:v>Archetype RU</x:v>
      </x:c>
      <x:c r="Y5" s="22" t="str">
        <x:v>Win Condition RU</x:v>
      </x:c>
      <x:c r="Z5" s="22" t="str">
        <x:v>Status</x:v>
      </x:c>
      <x:c r="AA5" s="23" t="str">
        <x:v>Validation</x:v>
      </x:c>
    </x:row>
    <x:row r="6" ht="36" customHeight="1">
      <x:c r="A6" s="34" t="str">
        <x:v>bear</x:v>
      </x:c>
      <x:c r="B6" s="37" t="str">
        <x:v>Медведь</x:v>
      </x:c>
      <x:c r="C6" s="34" t="str">
        <x:v>rage</x:v>
      </x:c>
      <x:c r="D6" s="61" t="n">
        <x:v>1650</x:v>
      </x:c>
      <x:c r="E6" s="67" t="n">
        <x:v>130</x:v>
      </x:c>
      <x:c r="F6" s="67" t="n">
        <x:v>75</x:v>
      </x:c>
      <x:c r="G6" s="67" t="n">
        <x:v>95</x:v>
      </x:c>
      <x:c r="H6" s="67" t="n">
        <x:v>55</x:v>
      </x:c>
      <x:c r="I6" s="67" t="n">
        <x:v>105</x:v>
      </x:c>
      <x:c r="J6" s="67" t="n">
        <x:v>120</x:v>
      </x:c>
      <x:c r="K6" s="67" t="n">
        <x:v>70</x:v>
      </x:c>
      <x:c r="L6" s="67" t="n">
        <x:v>85</x:v>
      </x:c>
      <x:c r="M6" s="67" t="n">
        <x:v>85</x:v>
      </x:c>
      <x:c r="N6" s="67" t="n">
        <x:v>125</x:v>
      </x:c>
      <x:c r="O6" s="67" t="n">
        <x:v>125</x:v>
      </x:c>
      <x:c r="P6" s="67" t="n">
        <x:v>130</x:v>
      </x:c>
      <x:c r="Q6" s="61" t="n">
        <x:v>1000</x:v>
      </x:c>
      <x:c r="R6" s="67" t="n">
        <x:v>12</x:v>
      </x:c>
      <x:c r="S6" s="67" t="n">
        <x:v>520</x:v>
      </x:c>
      <x:c r="T6" s="67" t="n">
        <x:v>0</x:v>
      </x:c>
      <x:c r="U6" s="67" t="n">
        <x:v>1000</x:v>
      </x:c>
      <x:c r="V6" s="67" t="n">
        <x:v>260</x:v>
      </x:c>
      <x:c r="W6" s="73" t="n">
        <x:f>ROUND(AVERAGE(E6:P6),0)</x:f>
        <x:v>100</x:v>
      </x:c>
      <x:c r="X6" s="37" t="str">
        <x:v>Танк-комбэкер</x:v>
      </x:c>
      <x:c r="Y6" s="43" t="str">
        <x:v>Пережить давление, накопить ярость и наказать длинный commit.</x:v>
      </x:c>
      <x:c r="Z6" s="37" t="str">
        <x:v>Hypothesis</x:v>
      </x:c>
      <x:c r="AA6" s="55" t="str">
        <x:f>IF(AND(A6&lt;&gt;"",D6&gt;0,Q6&gt;0,R6&gt;=0,T6&gt;=0,T6&lt;=U6,V6&gt;0),"OK","ERROR")</x:f>
        <x:v>OK</x:v>
      </x:c>
    </x:row>
    <x:row r="7" ht="36" customHeight="1">
      <x:c r="A7" s="35" t="str">
        <x:v>kangaroo</x:v>
      </x:c>
      <x:c r="B7" s="38" t="str">
        <x:v>Кенгуру</x:v>
      </x:c>
      <x:c r="C7" s="35" t="str">
        <x:v>tempo</x:v>
      </x:c>
      <x:c r="D7" s="62" t="n">
        <x:v>1150</x:v>
      </x:c>
      <x:c r="E7" s="68" t="n">
        <x:v>100</x:v>
      </x:c>
      <x:c r="F7" s="68" t="n">
        <x:v>40</x:v>
      </x:c>
      <x:c r="G7" s="68" t="n">
        <x:v>125</x:v>
      </x:c>
      <x:c r="H7" s="68" t="n">
        <x:v>135</x:v>
      </x:c>
      <x:c r="I7" s="68" t="n">
        <x:v>65</x:v>
      </x:c>
      <x:c r="J7" s="68" t="n">
        <x:v>80</x:v>
      </x:c>
      <x:c r="K7" s="68" t="n">
        <x:v>135</x:v>
      </x:c>
      <x:c r="L7" s="68" t="n">
        <x:v>125</x:v>
      </x:c>
      <x:c r="M7" s="68" t="n">
        <x:v>130</x:v>
      </x:c>
      <x:c r="N7" s="68" t="n">
        <x:v>75</x:v>
      </x:c>
      <x:c r="O7" s="68" t="n">
        <x:v>70</x:v>
      </x:c>
      <x:c r="P7" s="68" t="n">
        <x:v>70</x:v>
      </x:c>
      <x:c r="Q7" s="62" t="n">
        <x:v>1000</x:v>
      </x:c>
      <x:c r="R7" s="68" t="n">
        <x:v>15</x:v>
      </x:c>
      <x:c r="S7" s="68" t="n">
        <x:v>430</x:v>
      </x:c>
      <x:c r="T7" s="68" t="n">
        <x:v>0</x:v>
      </x:c>
      <x:c r="U7" s="68" t="n">
        <x:v>1000</x:v>
      </x:c>
      <x:c r="V7" s="68" t="n">
        <x:v>180</x:v>
      </x:c>
      <x:c r="W7" s="74" t="n">
        <x:f>ROUND(AVERAGE(E7:P7),0)</x:f>
        <x:v>96</x:v>
      </x:c>
      <x:c r="X7" s="38" t="str">
        <x:v>Мобильный темповик</x:v>
      </x:c>
      <x:c r="Y7" s="44" t="str">
        <x:v>Держать среднюю дистанцию, чередовать категории и реализовать окно.</x:v>
      </x:c>
      <x:c r="Z7" s="38" t="str">
        <x:v>Hypothesis</x:v>
      </x:c>
      <x:c r="AA7" s="56" t="str">
        <x:f>IF(AND(A7&lt;&gt;"",D7&gt;0,Q7&gt;0,R7&gt;=0,T7&gt;=0,T7&lt;=U7,V7&gt;0),"OK","ERROR")</x:f>
        <x:v>OK</x:v>
      </x:c>
    </x:row>
    <x:row r="8" ht="36" customHeight="1">
      <x:c r="A8" s="36" t="str">
        <x:v>gorilla</x:v>
      </x:c>
      <x:c r="B8" s="39" t="str">
        <x:v>Горилла</x:v>
      </x:c>
      <x:c r="C8" s="36" t="str">
        <x:v>grip</x:v>
      </x:c>
      <x:c r="D8" s="63" t="n">
        <x:v>1450</x:v>
      </x:c>
      <x:c r="E8" s="69" t="n">
        <x:v>110</x:v>
      </x:c>
      <x:c r="F8" s="69" t="n">
        <x:v>95</x:v>
      </x:c>
      <x:c r="G8" s="69" t="n">
        <x:v>90</x:v>
      </x:c>
      <x:c r="H8" s="69" t="n">
        <x:v>45</x:v>
      </x:c>
      <x:c r="I8" s="69" t="n">
        <x:v>140</x:v>
      </x:c>
      <x:c r="J8" s="69" t="n">
        <x:v>105</x:v>
      </x:c>
      <x:c r="K8" s="69" t="n">
        <x:v>75</x:v>
      </x:c>
      <x:c r="L8" s="69" t="n">
        <x:v>105</x:v>
      </x:c>
      <x:c r="M8" s="69" t="n">
        <x:v>95</x:v>
      </x:c>
      <x:c r="N8" s="69" t="n">
        <x:v>145</x:v>
      </x:c>
      <x:c r="O8" s="69" t="n">
        <x:v>130</x:v>
      </x:c>
      <x:c r="P8" s="69" t="n">
        <x:v>150</x:v>
      </x:c>
      <x:c r="Q8" s="63" t="n">
        <x:v>1000</x:v>
      </x:c>
      <x:c r="R8" s="69" t="n">
        <x:v>11</x:v>
      </x:c>
      <x:c r="S8" s="69" t="n">
        <x:v>550</x:v>
      </x:c>
      <x:c r="T8" s="69" t="n">
        <x:v>0</x:v>
      </x:c>
      <x:c r="U8" s="69" t="n">
        <x:v>1000</x:v>
      </x:c>
      <x:c r="V8" s="69" t="n">
        <x:v>300</x:v>
      </x:c>
      <x:c r="W8" s="75" t="n">
        <x:f>ROUND(AVERAGE(E8:P8),0)</x:f>
        <x:v>107</x:v>
      </x:c>
      <x:c r="X8" s="39" t="str">
        <x:v>Контроллер стены</x:v>
      </x:c>
      <x:c r="Y8" s="45" t="str">
        <x:v>Загнать к стене, накопить хватку и реализовать grab/control.</x:v>
      </x:c>
      <x:c r="Z8" s="39" t="str">
        <x:v>Hypothesis</x:v>
      </x:c>
      <x:c r="AA8" s="57" t="str">
        <x:f>IF(AND(A8&lt;&gt;"",D8&gt;0,Q8&gt;0,R8&gt;=0,T8&gt;=0,T8&lt;=U8,V8&gt;0),"OK","ERROR")</x:f>
        <x:v>OK</x:v>
      </x:c>
    </x:row>
  </x:sheetData>
  <x:mergeCells>
    <x:mergeCell ref="A1:AA1"/>
    <x:mergeCell ref="A2:AA2"/>
    <x:mergeCell ref="A3:AA3"/>
  </x:mergeCells>
  <x:conditionalFormatting sqref="AA6:AA8">
    <x:cfRule type="containsText" dxfId="5" priority="1" operator="containsText" text="ERROR"/>
    <x:cfRule type="containsText" dxfId="6" priority="2" operator="containsText" text="OK"/>
    <x:cfRule type="containsText" dxfId="7" priority="3" operator="containsText" text="PASS"/>
    <x:cfRule type="containsText" dxfId="8" priority="4" operator="containsText" text="REVIEW"/>
    <x:cfRule type="containsText" dxfId="9" priority="5" operator="containsText" text="PENDING"/>
  </x:conditionalFormatting>
  <x:dataValidations count="1">
    <x:dataValidation type="list" sqref="Z6:Z8">
      <x:formula1>"Hypothesis,Approved,Deprecated"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911770f99640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24" hidden="0" customWidth="1"/>
    <x:col min="4" max="4" width="12" hidden="0" customWidth="1"/>
    <x:col min="5" max="5" width="20" hidden="0" customWidth="1"/>
    <x:col min="6" max="6" width="44" hidden="0" customWidth="1"/>
    <x:col min="7" max="7" width="12" hidden="0" customWidth="1"/>
    <x:col min="8" max="8" width="15" hidden="0" customWidth="1"/>
    <x:col min="9" max="9" width="15" hidden="0" customWidth="1"/>
    <x:col min="10" max="10" width="13" hidden="0" customWidth="1"/>
    <x:col min="11" max="11" width="13" hidden="0" customWidth="1"/>
    <x:col min="12" max="12" width="12" hidden="0" customWidth="1"/>
    <x:col min="13" max="13" width="13" hidden="0" customWidth="1"/>
    <x:col min="14" max="14" width="14" hidden="0" customWidth="1"/>
    <x:col min="15" max="15" width="13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1" hidden="0" customWidth="1"/>
    <x:col min="22" max="22" width="20" hidden="0" customWidth="1"/>
    <x:col min="23" max="23" width="10" hidden="0" customWidth="1"/>
    <x:col min="24" max="24" width="15" hidden="0" customWidth="1"/>
    <x:col min="25" max="25" width="14" hidden="0" customWidth="1"/>
    <x:col min="26" max="26" width="14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14" hidden="0" customWidth="1"/>
    <x:col min="32" max="32" width="20" hidden="0" customWidth="1"/>
    <x:col min="33" max="33" width="10" hidden="0" customWidth="1"/>
    <x:col min="34" max="34" width="10" hidden="0" customWidth="1"/>
    <x:col min="35" max="35" width="11" hidden="0" customWidth="1"/>
    <x:col min="36" max="36" width="11" hidden="0" customWidth="1"/>
    <x:col min="37" max="37" width="11" hidden="0" customWidth="1"/>
    <x:col min="38" max="38" width="15" hidden="0" customWidth="1"/>
    <x:col min="39" max="39" width="15" hidden="0" customWidth="1"/>
    <x:col min="40" max="40" width="15" hidden="0" customWidth="1"/>
    <x:col min="41" max="41" width="14" hidden="0" customWidth="1"/>
    <x:col min="42" max="42" width="12" hidden="0" customWidth="1"/>
    <x:col min="43" max="43" width="12" hidden="0" customWidth="1"/>
    <x:col min="44" max="44" width="12" hidden="0" customWidth="1"/>
    <x:col min="45" max="45" width="13" hidden="0" customWidth="1"/>
    <x:col min="46" max="46" width="12" hidden="0" customWidth="1"/>
    <x:col min="47" max="47" width="12" hidden="0" customWidth="1"/>
    <x:col min="48" max="48" width="16" hidden="0" customWidth="1"/>
    <x:col min="49" max="49" width="13" hidden="0" customWidth="1"/>
    <x:col min="50" max="50" width="13" hidden="0" customWidth="1"/>
    <x:col min="51" max="51" width="14" hidden="0" customWidth="1"/>
    <x:col min="52" max="52" width="14" hidden="0" customWidth="1"/>
    <x:col min="53" max="53" width="16" hidden="0" customWidth="1"/>
    <x:col min="54" max="54" width="15" hidden="0" customWidth="1"/>
    <x:col min="55" max="55" width="17" hidden="0" customWidth="1"/>
    <x:col min="56" max="56" width="13" hidden="0" customWidth="1"/>
    <x:col min="57" max="57" width="12" hidden="0" customWidth="1"/>
    <x:col min="58" max="58" width="50" hidden="0" customWidth="1"/>
  </x:cols>
  <x:sheetData>
    <x:row r="1" ht="30" customHeight="1">
      <x:c r="A1" s="3" t="str">
        <x:v>Actions &amp; Abilities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  <x:c r="BA1" s="3"/>
      <x:c r="BB1" s="3"/>
      <x:c r="BC1" s="3"/>
      <x:c r="BD1" s="3"/>
      <x:c r="BE1" s="3"/>
      <x:c r="BF1" s="3"/>
    </x:row>
    <x:row r="2" ht="22" customHeight="1">
      <x:c r="A2" s="6" t="str">
        <x:v>Системные действия, 12 базовых действий и 9 особых приёмов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  <x:c r="AZ2" s="6"/>
      <x:c r="BA2" s="6"/>
      <x:c r="BB2" s="6"/>
      <x:c r="BC2" s="6"/>
      <x:c r="BD2" s="6"/>
      <x:c r="BE2" s="6"/>
      <x:c r="BF2" s="6"/>
    </x:row>
    <x:row r="3" ht="32" customHeight="1">
      <x:c r="A3" s="10" t="str">
        <x:v>Урон рассчитывается по CDS; аналитические колонки справа показывают один hit без контекстных множителей. HitSchedule — относительные тики активного окна.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  <x:c r="AI3" s="10"/>
      <x:c r="AJ3" s="10"/>
      <x:c r="AK3" s="10"/>
      <x:c r="AL3" s="10"/>
      <x:c r="AM3" s="10"/>
      <x:c r="AN3" s="10"/>
      <x:c r="AO3" s="10"/>
      <x:c r="AP3" s="10"/>
      <x:c r="AQ3" s="10"/>
      <x:c r="AR3" s="10"/>
      <x:c r="AS3" s="10"/>
      <x:c r="AT3" s="10"/>
      <x:c r="AU3" s="10"/>
      <x:c r="AV3" s="10"/>
      <x:c r="AW3" s="10"/>
      <x:c r="AX3" s="10"/>
      <x:c r="AY3" s="10"/>
      <x:c r="AZ3" s="10"/>
      <x:c r="BA3" s="10"/>
      <x:c r="BB3" s="10"/>
      <x:c r="BC3" s="10"/>
      <x:c r="BD3" s="10"/>
      <x:c r="BE3" s="10"/>
      <x:c r="BF3" s="10"/>
    </x:row>
    <x:row r="5" ht="44" customHeight="1">
      <x:c r="A5" s="21" t="str">
        <x:v>Action ID</x:v>
      </x:c>
      <x:c r="B5" s="22" t="str">
        <x:v>Animal ID</x:v>
      </x:c>
      <x:c r="C5" s="22" t="str">
        <x:v>Display Name RU</x:v>
      </x:c>
      <x:c r="D5" s="22" t="str">
        <x:v>Slot Type</x:v>
      </x:c>
      <x:c r="E5" s="22" t="str">
        <x:v>Category</x:v>
      </x:c>
      <x:c r="F5" s="22" t="str">
        <x:v>Tags</x:v>
      </x:c>
      <x:c r="G5" s="22" t="str">
        <x:v>Base Weight</x:v>
      </x:c>
      <x:c r="H5" s="22" t="str">
        <x:v>Preferred Range Min</x:v>
      </x:c>
      <x:c r="I5" s="22" t="str">
        <x:v>Preferred Range Max</x:v>
      </x:c>
      <x:c r="J5" s="22" t="str">
        <x:v>Hit Range Min</x:v>
      </x:c>
      <x:c r="K5" s="22" t="str">
        <x:v>Hit Range Max</x:v>
      </x:c>
      <x:c r="L5" s="22" t="str">
        <x:v>Energy Cost</x:v>
      </x:c>
      <x:c r="M5" s="22" t="str">
        <x:v>Resource Cost</x:v>
      </x:c>
      <x:c r="N5" s="22" t="str">
        <x:v>Base Damage / hit</x:v>
      </x:c>
      <x:c r="O5" s="22" t="str">
        <x:v>Power Ratio FP</x:v>
      </x:c>
      <x:c r="P5" s="22" t="str">
        <x:v>Min Damage</x:v>
      </x:c>
      <x:c r="Q5" s="22" t="str">
        <x:v>Chip Min</x:v>
      </x:c>
      <x:c r="R5" s="22" t="str">
        <x:v>Startup Base Ticks</x:v>
      </x:c>
      <x:c r="S5" s="22" t="str">
        <x:v>Startup Min Ticks</x:v>
      </x:c>
      <x:c r="T5" s="22" t="str">
        <x:v>Startup Max Ticks</x:v>
      </x:c>
      <x:c r="U5" s="22" t="str">
        <x:v>Active Ticks</x:v>
      </x:c>
      <x:c r="V5" s="22" t="str">
        <x:v>Hit Schedule</x:v>
      </x:c>
      <x:c r="W5" s="22" t="str">
        <x:v>Hit Count</x:v>
      </x:c>
      <x:c r="X5" s="22" t="str">
        <x:v>Recovery Base Ticks</x:v>
      </x:c>
      <x:c r="Y5" s="22" t="str">
        <x:v>Recovery Min Ticks</x:v>
      </x:c>
      <x:c r="Z5" s="22" t="str">
        <x:v>Recovery Max Ticks</x:v>
      </x:c>
      <x:c r="AA5" s="22" t="str">
        <x:v>Cooldown Ticks</x:v>
      </x:c>
      <x:c r="AB5" s="22" t="str">
        <x:v>Action Priority</x:v>
      </x:c>
      <x:c r="AC5" s="22" t="str">
        <x:v>Clash Priority</x:v>
      </x:c>
      <x:c r="AD5" s="22" t="str">
        <x:v>Grab Priority</x:v>
      </x:c>
      <x:c r="AE5" s="22" t="str">
        <x:v>Resolution Priority</x:v>
      </x:c>
      <x:c r="AF5" s="22" t="str">
        <x:v>Interrupt Profile</x:v>
      </x:c>
      <x:c r="AG5" s="22" t="str">
        <x:v>Blockable</x:v>
      </x:c>
      <x:c r="AH5" s="22" t="str">
        <x:v>Dodgeable</x:v>
      </x:c>
      <x:c r="AI5" s="22" t="str">
        <x:v>Undodgeable</x:v>
      </x:c>
      <x:c r="AJ5" s="22" t="str">
        <x:v>Wall Impact</x:v>
      </x:c>
      <x:c r="AK5" s="22" t="str">
        <x:v>Track Target</x:v>
      </x:c>
      <x:c r="AL5" s="22" t="str">
        <x:v>Block Base Chance FP</x:v>
      </x:c>
      <x:c r="AM5" s="22" t="str">
        <x:v>Block Reduction FP</x:v>
      </x:c>
      <x:c r="AN5" s="22" t="str">
        <x:v>Dodge Base Chance FP</x:v>
      </x:c>
      <x:c r="AO5" s="22" t="str">
        <x:v>Movement Mode</x:v>
      </x:c>
      <x:c r="AP5" s="22" t="str">
        <x:v>Move Distance</x:v>
      </x:c>
      <x:c r="AQ5" s="22" t="str">
        <x:v>Base Stagger</x:v>
      </x:c>
      <x:c r="AR5" s="22" t="str">
        <x:v>Base Stun Ticks</x:v>
      </x:c>
      <x:c r="AS5" s="22" t="str">
        <x:v>Base Knockback</x:v>
      </x:c>
      <x:c r="AT5" s="22" t="str">
        <x:v>Knockback Min</x:v>
      </x:c>
      <x:c r="AU5" s="22" t="str">
        <x:v>Knockback Max</x:v>
      </x:c>
      <x:c r="AV5" s="22" t="str">
        <x:v>Wall Damage / Unit FP</x:v>
      </x:c>
      <x:c r="AW5" s="22" t="str">
        <x:v>Wall Damage Min</x:v>
      </x:c>
      <x:c r="AX5" s="22" t="str">
        <x:v>Wall Damage Max</x:v>
      </x:c>
      <x:c r="AY5" s="22" t="str">
        <x:v>Max Consecutive Uses</x:v>
      </x:c>
      <x:c r="AZ5" s="22" t="str">
        <x:v>Opportunity Cap FP</x:v>
      </x:c>
      <x:c r="BA5" s="22" t="str">
        <x:v>Hard Opportunity Misses</x:v>
      </x:c>
      <x:c r="BB5" s="22" t="str">
        <x:v>Expected Power Term</x:v>
      </x:c>
      <x:c r="BC5" s="22" t="str">
        <x:v>Expected vs Benchmark Armor</x:v>
      </x:c>
      <x:c r="BD5" s="22" t="str">
        <x:v>Status</x:v>
      </x:c>
      <x:c r="BE5" s="22" t="str">
        <x:v>Validation</x:v>
      </x:c>
      <x:c r="BF5" s="23" t="str">
        <x:v>Notes RU</x:v>
      </x:c>
    </x:row>
    <x:row r="6" ht="36" customHeight="1">
      <x:c r="A6" s="34" t="str">
        <x:v>sys_approach</x:v>
      </x:c>
      <x:c r="B6" s="34" t="str">
        <x:v>all</x:v>
      </x:c>
      <x:c r="C6" s="37" t="str">
        <x:v>Системное сближение</x:v>
      </x:c>
      <x:c r="D6" s="37" t="str">
        <x:v>System</x:v>
      </x:c>
      <x:c r="E6" s="37" t="str">
        <x:v>Movement</x:v>
      </x:c>
      <x:c r="F6" s="43" t="str">
        <x:v>system|movement|approach</x:v>
      </x:c>
      <x:c r="G6" s="61" t="n">
        <x:v>650</x:v>
      </x:c>
      <x:c r="H6" s="67" t="n">
        <x:v>0</x:v>
      </x:c>
      <x:c r="I6" s="67" t="n">
        <x:v>1500</x:v>
      </x:c>
      <x:c r="J6" s="67" t="n">
        <x:v>0</x:v>
      </x:c>
      <x:c r="K6" s="67" t="n">
        <x:v>0</x:v>
      </x:c>
      <x:c r="L6" s="67" t="n">
        <x:v>0</x:v>
      </x:c>
      <x:c r="M6" s="67" t="n">
        <x:v>0</x:v>
      </x:c>
      <x:c r="N6" s="67" t="n">
        <x:v>0</x:v>
      </x:c>
      <x:c r="O6" s="67" t="n">
        <x:v>0</x:v>
      </x:c>
      <x:c r="P6" s="67" t="n">
        <x:v>0</x:v>
      </x:c>
      <x:c r="Q6" s="67" t="n">
        <x:v>0</x:v>
      </x:c>
      <x:c r="R6" s="67" t="n">
        <x:v>1</x:v>
      </x:c>
      <x:c r="S6" s="67" t="n">
        <x:v>1</x:v>
      </x:c>
      <x:c r="T6" s="67" t="n">
        <x:v>1</x:v>
      </x:c>
      <x:c r="U6" s="67" t="n">
        <x:v>5</x:v>
      </x:c>
      <x:c r="V6" s="37" t="str"/>
      <x:c r="W6" s="67" t="n">
        <x:v>0</x:v>
      </x:c>
      <x:c r="X6" s="67" t="n">
        <x:v>1</x:v>
      </x:c>
      <x:c r="Y6" s="67" t="n">
        <x:v>1</x:v>
      </x:c>
      <x:c r="Z6" s="67" t="n">
        <x:v>1</x:v>
      </x:c>
      <x:c r="AA6" s="67" t="n">
        <x:v>0</x:v>
      </x:c>
      <x:c r="AB6" s="67" t="n">
        <x:v>5</x:v>
      </x:c>
      <x:c r="AC6" s="67" t="n">
        <x:v>0</x:v>
      </x:c>
      <x:c r="AD6" s="67" t="n">
        <x:v>0</x:v>
      </x:c>
      <x:c r="AE6" s="67" t="n">
        <x:v>5</x:v>
      </x:c>
      <x:c r="AF6" s="37" t="str">
        <x:v>Cancelable</x:v>
      </x:c>
      <x:c r="AG6" s="84" t="b">
        <x:v>0</x:v>
      </x:c>
      <x:c r="AH6" s="84" t="b">
        <x:v>0</x:v>
      </x:c>
      <x:c r="AI6" s="84" t="b">
        <x:v>0</x:v>
      </x:c>
      <x:c r="AJ6" s="84" t="b">
        <x:v>0</x:v>
      </x:c>
      <x:c r="AK6" s="84" t="b">
        <x:v>1</x:v>
      </x:c>
      <x:c r="AL6" s="67" t="n">
        <x:v>0</x:v>
      </x:c>
      <x:c r="AM6" s="67" t="n">
        <x:v>0</x:v>
      </x:c>
      <x:c r="AN6" s="67" t="n">
        <x:v>0</x:v>
      </x:c>
      <x:c r="AO6" s="37" t="str">
        <x:v>Approach</x:v>
      </x:c>
      <x:c r="AP6" s="67" t="n">
        <x:v>0</x:v>
      </x:c>
      <x:c r="AQ6" s="67" t="n">
        <x:v>0</x:v>
      </x:c>
      <x:c r="AR6" s="67" t="n">
        <x:v>0</x:v>
      </x:c>
      <x:c r="AS6" s="67" t="n">
        <x:v>0</x:v>
      </x:c>
      <x:c r="AT6" s="67" t="n">
        <x:v>0</x:v>
      </x:c>
      <x:c r="AU6" s="67" t="n">
        <x:v>0</x:v>
      </x:c>
      <x:c r="AV6" s="67" t="n">
        <x:v>0</x:v>
      </x:c>
      <x:c r="AW6" s="67" t="n">
        <x:v>0</x:v>
      </x:c>
      <x:c r="AX6" s="67" t="n">
        <x:v>0</x:v>
      </x:c>
      <x:c r="AY6" s="67" t="n">
        <x:v>4</x:v>
      </x:c>
      <x:c r="AZ6" s="67" t="n">
        <x:v>1000</x:v>
      </x:c>
      <x:c r="BA6" s="67" t="n">
        <x:v>0</x:v>
      </x:c>
      <x:c r="BB6" s="73" t="n">
        <x:f>IF(B6="all",0,N6+ROUND(VLOOKUP(B6,'Fighter Stats'!$A$6:$E$8,5,FALSE)*O6/'Global Config'!$D$12,0))</x:f>
        <x:v>0</x:v>
      </x:c>
      <x:c r="BC6" s="73" t="n">
        <x:f>ROUND(BB6*(1-('Global Config'!$D$36/('Global Config'!$D$36+'Global Config'!$D$23))),0)</x:f>
        <x:v>0</x:v>
      </x:c>
      <x:c r="BD6" s="37" t="str">
        <x:v>Hypothesis</x:v>
      </x:c>
      <x:c r="BE6" s="55" t="str">
        <x:f>IF(AND(A6&lt;&gt;"",H6&lt;=I6,J6&lt;=K6,S6&lt;=R6,R6&lt;=T6,Y6&lt;=X6,X6&lt;=Z6,AT6&lt;=AS6,AS6&lt;=AU6,AW6&lt;=AX6,AY6&gt;=1,L6&gt;=0,M6&gt;=0),"OK","ERROR")</x:f>
        <x:v>OK</x:v>
      </x:c>
      <x:c r="BF6" s="43" t="str">
        <x:v>Движется к preferred band профиля; дистанция берётся из effective MoveSpeed.</x:v>
      </x:c>
    </x:row>
    <x:row r="7" ht="36" customHeight="1">
      <x:c r="A7" s="35" t="str">
        <x:v>sys_retreat</x:v>
      </x:c>
      <x:c r="B7" s="35" t="str">
        <x:v>all</x:v>
      </x:c>
      <x:c r="C7" s="38" t="str">
        <x:v>Системное отступление</x:v>
      </x:c>
      <x:c r="D7" s="38" t="str">
        <x:v>System</x:v>
      </x:c>
      <x:c r="E7" s="38" t="str">
        <x:v>Movement</x:v>
      </x:c>
      <x:c r="F7" s="44" t="str">
        <x:v>system|movement|retreat</x:v>
      </x:c>
      <x:c r="G7" s="62" t="n">
        <x:v>450</x:v>
      </x:c>
      <x:c r="H7" s="68" t="n">
        <x:v>1600</x:v>
      </x:c>
      <x:c r="I7" s="68" t="n">
        <x:v>3000</x:v>
      </x:c>
      <x:c r="J7" s="68" t="n">
        <x:v>0</x:v>
      </x:c>
      <x:c r="K7" s="68" t="n">
        <x:v>0</x:v>
      </x:c>
      <x:c r="L7" s="68" t="n">
        <x:v>0</x:v>
      </x:c>
      <x:c r="M7" s="68" t="n">
        <x:v>0</x:v>
      </x:c>
      <x:c r="N7" s="68" t="n">
        <x:v>0</x:v>
      </x:c>
      <x:c r="O7" s="68" t="n">
        <x:v>0</x:v>
      </x:c>
      <x:c r="P7" s="68" t="n">
        <x:v>0</x:v>
      </x:c>
      <x:c r="Q7" s="68" t="n">
        <x:v>0</x:v>
      </x:c>
      <x:c r="R7" s="68" t="n">
        <x:v>1</x:v>
      </x:c>
      <x:c r="S7" s="68" t="n">
        <x:v>1</x:v>
      </x:c>
      <x:c r="T7" s="68" t="n">
        <x:v>1</x:v>
      </x:c>
      <x:c r="U7" s="68" t="n">
        <x:v>5</x:v>
      </x:c>
      <x:c r="V7" s="38" t="str"/>
      <x:c r="W7" s="68" t="n">
        <x:v>0</x:v>
      </x:c>
      <x:c r="X7" s="68" t="n">
        <x:v>1</x:v>
      </x:c>
      <x:c r="Y7" s="68" t="n">
        <x:v>1</x:v>
      </x:c>
      <x:c r="Z7" s="68" t="n">
        <x:v>1</x:v>
      </x:c>
      <x:c r="AA7" s="68" t="n">
        <x:v>0</x:v>
      </x:c>
      <x:c r="AB7" s="68" t="n">
        <x:v>5</x:v>
      </x:c>
      <x:c r="AC7" s="68" t="n">
        <x:v>0</x:v>
      </x:c>
      <x:c r="AD7" s="68" t="n">
        <x:v>0</x:v>
      </x:c>
      <x:c r="AE7" s="68" t="n">
        <x:v>5</x:v>
      </x:c>
      <x:c r="AF7" s="38" t="str">
        <x:v>Cancelable</x:v>
      </x:c>
      <x:c r="AG7" s="85" t="b">
        <x:v>0</x:v>
      </x:c>
      <x:c r="AH7" s="85" t="b">
        <x:v>0</x:v>
      </x:c>
      <x:c r="AI7" s="85" t="b">
        <x:v>0</x:v>
      </x:c>
      <x:c r="AJ7" s="85" t="b">
        <x:v>0</x:v>
      </x:c>
      <x:c r="AK7" s="85" t="b">
        <x:v>1</x:v>
      </x:c>
      <x:c r="AL7" s="68" t="n">
        <x:v>0</x:v>
      </x:c>
      <x:c r="AM7" s="68" t="n">
        <x:v>0</x:v>
      </x:c>
      <x:c r="AN7" s="68" t="n">
        <x:v>0</x:v>
      </x:c>
      <x:c r="AO7" s="38" t="str">
        <x:v>Retreat</x:v>
      </x:c>
      <x:c r="AP7" s="68" t="n">
        <x:v>0</x:v>
      </x:c>
      <x:c r="AQ7" s="68" t="n">
        <x:v>0</x:v>
      </x:c>
      <x:c r="AR7" s="68" t="n">
        <x:v>0</x:v>
      </x:c>
      <x:c r="AS7" s="68" t="n">
        <x:v>0</x:v>
      </x:c>
      <x:c r="AT7" s="68" t="n">
        <x:v>0</x:v>
      </x:c>
      <x:c r="AU7" s="68" t="n">
        <x:v>0</x:v>
      </x:c>
      <x:c r="AV7" s="68" t="n">
        <x:v>0</x:v>
      </x:c>
      <x:c r="AW7" s="68" t="n">
        <x:v>0</x:v>
      </x:c>
      <x:c r="AX7" s="68" t="n">
        <x:v>0</x:v>
      </x:c>
      <x:c r="AY7" s="68" t="n">
        <x:v>3</x:v>
      </x:c>
      <x:c r="AZ7" s="68" t="n">
        <x:v>1000</x:v>
      </x:c>
      <x:c r="BA7" s="68" t="n">
        <x:v>0</x:v>
      </x:c>
      <x:c r="BB7" s="74" t="n">
        <x:f>IF(B7="all",0,N7+ROUND(VLOOKUP(B7,'Fighter Stats'!$A$6:$E$8,5,FALSE)*O7/'Global Config'!$D$12,0))</x:f>
        <x:v>0</x:v>
      </x:c>
      <x:c r="BC7" s="74" t="n">
        <x:f>ROUND(BB7*(1-('Global Config'!$D$36/('Global Config'!$D$36+'Global Config'!$D$23))),0)</x:f>
        <x:v>0</x:v>
      </x:c>
      <x:c r="BD7" s="38" t="str">
        <x:v>Hypothesis</x:v>
      </x:c>
      <x:c r="BE7" s="56" t="str">
        <x:f>IF(AND(A7&lt;&gt;"",H7&lt;=I7,J7&lt;=K7,S7&lt;=R7,R7&lt;=T7,Y7&lt;=X7,X7&lt;=Z7,AT7&lt;=AS7,AS7&lt;=AU7,AW7&lt;=AX7,AY7&gt;=1,L7&gt;=0,M7&gt;=0),"OK","ERROR")</x:f>
        <x:v>OK</x:v>
      </x:c>
      <x:c r="BF7" s="44" t="str">
        <x:v>Останавливается у стены; не превращает остаток движения в урон.</x:v>
      </x:c>
    </x:row>
    <x:row r="8" ht="36" customHeight="1">
      <x:c r="A8" s="35" t="str">
        <x:v>sys_wait</x:v>
      </x:c>
      <x:c r="B8" s="35" t="str">
        <x:v>all</x:v>
      </x:c>
      <x:c r="C8" s="38" t="str">
        <x:v>Системное ожидание</x:v>
      </x:c>
      <x:c r="D8" s="38" t="str">
        <x:v>System</x:v>
      </x:c>
      <x:c r="E8" s="38" t="str">
        <x:v>Wait</x:v>
      </x:c>
      <x:c r="F8" s="44" t="str">
        <x:v>system|wait</x:v>
      </x:c>
      <x:c r="G8" s="62" t="n">
        <x:v>150</x:v>
      </x:c>
      <x:c r="H8" s="68" t="n">
        <x:v>0</x:v>
      </x:c>
      <x:c r="I8" s="68" t="n">
        <x:v>10000</x:v>
      </x:c>
      <x:c r="J8" s="68" t="n">
        <x:v>0</x:v>
      </x:c>
      <x:c r="K8" s="68" t="n">
        <x:v>0</x:v>
      </x:c>
      <x:c r="L8" s="68" t="n">
        <x:v>0</x:v>
      </x:c>
      <x:c r="M8" s="68" t="n">
        <x:v>0</x:v>
      </x:c>
      <x:c r="N8" s="68" t="n">
        <x:v>0</x:v>
      </x:c>
      <x:c r="O8" s="68" t="n">
        <x:v>0</x:v>
      </x:c>
      <x:c r="P8" s="68" t="n">
        <x:v>0</x:v>
      </x:c>
      <x:c r="Q8" s="68" t="n">
        <x:v>0</x:v>
      </x:c>
      <x:c r="R8" s="68" t="n">
        <x:v>0</x:v>
      </x:c>
      <x:c r="S8" s="68" t="n">
        <x:v>0</x:v>
      </x:c>
      <x:c r="T8" s="68" t="n">
        <x:v>0</x:v>
      </x:c>
      <x:c r="U8" s="68" t="n">
        <x:v>3</x:v>
      </x:c>
      <x:c r="V8" s="38" t="str"/>
      <x:c r="W8" s="68" t="n">
        <x:v>0</x:v>
      </x:c>
      <x:c r="X8" s="68" t="n">
        <x:v>0</x:v>
      </x:c>
      <x:c r="Y8" s="68" t="n">
        <x:v>0</x:v>
      </x:c>
      <x:c r="Z8" s="68" t="n">
        <x:v>0</x:v>
      </x:c>
      <x:c r="AA8" s="68" t="n">
        <x:v>0</x:v>
      </x:c>
      <x:c r="AB8" s="68" t="n">
        <x:v>1</x:v>
      </x:c>
      <x:c r="AC8" s="68" t="n">
        <x:v>0</x:v>
      </x:c>
      <x:c r="AD8" s="68" t="n">
        <x:v>0</x:v>
      </x:c>
      <x:c r="AE8" s="68" t="n">
        <x:v>1</x:v>
      </x:c>
      <x:c r="AF8" s="38" t="str">
        <x:v>Cancelable</x:v>
      </x:c>
      <x:c r="AG8" s="85" t="b">
        <x:v>0</x:v>
      </x:c>
      <x:c r="AH8" s="85" t="b">
        <x:v>0</x:v>
      </x:c>
      <x:c r="AI8" s="85" t="b">
        <x:v>0</x:v>
      </x:c>
      <x:c r="AJ8" s="85" t="b">
        <x:v>0</x:v>
      </x:c>
      <x:c r="AK8" s="85" t="b">
        <x:v>0</x:v>
      </x:c>
      <x:c r="AL8" s="68" t="n">
        <x:v>0</x:v>
      </x:c>
      <x:c r="AM8" s="68" t="n">
        <x:v>0</x:v>
      </x:c>
      <x:c r="AN8" s="68" t="n">
        <x:v>0</x:v>
      </x:c>
      <x:c r="AO8" s="38" t="str">
        <x:v>None</x:v>
      </x:c>
      <x:c r="AP8" s="68" t="n">
        <x:v>0</x:v>
      </x:c>
      <x:c r="AQ8" s="68" t="n">
        <x:v>0</x:v>
      </x:c>
      <x:c r="AR8" s="68" t="n">
        <x:v>0</x:v>
      </x:c>
      <x:c r="AS8" s="68" t="n">
        <x:v>0</x:v>
      </x:c>
      <x:c r="AT8" s="68" t="n">
        <x:v>0</x:v>
      </x:c>
      <x:c r="AU8" s="68" t="n">
        <x:v>0</x:v>
      </x:c>
      <x:c r="AV8" s="68" t="n">
        <x:v>0</x:v>
      </x:c>
      <x:c r="AW8" s="68" t="n">
        <x:v>0</x:v>
      </x:c>
      <x:c r="AX8" s="68" t="n">
        <x:v>0</x:v>
      </x:c>
      <x:c r="AY8" s="68" t="n">
        <x:v>2</x:v>
      </x:c>
      <x:c r="AZ8" s="68" t="n">
        <x:v>1000</x:v>
      </x:c>
      <x:c r="BA8" s="68" t="n">
        <x:v>0</x:v>
      </x:c>
      <x:c r="BB8" s="74" t="n">
        <x:f>IF(B8="all",0,N8+ROUND(VLOOKUP(B8,'Fighter Stats'!$A$6:$E$8,5,FALSE)*O8/'Global Config'!$D$12,0))</x:f>
        <x:v>0</x:v>
      </x:c>
      <x:c r="BC8" s="74" t="n">
        <x:f>ROUND(BB8*(1-('Global Config'!$D$36/('Global Config'!$D$36+'Global Config'!$D$23))),0)</x:f>
        <x:v>0</x:v>
      </x:c>
      <x:c r="BD8" s="38" t="str">
        <x:v>Hypothesis</x:v>
      </x:c>
      <x:c r="BE8" s="56" t="str">
        <x:f>IF(AND(A8&lt;&gt;"",H8&lt;=I8,J8&lt;=K8,S8&lt;=R8,R8&lt;=T8,Y8&lt;=X8,X8&lt;=Z8,AT8&lt;=AS8,AS8&lt;=AU8,AW8&lt;=AX8,AY8&gt;=1,L8&gt;=0,M8&gt;=0),"OK","ERROR")</x:f>
        <x:v>OK</x:v>
      </x:c>
      <x:c r="BF8" s="44" t="str">
        <x:v>Выбирается при нулевых весах или тактически полезной паузе.</x:v>
      </x:c>
    </x:row>
    <x:row r="9" ht="36" customHeight="1">
      <x:c r="A9" s="35" t="str">
        <x:v>bear_paw_jab</x:v>
      </x:c>
      <x:c r="B9" s="35" t="str">
        <x:v>bear</x:v>
      </x:c>
      <x:c r="C9" s="38" t="str">
        <x:v>Быстрый удар лапой</x:v>
      </x:c>
      <x:c r="D9" s="38" t="str">
        <x:v>Basic</x:v>
      </x:c>
      <x:c r="E9" s="38" t="str">
        <x:v>LightStrike</x:v>
      </x:c>
      <x:c r="F9" s="44" t="str">
        <x:v>strike|light|fallback</x:v>
      </x:c>
      <x:c r="G9" s="62" t="n">
        <x:v>1000</x:v>
      </x:c>
      <x:c r="H9" s="68" t="n">
        <x:v>100</x:v>
      </x:c>
      <x:c r="I9" s="68" t="n">
        <x:v>900</x:v>
      </x:c>
      <x:c r="J9" s="68" t="n">
        <x:v>0</x:v>
      </x:c>
      <x:c r="K9" s="68" t="n">
        <x:v>1050</x:v>
      </x:c>
      <x:c r="L9" s="68" t="n">
        <x:v>0</x:v>
      </x:c>
      <x:c r="M9" s="68" t="n">
        <x:v>0</x:v>
      </x:c>
      <x:c r="N9" s="68" t="n">
        <x:v>30</x:v>
      </x:c>
      <x:c r="O9" s="68" t="n">
        <x:v>450</x:v>
      </x:c>
      <x:c r="P9" s="68" t="n">
        <x:v>12</x:v>
      </x:c>
      <x:c r="Q9" s="68" t="n">
        <x:v>4</x:v>
      </x:c>
      <x:c r="R9" s="68" t="n">
        <x:v>3</x:v>
      </x:c>
      <x:c r="S9" s="68" t="n">
        <x:v>2</x:v>
      </x:c>
      <x:c r="T9" s="68" t="n">
        <x:v>5</x:v>
      </x:c>
      <x:c r="U9" s="68" t="n">
        <x:v>1</x:v>
      </x:c>
      <x:c r="V9" s="38" t="str">
        <x:v>0</x:v>
      </x:c>
      <x:c r="W9" s="68" t="n">
        <x:v>1</x:v>
      </x:c>
      <x:c r="X9" s="68" t="n">
        <x:v>5</x:v>
      </x:c>
      <x:c r="Y9" s="68" t="n">
        <x:v>3</x:v>
      </x:c>
      <x:c r="Z9" s="68" t="n">
        <x:v>8</x:v>
      </x:c>
      <x:c r="AA9" s="68" t="n">
        <x:v>0</x:v>
      </x:c>
      <x:c r="AB9" s="68" t="n">
        <x:v>20</x:v>
      </x:c>
      <x:c r="AC9" s="68" t="n">
        <x:v>20</x:v>
      </x:c>
      <x:c r="AD9" s="68" t="n">
        <x:v>0</x:v>
      </x:c>
      <x:c r="AE9" s="68" t="n">
        <x:v>20</x:v>
      </x:c>
      <x:c r="AF9" s="38" t="str">
        <x:v>Committed</x:v>
      </x:c>
      <x:c r="AG9" s="85" t="b">
        <x:v>1</x:v>
      </x:c>
      <x:c r="AH9" s="85" t="b">
        <x:v>1</x:v>
      </x:c>
      <x:c r="AI9" s="85" t="b">
        <x:v>0</x:v>
      </x:c>
      <x:c r="AJ9" s="85" t="b">
        <x:v>0</x:v>
      </x:c>
      <x:c r="AK9" s="85" t="b">
        <x:v>0</x:v>
      </x:c>
      <x:c r="AL9" s="68" t="n">
        <x:v>0</x:v>
      </x:c>
      <x:c r="AM9" s="68" t="n">
        <x:v>0</x:v>
      </x:c>
      <x:c r="AN9" s="68" t="n">
        <x:v>0</x:v>
      </x:c>
      <x:c r="AO9" s="38" t="str">
        <x:v>None</x:v>
      </x:c>
      <x:c r="AP9" s="68" t="n">
        <x:v>0</x:v>
      </x:c>
      <x:c r="AQ9" s="68" t="n">
        <x:v>20</x:v>
      </x:c>
      <x:c r="AR9" s="68" t="n">
        <x:v>0</x:v>
      </x:c>
      <x:c r="AS9" s="68" t="n">
        <x:v>0</x:v>
      </x:c>
      <x:c r="AT9" s="68" t="n">
        <x:v>0</x:v>
      </x:c>
      <x:c r="AU9" s="68" t="n">
        <x:v>0</x:v>
      </x:c>
      <x:c r="AV9" s="68" t="n">
        <x:v>0</x:v>
      </x:c>
      <x:c r="AW9" s="68" t="n">
        <x:v>0</x:v>
      </x:c>
      <x:c r="AX9" s="68" t="n">
        <x:v>0</x:v>
      </x:c>
      <x:c r="AY9" s="68" t="n">
        <x:v>2</x:v>
      </x:c>
      <x:c r="AZ9" s="68" t="n">
        <x:v>1000</x:v>
      </x:c>
      <x:c r="BA9" s="68" t="n">
        <x:v>0</x:v>
      </x:c>
      <x:c r="BB9" s="74" t="n">
        <x:f>IF(B9="all",0,N9+ROUND(VLOOKUP(B9,'Fighter Stats'!$A$6:$E$8,5,FALSE)*O9/'Global Config'!$D$12,0))</x:f>
        <x:v>89</x:v>
      </x:c>
      <x:c r="BC9" s="74" t="n">
        <x:f>ROUND(BB9*(1-('Global Config'!$D$36/('Global Config'!$D$36+'Global Config'!$D$23))),0)</x:f>
        <x:v>59</x:v>
      </x:c>
      <x:c r="BD9" s="38" t="str">
        <x:v>Hypothesis</x:v>
      </x:c>
      <x:c r="BE9" s="56" t="str">
        <x:f>IF(AND(A9&lt;&gt;"",H9&lt;=I9,J9&lt;=K9,S9&lt;=R9,R9&lt;=T9,Y9&lt;=X9,X9&lt;=Z9,AT9&lt;=AS9,AS9&lt;=AU9,AW9&lt;=AX9,AY9&gt;=1,L9&gt;=0,M9&gt;=0),"OK","ERROR")</x:f>
        <x:v>OK</x:v>
      </x:c>
      <x:c r="BF9" s="44" t="str">
        <x:v>Безопасный fallback; сильный repeat penalty.</x:v>
      </x:c>
    </x:row>
    <x:row r="10" ht="36" customHeight="1">
      <x:c r="A10" s="35" t="str">
        <x:v>bear_crushing_swipe</x:v>
      </x:c>
      <x:c r="B10" s="35" t="str">
        <x:v>bear</x:v>
      </x:c>
      <x:c r="C10" s="38" t="str">
        <x:v>Сокрушительный взмах</x:v>
      </x:c>
      <x:c r="D10" s="38" t="str">
        <x:v>Basic</x:v>
      </x:c>
      <x:c r="E10" s="38" t="str">
        <x:v>HeavyStrike</x:v>
      </x:c>
      <x:c r="F10" s="44" t="str">
        <x:v>strike|heavy|guard_break|knockback</x:v>
      </x:c>
      <x:c r="G10" s="62" t="n">
        <x:v>720</x:v>
      </x:c>
      <x:c r="H10" s="68" t="n">
        <x:v>400</x:v>
      </x:c>
      <x:c r="I10" s="68" t="n">
        <x:v>1350</x:v>
      </x:c>
      <x:c r="J10" s="68" t="n">
        <x:v>150</x:v>
      </x:c>
      <x:c r="K10" s="68" t="n">
        <x:v>1700</x:v>
      </x:c>
      <x:c r="L10" s="68" t="n">
        <x:v>180</x:v>
      </x:c>
      <x:c r="M10" s="68" t="n">
        <x:v>0</x:v>
      </x:c>
      <x:c r="N10" s="68" t="n">
        <x:v>60</x:v>
      </x:c>
      <x:c r="O10" s="68" t="n">
        <x:v>900</x:v>
      </x:c>
      <x:c r="P10" s="68" t="n">
        <x:v>25</x:v>
      </x:c>
      <x:c r="Q10" s="68" t="n">
        <x:v>8</x:v>
      </x:c>
      <x:c r="R10" s="68" t="n">
        <x:v>8</x:v>
      </x:c>
      <x:c r="S10" s="68" t="n">
        <x:v>5</x:v>
      </x:c>
      <x:c r="T10" s="68" t="n">
        <x:v>12</x:v>
      </x:c>
      <x:c r="U10" s="68" t="n">
        <x:v>2</x:v>
      </x:c>
      <x:c r="V10" s="38" t="str">
        <x:v>0</x:v>
      </x:c>
      <x:c r="W10" s="68" t="n">
        <x:v>1</x:v>
      </x:c>
      <x:c r="X10" s="68" t="n">
        <x:v>12</x:v>
      </x:c>
      <x:c r="Y10" s="68" t="n">
        <x:v>8</x:v>
      </x:c>
      <x:c r="Z10" s="68" t="n">
        <x:v>18</x:v>
      </x:c>
      <x:c r="AA10" s="68" t="n">
        <x:v>35</x:v>
      </x:c>
      <x:c r="AB10" s="68" t="n">
        <x:v>40</x:v>
      </x:c>
      <x:c r="AC10" s="68" t="n">
        <x:v>45</x:v>
      </x:c>
      <x:c r="AD10" s="68" t="n">
        <x:v>0</x:v>
      </x:c>
      <x:c r="AE10" s="68" t="n">
        <x:v>40</x:v>
      </x:c>
      <x:c r="AF10" s="38" t="str">
        <x:v>Armored</x:v>
      </x:c>
      <x:c r="AG10" s="85" t="b">
        <x:v>1</x:v>
      </x:c>
      <x:c r="AH10" s="85" t="b">
        <x:v>1</x:v>
      </x:c>
      <x:c r="AI10" s="85" t="b">
        <x:v>0</x:v>
      </x:c>
      <x:c r="AJ10" s="85" t="b">
        <x:v>0</x:v>
      </x:c>
      <x:c r="AK10" s="85" t="b">
        <x:v>0</x:v>
      </x:c>
      <x:c r="AL10" s="68" t="n">
        <x:v>0</x:v>
      </x:c>
      <x:c r="AM10" s="68" t="n">
        <x:v>0</x:v>
      </x:c>
      <x:c r="AN10" s="68" t="n">
        <x:v>0</x:v>
      </x:c>
      <x:c r="AO10" s="38" t="str">
        <x:v>Push</x:v>
      </x:c>
      <x:c r="AP10" s="68" t="n">
        <x:v>0</x:v>
      </x:c>
      <x:c r="AQ10" s="68" t="n">
        <x:v>120</x:v>
      </x:c>
      <x:c r="AR10" s="68" t="n">
        <x:v>4</x:v>
      </x:c>
      <x:c r="AS10" s="68" t="n">
        <x:v>650</x:v>
      </x:c>
      <x:c r="AT10" s="68" t="n">
        <x:v>200</x:v>
      </x:c>
      <x:c r="AU10" s="68" t="n">
        <x:v>900</x:v>
      </x:c>
      <x:c r="AV10" s="68" t="n">
        <x:v>0</x:v>
      </x:c>
      <x:c r="AW10" s="68" t="n">
        <x:v>0</x:v>
      </x:c>
      <x:c r="AX10" s="68" t="n">
        <x:v>0</x:v>
      </x:c>
      <x:c r="AY10" s="68" t="n">
        <x:v>1</x:v>
      </x:c>
      <x:c r="AZ10" s="68" t="n">
        <x:v>1200</x:v>
      </x:c>
      <x:c r="BA10" s="68" t="n">
        <x:v>0</x:v>
      </x:c>
      <x:c r="BB10" s="74" t="n">
        <x:f>IF(B10="all",0,N10+ROUND(VLOOKUP(B10,'Fighter Stats'!$A$6:$E$8,5,FALSE)*O10/'Global Config'!$D$12,0))</x:f>
        <x:v>177</x:v>
      </x:c>
      <x:c r="BC10" s="74" t="n">
        <x:f>ROUND(BB10*(1-('Global Config'!$D$36/('Global Config'!$D$36+'Global Config'!$D$23))),0)</x:f>
        <x:v>118</x:v>
      </x:c>
      <x:c r="BD10" s="38" t="str">
        <x:v>Hypothesis</x:v>
      </x:c>
      <x:c r="BE10" s="56" t="str">
        <x:f>IF(AND(A10&lt;&gt;"",H10&lt;=I10,J10&lt;=K10,S10&lt;=R10,R10&lt;=T10,Y10&lt;=X10,X10&lt;=Z10,AT10&lt;=AS10,AS10&lt;=AU10,AW10&lt;=AX10,AY10&gt;=1,L10&gt;=0,M10&gt;=0),"OK","ERROR")</x:f>
        <x:v>OK</x:v>
      </x:c>
      <x:c r="BF10" s="44" t="str">
        <x:v>Наказывает Block/Recovery; длинный telegraph и recovery.</x:v>
      </x:c>
    </x:row>
    <x:row r="11" ht="36" customHeight="1">
      <x:c r="A11" s="35" t="str">
        <x:v>bear_guarded_advance</x:v>
      </x:c>
      <x:c r="B11" s="35" t="str">
        <x:v>bear</x:v>
      </x:c>
      <x:c r="C11" s="38" t="str">
        <x:v>Защищённое наступление</x:v>
      </x:c>
      <x:c r="D11" s="38" t="str">
        <x:v>Basic</x:v>
      </x:c>
      <x:c r="E11" s="38" t="str">
        <x:v>BlockMovement</x:v>
      </x:c>
      <x:c r="F11" s="44" t="str">
        <x:v>movement|approach|block|defense</x:v>
      </x:c>
      <x:c r="G11" s="62" t="n">
        <x:v>650</x:v>
      </x:c>
      <x:c r="H11" s="68" t="n">
        <x:v>200</x:v>
      </x:c>
      <x:c r="I11" s="68" t="n">
        <x:v>900</x:v>
      </x:c>
      <x:c r="J11" s="68" t="n">
        <x:v>0</x:v>
      </x:c>
      <x:c r="K11" s="68" t="n">
        <x:v>0</x:v>
      </x:c>
      <x:c r="L11" s="68" t="n">
        <x:v>100</x:v>
      </x:c>
      <x:c r="M11" s="68" t="n">
        <x:v>0</x:v>
      </x:c>
      <x:c r="N11" s="68" t="n">
        <x:v>0</x:v>
      </x:c>
      <x:c r="O11" s="68" t="n">
        <x:v>0</x:v>
      </x:c>
      <x:c r="P11" s="68" t="n">
        <x:v>0</x:v>
      </x:c>
      <x:c r="Q11" s="68" t="n">
        <x:v>0</x:v>
      </x:c>
      <x:c r="R11" s="68" t="n">
        <x:v>3</x:v>
      </x:c>
      <x:c r="S11" s="68" t="n">
        <x:v>2</x:v>
      </x:c>
      <x:c r="T11" s="68" t="n">
        <x:v>5</x:v>
      </x:c>
      <x:c r="U11" s="68" t="n">
        <x:v>10</x:v>
      </x:c>
      <x:c r="V11" s="38" t="str"/>
      <x:c r="W11" s="68" t="n">
        <x:v>0</x:v>
      </x:c>
      <x:c r="X11" s="68" t="n">
        <x:v>6</x:v>
      </x:c>
      <x:c r="Y11" s="68" t="n">
        <x:v>4</x:v>
      </x:c>
      <x:c r="Z11" s="68" t="n">
        <x:v>9</x:v>
      </x:c>
      <x:c r="AA11" s="68" t="n">
        <x:v>20</x:v>
      </x:c>
      <x:c r="AB11" s="68" t="n">
        <x:v>30</x:v>
      </x:c>
      <x:c r="AC11" s="68" t="n">
        <x:v>0</x:v>
      </x:c>
      <x:c r="AD11" s="68" t="n">
        <x:v>0</x:v>
      </x:c>
      <x:c r="AE11" s="68" t="n">
        <x:v>70</x:v>
      </x:c>
      <x:c r="AF11" s="38" t="str">
        <x:v>Armored</x:v>
      </x:c>
      <x:c r="AG11" s="85" t="b">
        <x:v>0</x:v>
      </x:c>
      <x:c r="AH11" s="85" t="b">
        <x:v>0</x:v>
      </x:c>
      <x:c r="AI11" s="85" t="b">
        <x:v>0</x:v>
      </x:c>
      <x:c r="AJ11" s="85" t="b">
        <x:v>0</x:v>
      </x:c>
      <x:c r="AK11" s="85" t="b">
        <x:v>1</x:v>
      </x:c>
      <x:c r="AL11" s="68" t="n">
        <x:v>550</x:v>
      </x:c>
      <x:c r="AM11" s="68" t="n">
        <x:v>500</x:v>
      </x:c>
      <x:c r="AN11" s="68" t="n">
        <x:v>0</x:v>
      </x:c>
      <x:c r="AO11" s="38" t="str">
        <x:v>Approach</x:v>
      </x:c>
      <x:c r="AP11" s="68" t="n">
        <x:v>700</x:v>
      </x:c>
      <x:c r="AQ11" s="68" t="n">
        <x:v>0</x:v>
      </x:c>
      <x:c r="AR11" s="68" t="n">
        <x:v>0</x:v>
      </x:c>
      <x:c r="AS11" s="68" t="n">
        <x:v>0</x:v>
      </x:c>
      <x:c r="AT11" s="68" t="n">
        <x:v>0</x:v>
      </x:c>
      <x:c r="AU11" s="68" t="n">
        <x:v>0</x:v>
      </x:c>
      <x:c r="AV11" s="68" t="n">
        <x:v>0</x:v>
      </x:c>
      <x:c r="AW11" s="68" t="n">
        <x:v>0</x:v>
      </x:c>
      <x:c r="AX11" s="68" t="n">
        <x:v>0</x:v>
      </x:c>
      <x:c r="AY11" s="68" t="n">
        <x:v>1</x:v>
      </x:c>
      <x:c r="AZ11" s="68" t="n">
        <x:v>1000</x:v>
      </x:c>
      <x:c r="BA11" s="68" t="n">
        <x:v>0</x:v>
      </x:c>
      <x:c r="BB11" s="74" t="n">
        <x:f>IF(B11="all",0,N11+ROUND(VLOOKUP(B11,'Fighter Stats'!$A$6:$E$8,5,FALSE)*O11/'Global Config'!$D$12,0))</x:f>
        <x:v>0</x:v>
      </x:c>
      <x:c r="BC11" s="74" t="n">
        <x:f>ROUND(BB11*(1-('Global Config'!$D$36/('Global Config'!$D$36+'Global Config'!$D$23))),0)</x:f>
        <x:v>0</x:v>
      </x:c>
      <x:c r="BD11" s="38" t="str">
        <x:v>Hypothesis</x:v>
      </x:c>
      <x:c r="BE11" s="56" t="str">
        <x:f>IF(AND(A11&lt;&gt;"",H11&lt;=I11,J11&lt;=K11,S11&lt;=R11,R11&lt;=T11,Y11&lt;=X11,X11&lt;=Z11,AT11&lt;=AS11,AS11&lt;=AU11,AW11&lt;=AX11,AY11&gt;=1,L11&gt;=0,M11&gt;=0),"OK","ERROR")</x:f>
        <x:v>OK</x:v>
      </x:c>
      <x:c r="BF11" s="44" t="str">
        <x:v>Grab проходит через защиту; GuardBreak останавливает движение.</x:v>
      </x:c>
    </x:row>
    <x:row r="12" ht="36" customHeight="1">
      <x:c r="A12" s="35" t="str">
        <x:v>bear_body_check</x:v>
      </x:c>
      <x:c r="B12" s="35" t="str">
        <x:v>bear</x:v>
      </x:c>
      <x:c r="C12" s="38" t="str">
        <x:v>Таран корпусом</x:v>
      </x:c>
      <x:c r="D12" s="38" t="str">
        <x:v>Basic</x:v>
      </x:c>
      <x:c r="E12" s="38" t="str">
        <x:v>ApproachStrike</x:v>
      </x:c>
      <x:c r="F12" s="44" t="str">
        <x:v>strike|approach|knockback|medium</x:v>
      </x:c>
      <x:c r="G12" s="62" t="n">
        <x:v>700</x:v>
      </x:c>
      <x:c r="H12" s="68" t="n">
        <x:v>900</x:v>
      </x:c>
      <x:c r="I12" s="68" t="n">
        <x:v>2100</x:v>
      </x:c>
      <x:c r="J12" s="68" t="n">
        <x:v>250</x:v>
      </x:c>
      <x:c r="K12" s="68" t="n">
        <x:v>950</x:v>
      </x:c>
      <x:c r="L12" s="68" t="n">
        <x:v>130</x:v>
      </x:c>
      <x:c r="M12" s="68" t="n">
        <x:v>0</x:v>
      </x:c>
      <x:c r="N12" s="68" t="n">
        <x:v>45</x:v>
      </x:c>
      <x:c r="O12" s="68" t="n">
        <x:v>650</x:v>
      </x:c>
      <x:c r="P12" s="68" t="n">
        <x:v>18</x:v>
      </x:c>
      <x:c r="Q12" s="68" t="n">
        <x:v>6</x:v>
      </x:c>
      <x:c r="R12" s="68" t="n">
        <x:v>5</x:v>
      </x:c>
      <x:c r="S12" s="68" t="n">
        <x:v>3</x:v>
      </x:c>
      <x:c r="T12" s="68" t="n">
        <x:v>8</x:v>
      </x:c>
      <x:c r="U12" s="68" t="n">
        <x:v>1</x:v>
      </x:c>
      <x:c r="V12" s="38" t="str">
        <x:v>0</x:v>
      </x:c>
      <x:c r="W12" s="68" t="n">
        <x:v>1</x:v>
      </x:c>
      <x:c r="X12" s="68" t="n">
        <x:v>10</x:v>
      </x:c>
      <x:c r="Y12" s="68" t="n">
        <x:v>7</x:v>
      </x:c>
      <x:c r="Z12" s="68" t="n">
        <x:v>15</x:v>
      </x:c>
      <x:c r="AA12" s="68" t="n">
        <x:v>25</x:v>
      </x:c>
      <x:c r="AB12" s="68" t="n">
        <x:v>35</x:v>
      </x:c>
      <x:c r="AC12" s="68" t="n">
        <x:v>35</x:v>
      </x:c>
      <x:c r="AD12" s="68" t="n">
        <x:v>0</x:v>
      </x:c>
      <x:c r="AE12" s="68" t="n">
        <x:v>35</x:v>
      </x:c>
      <x:c r="AF12" s="38" t="str">
        <x:v>Armored</x:v>
      </x:c>
      <x:c r="AG12" s="85" t="b">
        <x:v>1</x:v>
      </x:c>
      <x:c r="AH12" s="85" t="b">
        <x:v>1</x:v>
      </x:c>
      <x:c r="AI12" s="85" t="b">
        <x:v>0</x:v>
      </x:c>
      <x:c r="AJ12" s="85" t="b">
        <x:v>0</x:v>
      </x:c>
      <x:c r="AK12" s="85" t="b">
        <x:v>0</x:v>
      </x:c>
      <x:c r="AL12" s="68" t="n">
        <x:v>0</x:v>
      </x:c>
      <x:c r="AM12" s="68" t="n">
        <x:v>0</x:v>
      </x:c>
      <x:c r="AN12" s="68" t="n">
        <x:v>0</x:v>
      </x:c>
      <x:c r="AO12" s="38" t="str">
        <x:v>Approach</x:v>
      </x:c>
      <x:c r="AP12" s="68" t="n">
        <x:v>1100</x:v>
      </x:c>
      <x:c r="AQ12" s="68" t="n">
        <x:v>80</x:v>
      </x:c>
      <x:c r="AR12" s="68" t="n">
        <x:v>3</x:v>
      </x:c>
      <x:c r="AS12" s="68" t="n">
        <x:v>850</x:v>
      </x:c>
      <x:c r="AT12" s="68" t="n">
        <x:v>300</x:v>
      </x:c>
      <x:c r="AU12" s="68" t="n">
        <x:v>1200</x:v>
      </x:c>
      <x:c r="AV12" s="68" t="n">
        <x:v>0</x:v>
      </x:c>
      <x:c r="AW12" s="68" t="n">
        <x:v>0</x:v>
      </x:c>
      <x:c r="AX12" s="68" t="n">
        <x:v>0</x:v>
      </x:c>
      <x:c r="AY12" s="68" t="n">
        <x:v>1</x:v>
      </x:c>
      <x:c r="AZ12" s="68" t="n">
        <x:v>1200</x:v>
      </x:c>
      <x:c r="BA12" s="68" t="n">
        <x:v>0</x:v>
      </x:c>
      <x:c r="BB12" s="74" t="n">
        <x:f>IF(B12="all",0,N12+ROUND(VLOOKUP(B12,'Fighter Stats'!$A$6:$E$8,5,FALSE)*O12/'Global Config'!$D$12,0))</x:f>
        <x:v>130</x:v>
      </x:c>
      <x:c r="BC12" s="74" t="n">
        <x:f>ROUND(BB12*(1-('Global Config'!$D$36/('Global Config'!$D$36+'Global Config'!$D$23))),0)</x:f>
        <x:v>87</x:v>
      </x:c>
      <x:c r="BD12" s="38" t="str">
        <x:v>Hypothesis</x:v>
      </x:c>
      <x:c r="BE12" s="56" t="str">
        <x:f>IF(AND(A12&lt;&gt;"",H12&lt;=I12,J12&lt;=K12,S12&lt;=R12,R12&lt;=T12,Y12&lt;=X12,X12&lt;=Z12,AT12&lt;=AS12,AS12&lt;=AU12,AW12&lt;=AX12,AY12&gt;=1,L12&gt;=0,M12&gt;=0),"OK","ERROR")</x:f>
        <x:v>OK</x:v>
      </x:c>
      <x:c r="BF12" s="44" t="str">
        <x:v>Промах оставляет заметный recovery.</x:v>
      </x:c>
    </x:row>
    <x:row r="13" ht="36" customHeight="1">
      <x:c r="A13" s="35" t="str">
        <x:v>bear_rampage_charge</x:v>
      </x:c>
      <x:c r="B13" s="35" t="str">
        <x:v>bear</x:v>
      </x:c>
      <x:c r="C13" s="38" t="str">
        <x:v>Неудержимый натиск</x:v>
      </x:c>
      <x:c r="D13" s="38" t="str">
        <x:v>Special</x:v>
      </x:c>
      <x:c r="E13" s="38" t="str">
        <x:v>SignatureApproach</x:v>
      </x:c>
      <x:c r="F13" s="44" t="str">
        <x:v>special|signature|approach|strike|unstoppable|wall_impact</x:v>
      </x:c>
      <x:c r="G13" s="62" t="n">
        <x:v>500</x:v>
      </x:c>
      <x:c r="H13" s="68" t="n">
        <x:v>1600</x:v>
      </x:c>
      <x:c r="I13" s="68" t="n">
        <x:v>3600</x:v>
      </x:c>
      <x:c r="J13" s="68" t="n">
        <x:v>200</x:v>
      </x:c>
      <x:c r="K13" s="68" t="n">
        <x:v>1050</x:v>
      </x:c>
      <x:c r="L13" s="68" t="n">
        <x:v>300</x:v>
      </x:c>
      <x:c r="M13" s="68" t="n">
        <x:v>350</x:v>
      </x:c>
      <x:c r="N13" s="68" t="n">
        <x:v>90</x:v>
      </x:c>
      <x:c r="O13" s="68" t="n">
        <x:v>1200</x:v>
      </x:c>
      <x:c r="P13" s="68" t="n">
        <x:v>35</x:v>
      </x:c>
      <x:c r="Q13" s="68" t="n">
        <x:v>10</x:v>
      </x:c>
      <x:c r="R13" s="68" t="n">
        <x:v>12</x:v>
      </x:c>
      <x:c r="S13" s="68" t="n">
        <x:v>8</x:v>
      </x:c>
      <x:c r="T13" s="68" t="n">
        <x:v>18</x:v>
      </x:c>
      <x:c r="U13" s="68" t="n">
        <x:v>2</x:v>
      </x:c>
      <x:c r="V13" s="38" t="str">
        <x:v>0</x:v>
      </x:c>
      <x:c r="W13" s="68" t="n">
        <x:v>1</x:v>
      </x:c>
      <x:c r="X13" s="68" t="n">
        <x:v>18</x:v>
      </x:c>
      <x:c r="Y13" s="68" t="n">
        <x:v>12</x:v>
      </x:c>
      <x:c r="Z13" s="68" t="n">
        <x:v>26</x:v>
      </x:c>
      <x:c r="AA13" s="68" t="n">
        <x:v>80</x:v>
      </x:c>
      <x:c r="AB13" s="68" t="n">
        <x:v>65</x:v>
      </x:c>
      <x:c r="AC13" s="68" t="n">
        <x:v>70</x:v>
      </x:c>
      <x:c r="AD13" s="68" t="n">
        <x:v>0</x:v>
      </x:c>
      <x:c r="AE13" s="68" t="n">
        <x:v>65</x:v>
      </x:c>
      <x:c r="AF13" s="38" t="str">
        <x:v>Unstoppable</x:v>
      </x:c>
      <x:c r="AG13" s="85" t="b">
        <x:v>1</x:v>
      </x:c>
      <x:c r="AH13" s="85" t="b">
        <x:v>1</x:v>
      </x:c>
      <x:c r="AI13" s="85" t="b">
        <x:v>0</x:v>
      </x:c>
      <x:c r="AJ13" s="85" t="b">
        <x:v>1</x:v>
      </x:c>
      <x:c r="AK13" s="85" t="b">
        <x:v>0</x:v>
      </x:c>
      <x:c r="AL13" s="68" t="n">
        <x:v>0</x:v>
      </x:c>
      <x:c r="AM13" s="68" t="n">
        <x:v>0</x:v>
      </x:c>
      <x:c r="AN13" s="68" t="n">
        <x:v>0</x:v>
      </x:c>
      <x:c r="AO13" s="38" t="str">
        <x:v>Approach</x:v>
      </x:c>
      <x:c r="AP13" s="68" t="n">
        <x:v>2600</x:v>
      </x:c>
      <x:c r="AQ13" s="68" t="n">
        <x:v>180</x:v>
      </x:c>
      <x:c r="AR13" s="68" t="n">
        <x:v>7</x:v>
      </x:c>
      <x:c r="AS13" s="68" t="n">
        <x:v>1400</x:v>
      </x:c>
      <x:c r="AT13" s="68" t="n">
        <x:v>600</x:v>
      </x:c>
      <x:c r="AU13" s="68" t="n">
        <x:v>1800</x:v>
      </x:c>
      <x:c r="AV13" s="68" t="n">
        <x:v>150</x:v>
      </x:c>
      <x:c r="AW13" s="68" t="n">
        <x:v>20</x:v>
      </x:c>
      <x:c r="AX13" s="68" t="n">
        <x:v>160</x:v>
      </x:c>
      <x:c r="AY13" s="68" t="n">
        <x:v>1</x:v>
      </x:c>
      <x:c r="AZ13" s="68" t="n">
        <x:v>2500</x:v>
      </x:c>
      <x:c r="BA13" s="68" t="n">
        <x:v>4</x:v>
      </x:c>
      <x:c r="BB13" s="74" t="n">
        <x:f>IF(B13="all",0,N13+ROUND(VLOOKUP(B13,'Fighter Stats'!$A$6:$E$8,5,FALSE)*O13/'Global Config'!$D$12,0))</x:f>
        <x:v>246</x:v>
      </x:c>
      <x:c r="BC13" s="74" t="n">
        <x:f>ROUND(BB13*(1-('Global Config'!$D$36/('Global Config'!$D$36+'Global Config'!$D$23))),0)</x:f>
        <x:v>164</x:v>
      </x:c>
      <x:c r="BD13" s="38" t="str">
        <x:v>Hypothesis</x:v>
      </x:c>
      <x:c r="BE13" s="56" t="str">
        <x:f>IF(AND(A13&lt;&gt;"",H13&lt;=I13,J13&lt;=K13,S13&lt;=R13,R13&lt;=T13,Y13&lt;=X13,X13&lt;=Z13,AT13&lt;=AS13,AS13&lt;=AU13,AW13&lt;=AX13,AY13&gt;=1,L13&gt;=0,M13&gt;=0),"OK","ERROR")</x:f>
        <x:v>OK</x:v>
      </x:c>
      <x:c r="BF13" s="44" t="str">
        <x:v>Late Dodge остаётся контрplay; получает урон во время Unstoppable.</x:v>
      </x:c>
    </x:row>
    <x:row r="14" ht="36" customHeight="1">
      <x:c r="A14" s="35" t="str">
        <x:v>bear_earthbreaker</x:v>
      </x:c>
      <x:c r="B14" s="35" t="str">
        <x:v>bear</x:v>
      </x:c>
      <x:c r="C14" s="38" t="str">
        <x:v>Землелом</x:v>
      </x:c>
      <x:c r="D14" s="38" t="str">
        <x:v>Special</x:v>
      </x:c>
      <x:c r="E14" s="38" t="str">
        <x:v>SignatureGround</x:v>
      </x:c>
      <x:c r="F14" s="44" t="str">
        <x:v>special|signature|heavy|ground|undodgeable|stagger</x:v>
      </x:c>
      <x:c r="G14" s="62" t="n">
        <x:v>470</x:v>
      </x:c>
      <x:c r="H14" s="68" t="n">
        <x:v>300</x:v>
      </x:c>
      <x:c r="I14" s="68" t="n">
        <x:v>1700</x:v>
      </x:c>
      <x:c r="J14" s="68" t="n">
        <x:v>0</x:v>
      </x:c>
      <x:c r="K14" s="68" t="n">
        <x:v>2200</x:v>
      </x:c>
      <x:c r="L14" s="68" t="n">
        <x:v>250</x:v>
      </x:c>
      <x:c r="M14" s="68" t="n">
        <x:v>450</x:v>
      </x:c>
      <x:c r="N14" s="68" t="n">
        <x:v>80</x:v>
      </x:c>
      <x:c r="O14" s="68" t="n">
        <x:v>1000</x:v>
      </x:c>
      <x:c r="P14" s="68" t="n">
        <x:v>30</x:v>
      </x:c>
      <x:c r="Q14" s="68" t="n">
        <x:v>10</x:v>
      </x:c>
      <x:c r="R14" s="68" t="n">
        <x:v>14</x:v>
      </x:c>
      <x:c r="S14" s="68" t="n">
        <x:v>10</x:v>
      </x:c>
      <x:c r="T14" s="68" t="n">
        <x:v>20</x:v>
      </x:c>
      <x:c r="U14" s="68" t="n">
        <x:v>2</x:v>
      </x:c>
      <x:c r="V14" s="38" t="str">
        <x:v>0</x:v>
      </x:c>
      <x:c r="W14" s="68" t="n">
        <x:v>1</x:v>
      </x:c>
      <x:c r="X14" s="68" t="n">
        <x:v>17</x:v>
      </x:c>
      <x:c r="Y14" s="68" t="n">
        <x:v>12</x:v>
      </x:c>
      <x:c r="Z14" s="68" t="n">
        <x:v>25</x:v>
      </x:c>
      <x:c r="AA14" s="68" t="n">
        <x:v>75</x:v>
      </x:c>
      <x:c r="AB14" s="68" t="n">
        <x:v>60</x:v>
      </x:c>
      <x:c r="AC14" s="68" t="n">
        <x:v>60</x:v>
      </x:c>
      <x:c r="AD14" s="68" t="n">
        <x:v>0</x:v>
      </x:c>
      <x:c r="AE14" s="68" t="n">
        <x:v>60</x:v>
      </x:c>
      <x:c r="AF14" s="38" t="str">
        <x:v>Committed</x:v>
      </x:c>
      <x:c r="AG14" s="85" t="b">
        <x:v>1</x:v>
      </x:c>
      <x:c r="AH14" s="85" t="b">
        <x:v>0</x:v>
      </x:c>
      <x:c r="AI14" s="85" t="b">
        <x:v>1</x:v>
      </x:c>
      <x:c r="AJ14" s="85" t="b">
        <x:v>0</x:v>
      </x:c>
      <x:c r="AK14" s="85" t="b">
        <x:v>0</x:v>
      </x:c>
      <x:c r="AL14" s="68" t="n">
        <x:v>0</x:v>
      </x:c>
      <x:c r="AM14" s="68" t="n">
        <x:v>0</x:v>
      </x:c>
      <x:c r="AN14" s="68" t="n">
        <x:v>0</x:v>
      </x:c>
      <x:c r="AO14" s="38" t="str">
        <x:v>None</x:v>
      </x:c>
      <x:c r="AP14" s="68" t="n">
        <x:v>0</x:v>
      </x:c>
      <x:c r="AQ14" s="68" t="n">
        <x:v>220</x:v>
      </x:c>
      <x:c r="AR14" s="68" t="n">
        <x:v>10</x:v>
      </x:c>
      <x:c r="AS14" s="68" t="n">
        <x:v>250</x:v>
      </x:c>
      <x:c r="AT14" s="68" t="n">
        <x:v>0</x:v>
      </x:c>
      <x:c r="AU14" s="68" t="n">
        <x:v>500</x:v>
      </x:c>
      <x:c r="AV14" s="68" t="n">
        <x:v>0</x:v>
      </x:c>
      <x:c r="AW14" s="68" t="n">
        <x:v>0</x:v>
      </x:c>
      <x:c r="AX14" s="68" t="n">
        <x:v>0</x:v>
      </x:c>
      <x:c r="AY14" s="68" t="n">
        <x:v>1</x:v>
      </x:c>
      <x:c r="AZ14" s="68" t="n">
        <x:v>2500</x:v>
      </x:c>
      <x:c r="BA14" s="68" t="n">
        <x:v>4</x:v>
      </x:c>
      <x:c r="BB14" s="74" t="n">
        <x:f>IF(B14="all",0,N14+ROUND(VLOOKUP(B14,'Fighter Stats'!$A$6:$E$8,5,FALSE)*O14/'Global Config'!$D$12,0))</x:f>
        <x:v>210</x:v>
      </x:c>
      <x:c r="BC14" s="74" t="n">
        <x:f>ROUND(BB14*(1-('Global Config'!$D$36/('Global Config'!$D$36+'Global Config'!$D$23))),0)</x:f>
        <x:v>140</x:v>
      </x:c>
      <x:c r="BD14" s="38" t="str">
        <x:v>Hypothesis</x:v>
      </x:c>
      <x:c r="BE14" s="56" t="str">
        <x:f>IF(AND(A14&lt;&gt;"",H14&lt;=I14,J14&lt;=K14,S14&lt;=R14,R14&lt;=T14,Y14&lt;=X14,X14&lt;=Z14,AT14&lt;=AS14,AS14&lt;=AU14,AW14&lt;=AX14,AY14&gt;=1,L14&gt;=0,M14&gt;=0),"OK","ERROR")</x:f>
        <x:v>OK</x:v>
      </x:c>
      <x:c r="BF14" s="44" t="str">
        <x:v>Из geometry можно выйти до impact; DodgeChance не проверяется.</x:v>
      </x:c>
    </x:row>
    <x:row r="15" ht="36" customHeight="1">
      <x:c r="A15" s="35" t="str">
        <x:v>bear_fury_maul</x:v>
      </x:c>
      <x:c r="B15" s="35" t="str">
        <x:v>bear</x:v>
      </x:c>
      <x:c r="C15" s="38" t="str">
        <x:v>Яростная расправа</x:v>
      </x:c>
      <x:c r="D15" s="38" t="str">
        <x:v>Special</x:v>
      </x:c>
      <x:c r="E15" s="38" t="str">
        <x:v>SignatureMultiHit</x:v>
      </x:c>
      <x:c r="F15" s="44" t="str">
        <x:v>special|signature|multi_hit|finisher|punish</x:v>
      </x:c>
      <x:c r="G15" s="62" t="n">
        <x:v>420</x:v>
      </x:c>
      <x:c r="H15" s="68" t="n">
        <x:v>0</x:v>
      </x:c>
      <x:c r="I15" s="68" t="n">
        <x:v>850</x:v>
      </x:c>
      <x:c r="J15" s="68" t="n">
        <x:v>0</x:v>
      </x:c>
      <x:c r="K15" s="68" t="n">
        <x:v>1050</x:v>
      </x:c>
      <x:c r="L15" s="68" t="n">
        <x:v>350</x:v>
      </x:c>
      <x:c r="M15" s="68" t="n">
        <x:v>650</x:v>
      </x:c>
      <x:c r="N15" s="68" t="n">
        <x:v>28</x:v>
      </x:c>
      <x:c r="O15" s="68" t="n">
        <x:v>420</x:v>
      </x:c>
      <x:c r="P15" s="68" t="n">
        <x:v>10</x:v>
      </x:c>
      <x:c r="Q15" s="68" t="n">
        <x:v>3</x:v>
      </x:c>
      <x:c r="R15" s="68" t="n">
        <x:v>6</x:v>
      </x:c>
      <x:c r="S15" s="68" t="n">
        <x:v>4</x:v>
      </x:c>
      <x:c r="T15" s="68" t="n">
        <x:v>9</x:v>
      </x:c>
      <x:c r="U15" s="68" t="n">
        <x:v>12</x:v>
      </x:c>
      <x:c r="V15" s="38" t="str">
        <x:v>0|3|6|10</x:v>
      </x:c>
      <x:c r="W15" s="68" t="n">
        <x:v>4</x:v>
      </x:c>
      <x:c r="X15" s="68" t="n">
        <x:v>22</x:v>
      </x:c>
      <x:c r="Y15" s="68" t="n">
        <x:v>15</x:v>
      </x:c>
      <x:c r="Z15" s="68" t="n">
        <x:v>32</x:v>
      </x:c>
      <x:c r="AA15" s="68" t="n">
        <x:v>100</x:v>
      </x:c>
      <x:c r="AB15" s="68" t="n">
        <x:v>58</x:v>
      </x:c>
      <x:c r="AC15" s="68" t="n">
        <x:v>55</x:v>
      </x:c>
      <x:c r="AD15" s="68" t="n">
        <x:v>0</x:v>
      </x:c>
      <x:c r="AE15" s="68" t="n">
        <x:v>58</x:v>
      </x:c>
      <x:c r="AF15" s="38" t="str">
        <x:v>UninterruptibleImpact</x:v>
      </x:c>
      <x:c r="AG15" s="85" t="b">
        <x:v>1</x:v>
      </x:c>
      <x:c r="AH15" s="85" t="b">
        <x:v>1</x:v>
      </x:c>
      <x:c r="AI15" s="85" t="b">
        <x:v>0</x:v>
      </x:c>
      <x:c r="AJ15" s="85" t="b">
        <x:v>0</x:v>
      </x:c>
      <x:c r="AK15" s="85" t="b">
        <x:v>0</x:v>
      </x:c>
      <x:c r="AL15" s="68" t="n">
        <x:v>0</x:v>
      </x:c>
      <x:c r="AM15" s="68" t="n">
        <x:v>0</x:v>
      </x:c>
      <x:c r="AN15" s="68" t="n">
        <x:v>0</x:v>
      </x:c>
      <x:c r="AO15" s="38" t="str">
        <x:v>Follow</x:v>
      </x:c>
      <x:c r="AP15" s="68" t="n">
        <x:v>350</x:v>
      </x:c>
      <x:c r="AQ15" s="68" t="n">
        <x:v>45</x:v>
      </x:c>
      <x:c r="AR15" s="68" t="n">
        <x:v>3</x:v>
      </x:c>
      <x:c r="AS15" s="68" t="n">
        <x:v>180</x:v>
      </x:c>
      <x:c r="AT15" s="68" t="n">
        <x:v>0</x:v>
      </x:c>
      <x:c r="AU15" s="68" t="n">
        <x:v>300</x:v>
      </x:c>
      <x:c r="AV15" s="68" t="n">
        <x:v>0</x:v>
      </x:c>
      <x:c r="AW15" s="68" t="n">
        <x:v>0</x:v>
      </x:c>
      <x:c r="AX15" s="68" t="n">
        <x:v>0</x:v>
      </x:c>
      <x:c r="AY15" s="68" t="n">
        <x:v>1</x:v>
      </x:c>
      <x:c r="AZ15" s="68" t="n">
        <x:v>2500</x:v>
      </x:c>
      <x:c r="BA15" s="68" t="n">
        <x:v>4</x:v>
      </x:c>
      <x:c r="BB15" s="74" t="n">
        <x:f>IF(B15="all",0,N15+ROUND(VLOOKUP(B15,'Fighter Stats'!$A$6:$E$8,5,FALSE)*O15/'Global Config'!$D$12,0))</x:f>
        <x:v>83</x:v>
      </x:c>
      <x:c r="BC15" s="74" t="n">
        <x:f>ROUND(BB15*(1-('Global Config'!$D$36/('Global Config'!$D$36+'Global Config'!$D$23))),0)</x:f>
        <x:v>55</x:v>
      </x:c>
      <x:c r="BD15" s="38" t="str">
        <x:v>Hypothesis</x:v>
      </x:c>
      <x:c r="BE15" s="56" t="str">
        <x:f>IF(AND(A15&lt;&gt;"",H15&lt;=I15,J15&lt;=K15,S15&lt;=R15,R15&lt;=T15,Y15&lt;=X15,X15&lt;=Z15,AT15&lt;=AS15,AS15&lt;=AU15,AW15&lt;=AX15,AY15&gt;=1,L15&gt;=0,M15&gt;=0),"OK","ERROR")</x:f>
        <x:v>OK</x:v>
      </x:c>
      <x:c r="BF15" s="44" t="str">
        <x:v>Последний hit использует Punish multiplier 1.8x при Exposed/Stunned.</x:v>
      </x:c>
    </x:row>
    <x:row r="16" ht="36" customHeight="1">
      <x:c r="A16" s="35" t="str">
        <x:v>kangaroo_lead_jab</x:v>
      </x:c>
      <x:c r="B16" s="35" t="str">
        <x:v>kangaroo</x:v>
      </x:c>
      <x:c r="C16" s="38" t="str">
        <x:v>Передний джеб</x:v>
      </x:c>
      <x:c r="D16" s="38" t="str">
        <x:v>Basic</x:v>
      </x:c>
      <x:c r="E16" s="38" t="str">
        <x:v>LightStrike</x:v>
      </x:c>
      <x:c r="F16" s="44" t="str">
        <x:v>strike|light|rhythm|fallback</x:v>
      </x:c>
      <x:c r="G16" s="62" t="n">
        <x:v>1000</x:v>
      </x:c>
      <x:c r="H16" s="68" t="n">
        <x:v>100</x:v>
      </x:c>
      <x:c r="I16" s="68" t="n">
        <x:v>850</x:v>
      </x:c>
      <x:c r="J16" s="68" t="n">
        <x:v>0</x:v>
      </x:c>
      <x:c r="K16" s="68" t="n">
        <x:v>950</x:v>
      </x:c>
      <x:c r="L16" s="68" t="n">
        <x:v>0</x:v>
      </x:c>
      <x:c r="M16" s="68" t="n">
        <x:v>0</x:v>
      </x:c>
      <x:c r="N16" s="68" t="n">
        <x:v>22</x:v>
      </x:c>
      <x:c r="O16" s="68" t="n">
        <x:v>350</x:v>
      </x:c>
      <x:c r="P16" s="68" t="n">
        <x:v>9</x:v>
      </x:c>
      <x:c r="Q16" s="68" t="n">
        <x:v>3</x:v>
      </x:c>
      <x:c r="R16" s="68" t="n">
        <x:v>2</x:v>
      </x:c>
      <x:c r="S16" s="68" t="n">
        <x:v>1</x:v>
      </x:c>
      <x:c r="T16" s="68" t="n">
        <x:v>4</x:v>
      </x:c>
      <x:c r="U16" s="68" t="n">
        <x:v>1</x:v>
      </x:c>
      <x:c r="V16" s="38" t="str">
        <x:v>0</x:v>
      </x:c>
      <x:c r="W16" s="68" t="n">
        <x:v>1</x:v>
      </x:c>
      <x:c r="X16" s="68" t="n">
        <x:v>4</x:v>
      </x:c>
      <x:c r="Y16" s="68" t="n">
        <x:v>2</x:v>
      </x:c>
      <x:c r="Z16" s="68" t="n">
        <x:v>7</x:v>
      </x:c>
      <x:c r="AA16" s="68" t="n">
        <x:v>0</x:v>
      </x:c>
      <x:c r="AB16" s="68" t="n">
        <x:v>25</x:v>
      </x:c>
      <x:c r="AC16" s="68" t="n">
        <x:v>22</x:v>
      </x:c>
      <x:c r="AD16" s="68" t="n">
        <x:v>0</x:v>
      </x:c>
      <x:c r="AE16" s="68" t="n">
        <x:v>25</x:v>
      </x:c>
      <x:c r="AF16" s="38" t="str">
        <x:v>Committed</x:v>
      </x:c>
      <x:c r="AG16" s="85" t="b">
        <x:v>1</x:v>
      </x:c>
      <x:c r="AH16" s="85" t="b">
        <x:v>1</x:v>
      </x:c>
      <x:c r="AI16" s="85" t="b">
        <x:v>0</x:v>
      </x:c>
      <x:c r="AJ16" s="85" t="b">
        <x:v>0</x:v>
      </x:c>
      <x:c r="AK16" s="85" t="b">
        <x:v>0</x:v>
      </x:c>
      <x:c r="AL16" s="68" t="n">
        <x:v>0</x:v>
      </x:c>
      <x:c r="AM16" s="68" t="n">
        <x:v>0</x:v>
      </x:c>
      <x:c r="AN16" s="68" t="n">
        <x:v>0</x:v>
      </x:c>
      <x:c r="AO16" s="38" t="str">
        <x:v>None</x:v>
      </x:c>
      <x:c r="AP16" s="68" t="n">
        <x:v>0</x:v>
      </x:c>
      <x:c r="AQ16" s="68" t="n">
        <x:v>15</x:v>
      </x:c>
      <x:c r="AR16" s="68" t="n">
        <x:v>0</x:v>
      </x:c>
      <x:c r="AS16" s="68" t="n">
        <x:v>0</x:v>
      </x:c>
      <x:c r="AT16" s="68" t="n">
        <x:v>0</x:v>
      </x:c>
      <x:c r="AU16" s="68" t="n">
        <x:v>0</x:v>
      </x:c>
      <x:c r="AV16" s="68" t="n">
        <x:v>0</x:v>
      </x:c>
      <x:c r="AW16" s="68" t="n">
        <x:v>0</x:v>
      </x:c>
      <x:c r="AX16" s="68" t="n">
        <x:v>0</x:v>
      </x:c>
      <x:c r="AY16" s="68" t="n">
        <x:v>2</x:v>
      </x:c>
      <x:c r="AZ16" s="68" t="n">
        <x:v>1000</x:v>
      </x:c>
      <x:c r="BA16" s="68" t="n">
        <x:v>0</x:v>
      </x:c>
      <x:c r="BB16" s="74" t="n">
        <x:f>IF(B16="all",0,N16+ROUND(VLOOKUP(B16,'Fighter Stats'!$A$6:$E$8,5,FALSE)*O16/'Global Config'!$D$12,0))</x:f>
        <x:v>57</x:v>
      </x:c>
      <x:c r="BC16" s="74" t="n">
        <x:f>ROUND(BB16*(1-('Global Config'!$D$36/('Global Config'!$D$36+'Global Config'!$D$23))),0)</x:f>
        <x:v>38</x:v>
      </x:c>
      <x:c r="BD16" s="38" t="str">
        <x:v>Hypothesis</x:v>
      </x:c>
      <x:c r="BE16" s="56" t="str">
        <x:f>IF(AND(A16&lt;&gt;"",H16&lt;=I16,J16&lt;=K16,S16&lt;=R16,R16&lt;=T16,Y16&lt;=X16,X16&lt;=Z16,AT16&lt;=AS16,AS16&lt;=AU16,AW16&lt;=AX16,AY16&gt;=1,L16&gt;=0,M16&gt;=0),"OK","ERROR")</x:f>
        <x:v>OK</x:v>
      </x:c>
      <x:c r="BF16" s="44" t="str">
        <x:v>Даёт Rhythm только после другой категории.</x:v>
      </x:c>
    </x:row>
    <x:row r="17" ht="36" customHeight="1">
      <x:c r="A17" s="35" t="str">
        <x:v>kangaroo_push_kick</x:v>
      </x:c>
      <x:c r="B17" s="35" t="str">
        <x:v>kangaroo</x:v>
      </x:c>
      <x:c r="C17" s="38" t="str">
        <x:v>Отталкивающий удар ногой</x:v>
      </x:c>
      <x:c r="D17" s="38" t="str">
        <x:v>Basic</x:v>
      </x:c>
      <x:c r="E17" s="38" t="str">
        <x:v>PokeStrike</x:v>
      </x:c>
      <x:c r="F17" s="44" t="str">
        <x:v>strike|poke|knockback|rhythm</x:v>
      </x:c>
      <x:c r="G17" s="62" t="n">
        <x:v>780</x:v>
      </x:c>
      <x:c r="H17" s="68" t="n">
        <x:v>900</x:v>
      </x:c>
      <x:c r="I17" s="68" t="n">
        <x:v>1900</x:v>
      </x:c>
      <x:c r="J17" s="68" t="n">
        <x:v>400</x:v>
      </x:c>
      <x:c r="K17" s="68" t="n">
        <x:v>2000</x:v>
      </x:c>
      <x:c r="L17" s="68" t="n">
        <x:v>120</x:v>
      </x:c>
      <x:c r="M17" s="68" t="n">
        <x:v>0</x:v>
      </x:c>
      <x:c r="N17" s="68" t="n">
        <x:v>35</x:v>
      </x:c>
      <x:c r="O17" s="68" t="n">
        <x:v>550</x:v>
      </x:c>
      <x:c r="P17" s="68" t="n">
        <x:v>14</x:v>
      </x:c>
      <x:c r="Q17" s="68" t="n">
        <x:v>5</x:v>
      </x:c>
      <x:c r="R17" s="68" t="n">
        <x:v>5</x:v>
      </x:c>
      <x:c r="S17" s="68" t="n">
        <x:v>3</x:v>
      </x:c>
      <x:c r="T17" s="68" t="n">
        <x:v>8</x:v>
      </x:c>
      <x:c r="U17" s="68" t="n">
        <x:v>1</x:v>
      </x:c>
      <x:c r="V17" s="38" t="str">
        <x:v>0</x:v>
      </x:c>
      <x:c r="W17" s="68" t="n">
        <x:v>1</x:v>
      </x:c>
      <x:c r="X17" s="68" t="n">
        <x:v>8</x:v>
      </x:c>
      <x:c r="Y17" s="68" t="n">
        <x:v>5</x:v>
      </x:c>
      <x:c r="Z17" s="68" t="n">
        <x:v>12</x:v>
      </x:c>
      <x:c r="AA17" s="68" t="n">
        <x:v>20</x:v>
      </x:c>
      <x:c r="AB17" s="68" t="n">
        <x:v>32</x:v>
      </x:c>
      <x:c r="AC17" s="68" t="n">
        <x:v>30</x:v>
      </x:c>
      <x:c r="AD17" s="68" t="n">
        <x:v>0</x:v>
      </x:c>
      <x:c r="AE17" s="68" t="n">
        <x:v>32</x:v>
      </x:c>
      <x:c r="AF17" s="38" t="str">
        <x:v>Committed</x:v>
      </x:c>
      <x:c r="AG17" s="85" t="b">
        <x:v>1</x:v>
      </x:c>
      <x:c r="AH17" s="85" t="b">
        <x:v>1</x:v>
      </x:c>
      <x:c r="AI17" s="85" t="b">
        <x:v>0</x:v>
      </x:c>
      <x:c r="AJ17" s="85" t="b">
        <x:v>0</x:v>
      </x:c>
      <x:c r="AK17" s="85" t="b">
        <x:v>0</x:v>
      </x:c>
      <x:c r="AL17" s="68" t="n">
        <x:v>0</x:v>
      </x:c>
      <x:c r="AM17" s="68" t="n">
        <x:v>0</x:v>
      </x:c>
      <x:c r="AN17" s="68" t="n">
        <x:v>0</x:v>
      </x:c>
      <x:c r="AO17" s="38" t="str">
        <x:v>Push</x:v>
      </x:c>
      <x:c r="AP17" s="68" t="n">
        <x:v>0</x:v>
      </x:c>
      <x:c r="AQ17" s="68" t="n">
        <x:v>55</x:v>
      </x:c>
      <x:c r="AR17" s="68" t="n">
        <x:v>2</x:v>
      </x:c>
      <x:c r="AS17" s="68" t="n">
        <x:v>700</x:v>
      </x:c>
      <x:c r="AT17" s="68" t="n">
        <x:v>250</x:v>
      </x:c>
      <x:c r="AU17" s="68" t="n">
        <x:v>1000</x:v>
      </x:c>
      <x:c r="AV17" s="68" t="n">
        <x:v>0</x:v>
      </x:c>
      <x:c r="AW17" s="68" t="n">
        <x:v>0</x:v>
      </x:c>
      <x:c r="AX17" s="68" t="n">
        <x:v>0</x:v>
      </x:c>
      <x:c r="AY17" s="68" t="n">
        <x:v>2</x:v>
      </x:c>
      <x:c r="AZ17" s="68" t="n">
        <x:v>1200</x:v>
      </x:c>
      <x:c r="BA17" s="68" t="n">
        <x:v>0</x:v>
      </x:c>
      <x:c r="BB17" s="74" t="n">
        <x:f>IF(B17="all",0,N17+ROUND(VLOOKUP(B17,'Fighter Stats'!$A$6:$E$8,5,FALSE)*O17/'Global Config'!$D$12,0))</x:f>
        <x:v>90</x:v>
      </x:c>
      <x:c r="BC17" s="74" t="n">
        <x:f>ROUND(BB17*(1-('Global Config'!$D$36/('Global Config'!$D$36+'Global Config'!$D$23))),0)</x:f>
        <x:v>60</x:v>
      </x:c>
      <x:c r="BD17" s="38" t="str">
        <x:v>Hypothesis</x:v>
      </x:c>
      <x:c r="BE17" s="56" t="str">
        <x:f>IF(AND(A17&lt;&gt;"",H17&lt;=I17,J17&lt;=K17,S17&lt;=R17,R17&lt;=T17,Y17&lt;=X17,X17&lt;=Z17,AT17&lt;=AS17,AS17&lt;=AU17,AW17&lt;=AX17,AY17&gt;=1,L17&gt;=0,M17&gt;=0),"OK","ERROR")</x:f>
        <x:v>OK</x:v>
      </x:c>
      <x:c r="BF17" s="44" t="str">
        <x:v>Сохраняет mid range; blocked profile увеличивает recovery на 3 ticks.</x:v>
      </x:c>
    </x:row>
    <x:row r="18" ht="36" customHeight="1">
      <x:c r="A18" s="35" t="str">
        <x:v>kangaroo_bounding_step</x:v>
      </x:c>
      <x:c r="B18" s="35" t="str">
        <x:v>kangaroo</x:v>
      </x:c>
      <x:c r="C18" s="38" t="str">
        <x:v>Пружинящий шаг</x:v>
      </x:c>
      <x:c r="D18" s="38" t="str">
        <x:v>Basic</x:v>
      </x:c>
      <x:c r="E18" s="38" t="str">
        <x:v>TempoMovement</x:v>
      </x:c>
      <x:c r="F18" s="44" t="str">
        <x:v>movement|adaptive|tempo|rhythm</x:v>
      </x:c>
      <x:c r="G18" s="62" t="n">
        <x:v>850</x:v>
      </x:c>
      <x:c r="H18" s="68" t="n">
        <x:v>1000</x:v>
      </x:c>
      <x:c r="I18" s="68" t="n">
        <x:v>2200</x:v>
      </x:c>
      <x:c r="J18" s="68" t="n">
        <x:v>0</x:v>
      </x:c>
      <x:c r="K18" s="68" t="n">
        <x:v>0</x:v>
      </x:c>
      <x:c r="L18" s="68" t="n">
        <x:v>0</x:v>
      </x:c>
      <x:c r="M18" s="68" t="n">
        <x:v>0</x:v>
      </x:c>
      <x:c r="N18" s="68" t="n">
        <x:v>0</x:v>
      </x:c>
      <x:c r="O18" s="68" t="n">
        <x:v>0</x:v>
      </x:c>
      <x:c r="P18" s="68" t="n">
        <x:v>0</x:v>
      </x:c>
      <x:c r="Q18" s="68" t="n">
        <x:v>0</x:v>
      </x:c>
      <x:c r="R18" s="68" t="n">
        <x:v>1</x:v>
      </x:c>
      <x:c r="S18" s="68" t="n">
        <x:v>1</x:v>
      </x:c>
      <x:c r="T18" s="68" t="n">
        <x:v>2</x:v>
      </x:c>
      <x:c r="U18" s="68" t="n">
        <x:v>5</x:v>
      </x:c>
      <x:c r="V18" s="38" t="str"/>
      <x:c r="W18" s="68" t="n">
        <x:v>0</x:v>
      </x:c>
      <x:c r="X18" s="68" t="n">
        <x:v>2</x:v>
      </x:c>
      <x:c r="Y18" s="68" t="n">
        <x:v>1</x:v>
      </x:c>
      <x:c r="Z18" s="68" t="n">
        <x:v>4</x:v>
      </x:c>
      <x:c r="AA18" s="68" t="n">
        <x:v>5</x:v>
      </x:c>
      <x:c r="AB18" s="68" t="n">
        <x:v>12</x:v>
      </x:c>
      <x:c r="AC18" s="68" t="n">
        <x:v>0</x:v>
      </x:c>
      <x:c r="AD18" s="68" t="n">
        <x:v>0</x:v>
      </x:c>
      <x:c r="AE18" s="68" t="n">
        <x:v>12</x:v>
      </x:c>
      <x:c r="AF18" s="38" t="str">
        <x:v>Cancelable</x:v>
      </x:c>
      <x:c r="AG18" s="85" t="b">
        <x:v>0</x:v>
      </x:c>
      <x:c r="AH18" s="85" t="b">
        <x:v>0</x:v>
      </x:c>
      <x:c r="AI18" s="85" t="b">
        <x:v>0</x:v>
      </x:c>
      <x:c r="AJ18" s="85" t="b">
        <x:v>0</x:v>
      </x:c>
      <x:c r="AK18" s="85" t="b">
        <x:v>1</x:v>
      </x:c>
      <x:c r="AL18" s="68" t="n">
        <x:v>0</x:v>
      </x:c>
      <x:c r="AM18" s="68" t="n">
        <x:v>0</x:v>
      </x:c>
      <x:c r="AN18" s="68" t="n">
        <x:v>0</x:v>
      </x:c>
      <x:c r="AO18" s="38" t="str">
        <x:v>Adaptive</x:v>
      </x:c>
      <x:c r="AP18" s="68" t="n">
        <x:v>850</x:v>
      </x:c>
      <x:c r="AQ18" s="68" t="n">
        <x:v>0</x:v>
      </x:c>
      <x:c r="AR18" s="68" t="n">
        <x:v>0</x:v>
      </x:c>
      <x:c r="AS18" s="68" t="n">
        <x:v>0</x:v>
      </x:c>
      <x:c r="AT18" s="68" t="n">
        <x:v>0</x:v>
      </x:c>
      <x:c r="AU18" s="68" t="n">
        <x:v>0</x:v>
      </x:c>
      <x:c r="AV18" s="68" t="n">
        <x:v>0</x:v>
      </x:c>
      <x:c r="AW18" s="68" t="n">
        <x:v>0</x:v>
      </x:c>
      <x:c r="AX18" s="68" t="n">
        <x:v>0</x:v>
      </x:c>
      <x:c r="AY18" s="68" t="n">
        <x:v>3</x:v>
      </x:c>
      <x:c r="AZ18" s="68" t="n">
        <x:v>1000</x:v>
      </x:c>
      <x:c r="BA18" s="68" t="n">
        <x:v>0</x:v>
      </x:c>
      <x:c r="BB18" s="74" t="n">
        <x:f>IF(B18="all",0,N18+ROUND(VLOOKUP(B18,'Fighter Stats'!$A$6:$E$8,5,FALSE)*O18/'Global Config'!$D$12,0))</x:f>
        <x:v>0</x:v>
      </x:c>
      <x:c r="BC18" s="74" t="n">
        <x:f>ROUND(BB18*(1-('Global Config'!$D$36/('Global Config'!$D$36+'Global Config'!$D$23))),0)</x:f>
        <x:v>0</x:v>
      </x:c>
      <x:c r="BD18" s="38" t="str">
        <x:v>Hypothesis</x:v>
      </x:c>
      <x:c r="BE18" s="56" t="str">
        <x:f>IF(AND(A18&lt;&gt;"",H18&lt;=I18,J18&lt;=K18,S18&lt;=R18,R18&lt;=T18,Y18&lt;=X18,X18&lt;=Z18,AT18&lt;=AS18,AS18&lt;=AU18,AW18&lt;=AX18,AY18&gt;=1,L18&gt;=0,M18&gt;=0),"OK","ERROR")</x:f>
        <x:v>OK</x:v>
      </x:c>
      <x:c r="BF18" s="44" t="str">
        <x:v>Tempo только за фактическое добровольное движение.</x:v>
      </x:c>
    </x:row>
    <x:row r="19" ht="36" customHeight="1">
      <x:c r="A19" s="35" t="str">
        <x:v>kangaroo_slip_hop</x:v>
      </x:c>
      <x:c r="B19" s="35" t="str">
        <x:v>kangaroo</x:v>
      </x:c>
      <x:c r="C19" s="38" t="str">
        <x:v>Скользящий отскок</x:v>
      </x:c>
      <x:c r="D19" s="38" t="str">
        <x:v>Basic</x:v>
      </x:c>
      <x:c r="E19" s="38" t="str">
        <x:v>DodgeMovement</x:v>
      </x:c>
      <x:c r="F19" s="44" t="str">
        <x:v>dodge|retreat|tempo|evade_grab</x:v>
      </x:c>
      <x:c r="G19" s="62" t="n">
        <x:v>650</x:v>
      </x:c>
      <x:c r="H19" s="68" t="n">
        <x:v>1200</x:v>
      </x:c>
      <x:c r="I19" s="68" t="n">
        <x:v>2500</x:v>
      </x:c>
      <x:c r="J19" s="68" t="n">
        <x:v>0</x:v>
      </x:c>
      <x:c r="K19" s="68" t="n">
        <x:v>0</x:v>
      </x:c>
      <x:c r="L19" s="68" t="n">
        <x:v>100</x:v>
      </x:c>
      <x:c r="M19" s="68" t="n">
        <x:v>0</x:v>
      </x:c>
      <x:c r="N19" s="68" t="n">
        <x:v>0</x:v>
      </x:c>
      <x:c r="O19" s="68" t="n">
        <x:v>0</x:v>
      </x:c>
      <x:c r="P19" s="68" t="n">
        <x:v>0</x:v>
      </x:c>
      <x:c r="Q19" s="68" t="n">
        <x:v>0</x:v>
      </x:c>
      <x:c r="R19" s="68" t="n">
        <x:v>2</x:v>
      </x:c>
      <x:c r="S19" s="68" t="n">
        <x:v>1</x:v>
      </x:c>
      <x:c r="T19" s="68" t="n">
        <x:v>3</x:v>
      </x:c>
      <x:c r="U19" s="68" t="n">
        <x:v>4</x:v>
      </x:c>
      <x:c r="V19" s="38" t="str"/>
      <x:c r="W19" s="68" t="n">
        <x:v>0</x:v>
      </x:c>
      <x:c r="X19" s="68" t="n">
        <x:v>6</x:v>
      </x:c>
      <x:c r="Y19" s="68" t="n">
        <x:v>4</x:v>
      </x:c>
      <x:c r="Z19" s="68" t="n">
        <x:v>9</x:v>
      </x:c>
      <x:c r="AA19" s="68" t="n">
        <x:v>15</x:v>
      </x:c>
      <x:c r="AB19" s="68" t="n">
        <x:v>50</x:v>
      </x:c>
      <x:c r="AC19" s="68" t="n">
        <x:v>0</x:v>
      </x:c>
      <x:c r="AD19" s="68" t="n">
        <x:v>0</x:v>
      </x:c>
      <x:c r="AE19" s="68" t="n">
        <x:v>80</x:v>
      </x:c>
      <x:c r="AF19" s="38" t="str">
        <x:v>Committed</x:v>
      </x:c>
      <x:c r="AG19" s="85" t="b">
        <x:v>0</x:v>
      </x:c>
      <x:c r="AH19" s="85" t="b">
        <x:v>0</x:v>
      </x:c>
      <x:c r="AI19" s="85" t="b">
        <x:v>0</x:v>
      </x:c>
      <x:c r="AJ19" s="85" t="b">
        <x:v>0</x:v>
      </x:c>
      <x:c r="AK19" s="85" t="b">
        <x:v>0</x:v>
      </x:c>
      <x:c r="AL19" s="68" t="n">
        <x:v>0</x:v>
      </x:c>
      <x:c r="AM19" s="68" t="n">
        <x:v>0</x:v>
      </x:c>
      <x:c r="AN19" s="68" t="n">
        <x:v>650</x:v>
      </x:c>
      <x:c r="AO19" s="38" t="str">
        <x:v>Retreat</x:v>
      </x:c>
      <x:c r="AP19" s="68" t="n">
        <x:v>700</x:v>
      </x:c>
      <x:c r="AQ19" s="68" t="n">
        <x:v>0</x:v>
      </x:c>
      <x:c r="AR19" s="68" t="n">
        <x:v>0</x:v>
      </x:c>
      <x:c r="AS19" s="68" t="n">
        <x:v>0</x:v>
      </x:c>
      <x:c r="AT19" s="68" t="n">
        <x:v>0</x:v>
      </x:c>
      <x:c r="AU19" s="68" t="n">
        <x:v>0</x:v>
      </x:c>
      <x:c r="AV19" s="68" t="n">
        <x:v>0</x:v>
      </x:c>
      <x:c r="AW19" s="68" t="n">
        <x:v>0</x:v>
      </x:c>
      <x:c r="AX19" s="68" t="n">
        <x:v>0</x:v>
      </x:c>
      <x:c r="AY19" s="68" t="n">
        <x:v>1</x:v>
      </x:c>
      <x:c r="AZ19" s="68" t="n">
        <x:v>1200</x:v>
      </x:c>
      <x:c r="BA19" s="68" t="n">
        <x:v>0</x:v>
      </x:c>
      <x:c r="BB19" s="74" t="n">
        <x:f>IF(B19="all",0,N19+ROUND(VLOOKUP(B19,'Fighter Stats'!$A$6:$E$8,5,FALSE)*O19/'Global Config'!$D$12,0))</x:f>
        <x:v>0</x:v>
      </x:c>
      <x:c r="BC19" s="74" t="n">
        <x:f>ROUND(BB19*(1-('Global Config'!$D$36/('Global Config'!$D$36+'Global Config'!$D$23))),0)</x:f>
        <x:v>0</x:v>
      </x:c>
      <x:c r="BD19" s="38" t="str">
        <x:v>Hypothesis</x:v>
      </x:c>
      <x:c r="BE19" s="56" t="str">
        <x:f>IF(AND(A19&lt;&gt;"",H19&lt;=I19,J19&lt;=K19,S19&lt;=R19,R19&lt;=T19,Y19&lt;=X19,X19&lt;=Z19,AT19&lt;=AS19,AS19&lt;=AU19,AW19&lt;=AX19,AY19&gt;=1,L19&gt;=0,M19&gt;=0),"OK","ERROR")</x:f>
        <x:v>OK</x:v>
      </x:c>
      <x:c r="BF19" s="44" t="str">
        <x:v>EvadeGrab требует выхода из grab range; у стены сильно штрафуется.</x:v>
      </x:c>
    </x:row>
    <x:row r="20" ht="36" customHeight="1">
      <x:c r="A20" s="35" t="str">
        <x:v>kangaroo_flying_kick</x:v>
      </x:c>
      <x:c r="B20" s="35" t="str">
        <x:v>kangaroo</x:v>
      </x:c>
      <x:c r="C20" s="38" t="str">
        <x:v>Летящий удар</x:v>
      </x:c>
      <x:c r="D20" s="38" t="str">
        <x:v>Special</x:v>
      </x:c>
      <x:c r="E20" s="38" t="str">
        <x:v>SignatureApproach</x:v>
      </x:c>
      <x:c r="F20" s="44" t="str">
        <x:v>special|signature|approach|strike|knockback|wall_impact</x:v>
      </x:c>
      <x:c r="G20" s="62" t="n">
        <x:v>520</x:v>
      </x:c>
      <x:c r="H20" s="68" t="n">
        <x:v>1500</x:v>
      </x:c>
      <x:c r="I20" s="68" t="n">
        <x:v>3300</x:v>
      </x:c>
      <x:c r="J20" s="68" t="n">
        <x:v>200</x:v>
      </x:c>
      <x:c r="K20" s="68" t="n">
        <x:v>1150</x:v>
      </x:c>
      <x:c r="L20" s="68" t="n">
        <x:v>260</x:v>
      </x:c>
      <x:c r="M20" s="68" t="n">
        <x:v>350</x:v>
      </x:c>
      <x:c r="N20" s="68" t="n">
        <x:v>65</x:v>
      </x:c>
      <x:c r="O20" s="68" t="n">
        <x:v>850</x:v>
      </x:c>
      <x:c r="P20" s="68" t="n">
        <x:v>24</x:v>
      </x:c>
      <x:c r="Q20" s="68" t="n">
        <x:v>7</x:v>
      </x:c>
      <x:c r="R20" s="68" t="n">
        <x:v>7</x:v>
      </x:c>
      <x:c r="S20" s="68" t="n">
        <x:v>4</x:v>
      </x:c>
      <x:c r="T20" s="68" t="n">
        <x:v>11</x:v>
      </x:c>
      <x:c r="U20" s="68" t="n">
        <x:v>1</x:v>
      </x:c>
      <x:c r="V20" s="38" t="str">
        <x:v>0</x:v>
      </x:c>
      <x:c r="W20" s="68" t="n">
        <x:v>1</x:v>
      </x:c>
      <x:c r="X20" s="68" t="n">
        <x:v>14</x:v>
      </x:c>
      <x:c r="Y20" s="68" t="n">
        <x:v>9</x:v>
      </x:c>
      <x:c r="Z20" s="68" t="n">
        <x:v>21</x:v>
      </x:c>
      <x:c r="AA20" s="68" t="n">
        <x:v>60</x:v>
      </x:c>
      <x:c r="AB20" s="68" t="n">
        <x:v>62</x:v>
      </x:c>
      <x:c r="AC20" s="68" t="n">
        <x:v>62</x:v>
      </x:c>
      <x:c r="AD20" s="68" t="n">
        <x:v>0</x:v>
      </x:c>
      <x:c r="AE20" s="68" t="n">
        <x:v>62</x:v>
      </x:c>
      <x:c r="AF20" s="38" t="str">
        <x:v>Committed</x:v>
      </x:c>
      <x:c r="AG20" s="85" t="b">
        <x:v>1</x:v>
      </x:c>
      <x:c r="AH20" s="85" t="b">
        <x:v>1</x:v>
      </x:c>
      <x:c r="AI20" s="85" t="b">
        <x:v>0</x:v>
      </x:c>
      <x:c r="AJ20" s="85" t="b">
        <x:v>1</x:v>
      </x:c>
      <x:c r="AK20" s="85" t="b">
        <x:v>0</x:v>
      </x:c>
      <x:c r="AL20" s="68" t="n">
        <x:v>0</x:v>
      </x:c>
      <x:c r="AM20" s="68" t="n">
        <x:v>0</x:v>
      </x:c>
      <x:c r="AN20" s="68" t="n">
        <x:v>0</x:v>
      </x:c>
      <x:c r="AO20" s="38" t="str">
        <x:v>Approach</x:v>
      </x:c>
      <x:c r="AP20" s="68" t="n">
        <x:v>2300</x:v>
      </x:c>
      <x:c r="AQ20" s="68" t="n">
        <x:v>125</x:v>
      </x:c>
      <x:c r="AR20" s="68" t="n">
        <x:v>5</x:v>
      </x:c>
      <x:c r="AS20" s="68" t="n">
        <x:v>1100</x:v>
      </x:c>
      <x:c r="AT20" s="68" t="n">
        <x:v>450</x:v>
      </x:c>
      <x:c r="AU20" s="68" t="n">
        <x:v>1500</x:v>
      </x:c>
      <x:c r="AV20" s="68" t="n">
        <x:v>90</x:v>
      </x:c>
      <x:c r="AW20" s="68" t="n">
        <x:v>10</x:v>
      </x:c>
      <x:c r="AX20" s="68" t="n">
        <x:v>90</x:v>
      </x:c>
      <x:c r="AY20" s="68" t="n">
        <x:v>1</x:v>
      </x:c>
      <x:c r="AZ20" s="68" t="n">
        <x:v>2500</x:v>
      </x:c>
      <x:c r="BA20" s="68" t="n">
        <x:v>4</x:v>
      </x:c>
      <x:c r="BB20" s="74" t="n">
        <x:f>IF(B20="all",0,N20+ROUND(VLOOKUP(B20,'Fighter Stats'!$A$6:$E$8,5,FALSE)*O20/'Global Config'!$D$12,0))</x:f>
        <x:v>150</x:v>
      </x:c>
      <x:c r="BC20" s="74" t="n">
        <x:f>ROUND(BB20*(1-('Global Config'!$D$36/('Global Config'!$D$36+'Global Config'!$D$23))),0)</x:f>
        <x:v>100</x:v>
      </x:c>
      <x:c r="BD20" s="38" t="str">
        <x:v>Hypothesis</x:v>
      </x:c>
      <x:c r="BE20" s="56" t="str">
        <x:f>IF(AND(A20&lt;&gt;"",H20&lt;=I20,J20&lt;=K20,S20&lt;=R20,R20&lt;=T20,Y20&lt;=X20,X20&lt;=Z20,AT20&lt;=AS20,AS20&lt;=AU20,AW20&lt;=AX20,AY20&gt;=1,L20&gt;=0,M20&gt;=0),"OK","ERROR")</x:f>
        <x:v>OK</x:v>
      </x:c>
      <x:c r="BF20" s="44" t="str">
        <x:v>Сильный punish, но Block/miss дают длинный recovery.</x:v>
      </x:c>
    </x:row>
    <x:row r="21" ht="36" customHeight="1">
      <x:c r="A21" s="35" t="str">
        <x:v>kangaroo_tail_counter</x:v>
      </x:c>
      <x:c r="B21" s="35" t="str">
        <x:v>kangaroo</x:v>
      </x:c>
      <x:c r="C21" s="38" t="str">
        <x:v>Контрудар хвостом</x:v>
      </x:c>
      <x:c r="D21" s="38" t="str">
        <x:v>Special</x:v>
      </x:c>
      <x:c r="E21" s="38" t="str">
        <x:v>SignatureCounter</x:v>
      </x:c>
      <x:c r="F21" s="44" t="str">
        <x:v>special|signature|counter|position|rhythm</x:v>
      </x:c>
      <x:c r="G21" s="62" t="n">
        <x:v>460</x:v>
      </x:c>
      <x:c r="H21" s="68" t="n">
        <x:v>200</x:v>
      </x:c>
      <x:c r="I21" s="68" t="n">
        <x:v>1500</x:v>
      </x:c>
      <x:c r="J21" s="68" t="n">
        <x:v>0</x:v>
      </x:c>
      <x:c r="K21" s="68" t="n">
        <x:v>1600</x:v>
      </x:c>
      <x:c r="L21" s="68" t="n">
        <x:v>200</x:v>
      </x:c>
      <x:c r="M21" s="68" t="n">
        <x:v>400</x:v>
      </x:c>
      <x:c r="N21" s="68" t="n">
        <x:v>55</x:v>
      </x:c>
      <x:c r="O21" s="68" t="n">
        <x:v>700</x:v>
      </x:c>
      <x:c r="P21" s="68" t="n">
        <x:v>20</x:v>
      </x:c>
      <x:c r="Q21" s="68" t="n">
        <x:v>6</x:v>
      </x:c>
      <x:c r="R21" s="68" t="n">
        <x:v>2</x:v>
      </x:c>
      <x:c r="S21" s="68" t="n">
        <x:v>1</x:v>
      </x:c>
      <x:c r="T21" s="68" t="n">
        <x:v>4</x:v>
      </x:c>
      <x:c r="U21" s="68" t="n">
        <x:v>6</x:v>
      </x:c>
      <x:c r="V21" s="38" t="str">
        <x:v>counter:0</x:v>
      </x:c>
      <x:c r="W21" s="68" t="n">
        <x:v>1</x:v>
      </x:c>
      <x:c r="X21" s="68" t="n">
        <x:v>16</x:v>
      </x:c>
      <x:c r="Y21" s="68" t="n">
        <x:v>10</x:v>
      </x:c>
      <x:c r="Z21" s="68" t="n">
        <x:v>24</x:v>
      </x:c>
      <x:c r="AA21" s="68" t="n">
        <x:v>70</x:v>
      </x:c>
      <x:c r="AB21" s="68" t="n">
        <x:v>75</x:v>
      </x:c>
      <x:c r="AC21" s="68" t="n">
        <x:v>75</x:v>
      </x:c>
      <x:c r="AD21" s="68" t="n">
        <x:v>0</x:v>
      </x:c>
      <x:c r="AE21" s="68" t="n">
        <x:v>90</x:v>
      </x:c>
      <x:c r="AF21" s="38" t="str">
        <x:v>UninterruptibleImpact</x:v>
      </x:c>
      <x:c r="AG21" s="85" t="b">
        <x:v>1</x:v>
      </x:c>
      <x:c r="AH21" s="85" t="b">
        <x:v>0</x:v>
      </x:c>
      <x:c r="AI21" s="85" t="b">
        <x:v>0</x:v>
      </x:c>
      <x:c r="AJ21" s="85" t="b">
        <x:v>0</x:v>
      </x:c>
      <x:c r="AK21" s="85" t="b">
        <x:v>1</x:v>
      </x:c>
      <x:c r="AL21" s="68" t="n">
        <x:v>0</x:v>
      </x:c>
      <x:c r="AM21" s="68" t="n">
        <x:v>0</x:v>
      </x:c>
      <x:c r="AN21" s="68" t="n">
        <x:v>0</x:v>
      </x:c>
      <x:c r="AO21" s="38" t="str">
        <x:v>Swap</x:v>
      </x:c>
      <x:c r="AP21" s="68" t="n">
        <x:v>500</x:v>
      </x:c>
      <x:c r="AQ21" s="68" t="n">
        <x:v>100</x:v>
      </x:c>
      <x:c r="AR21" s="68" t="n">
        <x:v>4</x:v>
      </x:c>
      <x:c r="AS21" s="68" t="n">
        <x:v>450</x:v>
      </x:c>
      <x:c r="AT21" s="68" t="n">
        <x:v>100</x:v>
      </x:c>
      <x:c r="AU21" s="68" t="n">
        <x:v>700</x:v>
      </x:c>
      <x:c r="AV21" s="68" t="n">
        <x:v>0</x:v>
      </x:c>
      <x:c r="AW21" s="68" t="n">
        <x:v>0</x:v>
      </x:c>
      <x:c r="AX21" s="68" t="n">
        <x:v>0</x:v>
      </x:c>
      <x:c r="AY21" s="68" t="n">
        <x:v>1</x:v>
      </x:c>
      <x:c r="AZ21" s="68" t="n">
        <x:v>2200</x:v>
      </x:c>
      <x:c r="BA21" s="68" t="n">
        <x:v>0</x:v>
      </x:c>
      <x:c r="BB21" s="74" t="n">
        <x:f>IF(B21="all",0,N21+ROUND(VLOOKUP(B21,'Fighter Stats'!$A$6:$E$8,5,FALSE)*O21/'Global Config'!$D$12,0))</x:f>
        <x:v>125</x:v>
      </x:c>
      <x:c r="BC21" s="74" t="n">
        <x:f>ROUND(BB21*(1-('Global Config'!$D$36/('Global Config'!$D$36+'Global Config'!$D$23))),0)</x:f>
        <x:v>83</x:v>
      </x:c>
      <x:c r="BD21" s="38" t="str">
        <x:v>Hypothesis</x:v>
      </x:c>
      <x:c r="BE21" s="56" t="str">
        <x:f>IF(AND(A21&lt;&gt;"",H21&lt;=I21,J21&lt;=K21,S21&lt;=R21,R21&lt;=T21,Y21&lt;=X21,X21&lt;=Z21,AT21&lt;=AS21,AS21&lt;=AU21,AW21&lt;=AX21,AY21&gt;=1,L21&gt;=0,M21&gt;=0),"OK","ERROR")</x:f>
        <x:v>OK</x:v>
      </x:c>
      <x:c r="BF21" s="44" t="str">
        <x:v>Legal только после наблюдаемого разрешённого telegraph.</x:v>
      </x:c>
    </x:row>
    <x:row r="22" ht="36" customHeight="1">
      <x:c r="A22" s="35" t="str">
        <x:v>kangaroo_tempo_barrage</x:v>
      </x:c>
      <x:c r="B22" s="35" t="str">
        <x:v>kangaroo</x:v>
      </x:c>
      <x:c r="C22" s="38" t="str">
        <x:v>Серия в темпе</x:v>
      </x:c>
      <x:c r="D22" s="38" t="str">
        <x:v>Special</x:v>
      </x:c>
      <x:c r="E22" s="38" t="str">
        <x:v>SignatureMultiHit</x:v>
      </x:c>
      <x:c r="F22" s="44" t="str">
        <x:v>special|signature|multi_hit|finisher|rhythm</x:v>
      </x:c>
      <x:c r="G22" s="62" t="n">
        <x:v>420</x:v>
      </x:c>
      <x:c r="H22" s="68" t="n">
        <x:v>200</x:v>
      </x:c>
      <x:c r="I22" s="68" t="n">
        <x:v>1600</x:v>
      </x:c>
      <x:c r="J22" s="68" t="n">
        <x:v>0</x:v>
      </x:c>
      <x:c r="K22" s="68" t="n">
        <x:v>1600</x:v>
      </x:c>
      <x:c r="L22" s="68" t="n">
        <x:v>300</x:v>
      </x:c>
      <x:c r="M22" s="68" t="n">
        <x:v>650</x:v>
      </x:c>
      <x:c r="N22" s="68" t="n">
        <x:v>18</x:v>
      </x:c>
      <x:c r="O22" s="68" t="n">
        <x:v>260</x:v>
      </x:c>
      <x:c r="P22" s="68" t="n">
        <x:v>7</x:v>
      </x:c>
      <x:c r="Q22" s="68" t="n">
        <x:v>2</x:v>
      </x:c>
      <x:c r="R22" s="68" t="n">
        <x:v>4</x:v>
      </x:c>
      <x:c r="S22" s="68" t="n">
        <x:v>2</x:v>
      </x:c>
      <x:c r="T22" s="68" t="n">
        <x:v>7</x:v>
      </x:c>
      <x:c r="U22" s="68" t="n">
        <x:v>14</x:v>
      </x:c>
      <x:c r="V22" s="38" t="str">
        <x:v>0|3|6|9|13</x:v>
      </x:c>
      <x:c r="W22" s="68" t="n">
        <x:v>5</x:v>
      </x:c>
      <x:c r="X22" s="68" t="n">
        <x:v>20</x:v>
      </x:c>
      <x:c r="Y22" s="68" t="n">
        <x:v>13</x:v>
      </x:c>
      <x:c r="Z22" s="68" t="n">
        <x:v>30</x:v>
      </x:c>
      <x:c r="AA22" s="68" t="n">
        <x:v>90</x:v>
      </x:c>
      <x:c r="AB22" s="68" t="n">
        <x:v>57</x:v>
      </x:c>
      <x:c r="AC22" s="68" t="n">
        <x:v>50</x:v>
      </x:c>
      <x:c r="AD22" s="68" t="n">
        <x:v>0</x:v>
      </x:c>
      <x:c r="AE22" s="68" t="n">
        <x:v>57</x:v>
      </x:c>
      <x:c r="AF22" s="38" t="str">
        <x:v>UninterruptibleImpact</x:v>
      </x:c>
      <x:c r="AG22" s="85" t="b">
        <x:v>1</x:v>
      </x:c>
      <x:c r="AH22" s="85" t="b">
        <x:v>1</x:v>
      </x:c>
      <x:c r="AI22" s="85" t="b">
        <x:v>0</x:v>
      </x:c>
      <x:c r="AJ22" s="85" t="b">
        <x:v>0</x:v>
      </x:c>
      <x:c r="AK22" s="85" t="b">
        <x:v>1</x:v>
      </x:c>
      <x:c r="AL22" s="68" t="n">
        <x:v>0</x:v>
      </x:c>
      <x:c r="AM22" s="68" t="n">
        <x:v>0</x:v>
      </x:c>
      <x:c r="AN22" s="68" t="n">
        <x:v>0</x:v>
      </x:c>
      <x:c r="AO22" s="38" t="str">
        <x:v>Follow</x:v>
      </x:c>
      <x:c r="AP22" s="68" t="n">
        <x:v>500</x:v>
      </x:c>
      <x:c r="AQ22" s="68" t="n">
        <x:v>35</x:v>
      </x:c>
      <x:c r="AR22" s="68" t="n">
        <x:v>2</x:v>
      </x:c>
      <x:c r="AS22" s="68" t="n">
        <x:v>120</x:v>
      </x:c>
      <x:c r="AT22" s="68" t="n">
        <x:v>0</x:v>
      </x:c>
      <x:c r="AU22" s="68" t="n">
        <x:v>220</x:v>
      </x:c>
      <x:c r="AV22" s="68" t="n">
        <x:v>0</x:v>
      </x:c>
      <x:c r="AW22" s="68" t="n">
        <x:v>0</x:v>
      </x:c>
      <x:c r="AX22" s="68" t="n">
        <x:v>0</x:v>
      </x:c>
      <x:c r="AY22" s="68" t="n">
        <x:v>1</x:v>
      </x:c>
      <x:c r="AZ22" s="68" t="n">
        <x:v>2500</x:v>
      </x:c>
      <x:c r="BA22" s="68" t="n">
        <x:v>4</x:v>
      </x:c>
      <x:c r="BB22" s="74" t="n">
        <x:f>IF(B22="all",0,N22+ROUND(VLOOKUP(B22,'Fighter Stats'!$A$6:$E$8,5,FALSE)*O22/'Global Config'!$D$12,0))</x:f>
        <x:v>44</x:v>
      </x:c>
      <x:c r="BC22" s="74" t="n">
        <x:f>ROUND(BB22*(1-('Global Config'!$D$36/('Global Config'!$D$36+'Global Config'!$D$23))),0)</x:f>
        <x:v>29</x:v>
      </x:c>
      <x:c r="BD22" s="38" t="str">
        <x:v>Hypothesis</x:v>
      </x:c>
      <x:c r="BE22" s="56" t="str">
        <x:f>IF(AND(A22&lt;&gt;"",H22&lt;=I22,J22&lt;=K22,S22&lt;=R22,R22&lt;=T22,Y22&lt;=X22,X22&lt;=Z22,AT22&lt;=AS22,AS22&lt;=AU22,AW22&lt;=AX22,AY22&gt;=1,L22&gt;=0,M22&gt;=0),"OK","ERROR")</x:f>
        <x:v>OK</x:v>
      </x:c>
      <x:c r="BF22" s="44" t="str">
        <x:v>Один Dodge не отменяет последующие hit groups; финальный hit 1.5x при Exposed.</x:v>
      </x:c>
    </x:row>
    <x:row r="23" ht="36" customHeight="1">
      <x:c r="A23" s="35" t="str">
        <x:v>gorilla_hammer_fist</x:v>
      </x:c>
      <x:c r="B23" s="35" t="str">
        <x:v>gorilla</x:v>
      </x:c>
      <x:c r="C23" s="38" t="str">
        <x:v>Молотящий кулак</x:v>
      </x:c>
      <x:c r="D23" s="38" t="str">
        <x:v>Basic</x:v>
      </x:c>
      <x:c r="E23" s="38" t="str">
        <x:v>MediumStrike</x:v>
      </x:c>
      <x:c r="F23" s="44" t="str">
        <x:v>strike|medium|pressure|fallback</x:v>
      </x:c>
      <x:c r="G23" s="62" t="n">
        <x:v>1000</x:v>
      </x:c>
      <x:c r="H23" s="68" t="n">
        <x:v>100</x:v>
      </x:c>
      <x:c r="I23" s="68" t="n">
        <x:v>950</x:v>
      </x:c>
      <x:c r="J23" s="68" t="n">
        <x:v>0</x:v>
      </x:c>
      <x:c r="K23" s="68" t="n">
        <x:v>1050</x:v>
      </x:c>
      <x:c r="L23" s="68" t="n">
        <x:v>0</x:v>
      </x:c>
      <x:c r="M23" s="68" t="n">
        <x:v>0</x:v>
      </x:c>
      <x:c r="N23" s="68" t="n">
        <x:v>35</x:v>
      </x:c>
      <x:c r="O23" s="68" t="n">
        <x:v>500</x:v>
      </x:c>
      <x:c r="P23" s="68" t="n">
        <x:v>13</x:v>
      </x:c>
      <x:c r="Q23" s="68" t="n">
        <x:v>4</x:v>
      </x:c>
      <x:c r="R23" s="68" t="n">
        <x:v>4</x:v>
      </x:c>
      <x:c r="S23" s="68" t="n">
        <x:v>2</x:v>
      </x:c>
      <x:c r="T23" s="68" t="n">
        <x:v>6</x:v>
      </x:c>
      <x:c r="U23" s="68" t="n">
        <x:v>1</x:v>
      </x:c>
      <x:c r="V23" s="38" t="str">
        <x:v>0</x:v>
      </x:c>
      <x:c r="W23" s="68" t="n">
        <x:v>1</x:v>
      </x:c>
      <x:c r="X23" s="68" t="n">
        <x:v>6</x:v>
      </x:c>
      <x:c r="Y23" s="68" t="n">
        <x:v>4</x:v>
      </x:c>
      <x:c r="Z23" s="68" t="n">
        <x:v>9</x:v>
      </x:c>
      <x:c r="AA23" s="68" t="n">
        <x:v>0</x:v>
      </x:c>
      <x:c r="AB23" s="68" t="n">
        <x:v>28</x:v>
      </x:c>
      <x:c r="AC23" s="68" t="n">
        <x:v>30</x:v>
      </x:c>
      <x:c r="AD23" s="68" t="n">
        <x:v>0</x:v>
      </x:c>
      <x:c r="AE23" s="68" t="n">
        <x:v>28</x:v>
      </x:c>
      <x:c r="AF23" s="38" t="str">
        <x:v>Committed</x:v>
      </x:c>
      <x:c r="AG23" s="85" t="b">
        <x:v>1</x:v>
      </x:c>
      <x:c r="AH23" s="85" t="b">
        <x:v>1</x:v>
      </x:c>
      <x:c r="AI23" s="85" t="b">
        <x:v>0</x:v>
      </x:c>
      <x:c r="AJ23" s="85" t="b">
        <x:v>0</x:v>
      </x:c>
      <x:c r="AK23" s="85" t="b">
        <x:v>0</x:v>
      </x:c>
      <x:c r="AL23" s="68" t="n">
        <x:v>0</x:v>
      </x:c>
      <x:c r="AM23" s="68" t="n">
        <x:v>0</x:v>
      </x:c>
      <x:c r="AN23" s="68" t="n">
        <x:v>0</x:v>
      </x:c>
      <x:c r="AO23" s="38" t="str">
        <x:v>None</x:v>
      </x:c>
      <x:c r="AP23" s="68" t="n">
        <x:v>0</x:v>
      </x:c>
      <x:c r="AQ23" s="68" t="n">
        <x:v>35</x:v>
      </x:c>
      <x:c r="AR23" s="68" t="n">
        <x:v>0</x:v>
      </x:c>
      <x:c r="AS23" s="68" t="n">
        <x:v>0</x:v>
      </x:c>
      <x:c r="AT23" s="68" t="n">
        <x:v>0</x:v>
      </x:c>
      <x:c r="AU23" s="68" t="n">
        <x:v>0</x:v>
      </x:c>
      <x:c r="AV23" s="68" t="n">
        <x:v>0</x:v>
      </x:c>
      <x:c r="AW23" s="68" t="n">
        <x:v>0</x:v>
      </x:c>
      <x:c r="AX23" s="68" t="n">
        <x:v>0</x:v>
      </x:c>
      <x:c r="AY23" s="68" t="n">
        <x:v>2</x:v>
      </x:c>
      <x:c r="AZ23" s="68" t="n">
        <x:v>1000</x:v>
      </x:c>
      <x:c r="BA23" s="68" t="n">
        <x:v>0</x:v>
      </x:c>
      <x:c r="BB23" s="74" t="n">
        <x:f>IF(B23="all",0,N23+ROUND(VLOOKUP(B23,'Fighter Stats'!$A$6:$E$8,5,FALSE)*O23/'Global Config'!$D$12,0))</x:f>
        <x:v>90</x:v>
      </x:c>
      <x:c r="BC23" s="74" t="n">
        <x:f>ROUND(BB23*(1-('Global Config'!$D$36/('Global Config'!$D$36+'Global Config'!$D$23))),0)</x:f>
        <x:v>60</x:v>
      </x:c>
      <x:c r="BD23" s="38" t="str">
        <x:v>Hypothesis</x:v>
      </x:c>
      <x:c r="BE23" s="56" t="str">
        <x:f>IF(AND(A23&lt;&gt;"",H23&lt;=I23,J23&lt;=K23,S23&lt;=R23,R23&lt;=T23,Y23&lt;=X23,X23&lt;=Z23,AT23&lt;=AS23,AS23&lt;=AU23,AW23&lt;=AX23,AY23&gt;=1,L23&gt;=0,M23&gt;=0),"OK","ERROR")</x:f>
        <x:v>OK</x:v>
      </x:c>
      <x:c r="BF23" s="44" t="str">
        <x:v>Стабильный pressure action.</x:v>
      </x:c>
    </x:row>
    <x:row r="24" ht="36" customHeight="1">
      <x:c r="A24" s="35" t="str">
        <x:v>gorilla_driving_shove</x:v>
      </x:c>
      <x:c r="B24" s="35" t="str">
        <x:v>gorilla</x:v>
      </x:c>
      <x:c r="C24" s="38" t="str">
        <x:v>Давящий толчок</x:v>
      </x:c>
      <x:c r="D24" s="38" t="str">
        <x:v>Basic</x:v>
      </x:c>
      <x:c r="E24" s="38" t="str">
        <x:v>ShoveStrike</x:v>
      </x:c>
      <x:c r="F24" s="44" t="str">
        <x:v>strike|knockback|grip_generator|position</x:v>
      </x:c>
      <x:c r="G24" s="62" t="n">
        <x:v>820</x:v>
      </x:c>
      <x:c r="H24" s="68" t="n">
        <x:v>100</x:v>
      </x:c>
      <x:c r="I24" s="68" t="n">
        <x:v>800</x:v>
      </x:c>
      <x:c r="J24" s="68" t="n">
        <x:v>0</x:v>
      </x:c>
      <x:c r="K24" s="68" t="n">
        <x:v>900</x:v>
      </x:c>
      <x:c r="L24" s="68" t="n">
        <x:v>110</x:v>
      </x:c>
      <x:c r="M24" s="68" t="n">
        <x:v>0</x:v>
      </x:c>
      <x:c r="N24" s="68" t="n">
        <x:v>20</x:v>
      </x:c>
      <x:c r="O24" s="68" t="n">
        <x:v>250</x:v>
      </x:c>
      <x:c r="P24" s="68" t="n">
        <x:v>8</x:v>
      </x:c>
      <x:c r="Q24" s="68" t="n">
        <x:v>3</x:v>
      </x:c>
      <x:c r="R24" s="68" t="n">
        <x:v>4</x:v>
      </x:c>
      <x:c r="S24" s="68" t="n">
        <x:v>2</x:v>
      </x:c>
      <x:c r="T24" s="68" t="n">
        <x:v>6</x:v>
      </x:c>
      <x:c r="U24" s="68" t="n">
        <x:v>1</x:v>
      </x:c>
      <x:c r="V24" s="38" t="str">
        <x:v>0</x:v>
      </x:c>
      <x:c r="W24" s="68" t="n">
        <x:v>1</x:v>
      </x:c>
      <x:c r="X24" s="68" t="n">
        <x:v>8</x:v>
      </x:c>
      <x:c r="Y24" s="68" t="n">
        <x:v>5</x:v>
      </x:c>
      <x:c r="Z24" s="68" t="n">
        <x:v>12</x:v>
      </x:c>
      <x:c r="AA24" s="68" t="n">
        <x:v>18</x:v>
      </x:c>
      <x:c r="AB24" s="68" t="n">
        <x:v>36</x:v>
      </x:c>
      <x:c r="AC24" s="68" t="n">
        <x:v>35</x:v>
      </x:c>
      <x:c r="AD24" s="68" t="n">
        <x:v>0</x:v>
      </x:c>
      <x:c r="AE24" s="68" t="n">
        <x:v>36</x:v>
      </x:c>
      <x:c r="AF24" s="38" t="str">
        <x:v>Committed</x:v>
      </x:c>
      <x:c r="AG24" s="85" t="b">
        <x:v>1</x:v>
      </x:c>
      <x:c r="AH24" s="85" t="b">
        <x:v>1</x:v>
      </x:c>
      <x:c r="AI24" s="85" t="b">
        <x:v>0</x:v>
      </x:c>
      <x:c r="AJ24" s="85" t="b">
        <x:v>0</x:v>
      </x:c>
      <x:c r="AK24" s="85" t="b">
        <x:v>0</x:v>
      </x:c>
      <x:c r="AL24" s="68" t="n">
        <x:v>0</x:v>
      </x:c>
      <x:c r="AM24" s="68" t="n">
        <x:v>0</x:v>
      </x:c>
      <x:c r="AN24" s="68" t="n">
        <x:v>0</x:v>
      </x:c>
      <x:c r="AO24" s="38" t="str">
        <x:v>Push</x:v>
      </x:c>
      <x:c r="AP24" s="68" t="n">
        <x:v>0</x:v>
      </x:c>
      <x:c r="AQ24" s="68" t="n">
        <x:v>60</x:v>
      </x:c>
      <x:c r="AR24" s="68" t="n">
        <x:v>2</x:v>
      </x:c>
      <x:c r="AS24" s="68" t="n">
        <x:v>900</x:v>
      </x:c>
      <x:c r="AT24" s="68" t="n">
        <x:v>350</x:v>
      </x:c>
      <x:c r="AU24" s="68" t="n">
        <x:v>1250</x:v>
      </x:c>
      <x:c r="AV24" s="68" t="n">
        <x:v>0</x:v>
      </x:c>
      <x:c r="AW24" s="68" t="n">
        <x:v>0</x:v>
      </x:c>
      <x:c r="AX24" s="68" t="n">
        <x:v>0</x:v>
      </x:c>
      <x:c r="AY24" s="68" t="n">
        <x:v>2</x:v>
      </x:c>
      <x:c r="AZ24" s="68" t="n">
        <x:v>1200</x:v>
      </x:c>
      <x:c r="BA24" s="68" t="n">
        <x:v>0</x:v>
      </x:c>
      <x:c r="BB24" s="74" t="n">
        <x:f>IF(B24="all",0,N24+ROUND(VLOOKUP(B24,'Fighter Stats'!$A$6:$E$8,5,FALSE)*O24/'Global Config'!$D$12,0))</x:f>
        <x:v>48</x:v>
      </x:c>
      <x:c r="BC24" s="74" t="n">
        <x:f>ROUND(BB24*(1-('Global Config'!$D$36/('Global Config'!$D$36+'Global Config'!$D$23))),0)</x:f>
        <x:v>32</x:v>
      </x:c>
      <x:c r="BD24" s="38" t="str">
        <x:v>Hypothesis</x:v>
      </x:c>
      <x:c r="BE24" s="56" t="str">
        <x:f>IF(AND(A24&lt;&gt;"",H24&lt;=I24,J24&lt;=K24,S24&lt;=R24,R24&lt;=T24,Y24&lt;=X24,X24&lt;=Z24,AT24&lt;=AS24,AS24&lt;=AU24,AW24&lt;=AX24,AY24&gt;=1,L24&gt;=0,M24&gt;=0),"OK","ERROR")</x:f>
        <x:v>OK</x:v>
      </x:c>
      <x:c r="BF24" s="44" t="str">
        <x:v>Grip начисляется только на resolved hit.</x:v>
      </x:c>
    </x:row>
    <x:row r="25" ht="36" customHeight="1">
      <x:c r="A25" s="35" t="str">
        <x:v>gorilla_high_guard</x:v>
      </x:c>
      <x:c r="B25" s="35" t="str">
        <x:v>gorilla</x:v>
      </x:c>
      <x:c r="C25" s="38" t="str">
        <x:v>Высокая защита</x:v>
      </x:c>
      <x:c r="D25" s="38" t="str">
        <x:v>Basic</x:v>
      </x:c>
      <x:c r="E25" s="38" t="str">
        <x:v>Block</x:v>
      </x:c>
      <x:c r="F25" s="44" t="str">
        <x:v>block|defense|grip_generator</x:v>
      </x:c>
      <x:c r="G25" s="62" t="n">
        <x:v>700</x:v>
      </x:c>
      <x:c r="H25" s="68" t="n">
        <x:v>0</x:v>
      </x:c>
      <x:c r="I25" s="68" t="n">
        <x:v>1800</x:v>
      </x:c>
      <x:c r="J25" s="68" t="n">
        <x:v>0</x:v>
      </x:c>
      <x:c r="K25" s="68" t="n">
        <x:v>0</x:v>
      </x:c>
      <x:c r="L25" s="68" t="n">
        <x:v>90</x:v>
      </x:c>
      <x:c r="M25" s="68" t="n">
        <x:v>0</x:v>
      </x:c>
      <x:c r="N25" s="68" t="n">
        <x:v>0</x:v>
      </x:c>
      <x:c r="O25" s="68" t="n">
        <x:v>0</x:v>
      </x:c>
      <x:c r="P25" s="68" t="n">
        <x:v>0</x:v>
      </x:c>
      <x:c r="Q25" s="68" t="n">
        <x:v>0</x:v>
      </x:c>
      <x:c r="R25" s="68" t="n">
        <x:v>2</x:v>
      </x:c>
      <x:c r="S25" s="68" t="n">
        <x:v>1</x:v>
      </x:c>
      <x:c r="T25" s="68" t="n">
        <x:v>4</x:v>
      </x:c>
      <x:c r="U25" s="68" t="n">
        <x:v>12</x:v>
      </x:c>
      <x:c r="V25" s="38" t="str"/>
      <x:c r="W25" s="68" t="n">
        <x:v>0</x:v>
      </x:c>
      <x:c r="X25" s="68" t="n">
        <x:v>6</x:v>
      </x:c>
      <x:c r="Y25" s="68" t="n">
        <x:v>4</x:v>
      </x:c>
      <x:c r="Z25" s="68" t="n">
        <x:v>9</x:v>
      </x:c>
      <x:c r="AA25" s="68" t="n">
        <x:v>15</x:v>
      </x:c>
      <x:c r="AB25" s="68" t="n">
        <x:v>40</x:v>
      </x:c>
      <x:c r="AC25" s="68" t="n">
        <x:v>0</x:v>
      </x:c>
      <x:c r="AD25" s="68" t="n">
        <x:v>0</x:v>
      </x:c>
      <x:c r="AE25" s="68" t="n">
        <x:v>85</x:v>
      </x:c>
      <x:c r="AF25" s="38" t="str">
        <x:v>Committed</x:v>
      </x:c>
      <x:c r="AG25" s="85" t="b">
        <x:v>0</x:v>
      </x:c>
      <x:c r="AH25" s="85" t="b">
        <x:v>0</x:v>
      </x:c>
      <x:c r="AI25" s="85" t="b">
        <x:v>0</x:v>
      </x:c>
      <x:c r="AJ25" s="85" t="b">
        <x:v>0</x:v>
      </x:c>
      <x:c r="AK25" s="85" t="b">
        <x:v>0</x:v>
      </x:c>
      <x:c r="AL25" s="68" t="n">
        <x:v>700</x:v>
      </x:c>
      <x:c r="AM25" s="68" t="n">
        <x:v>650</x:v>
      </x:c>
      <x:c r="AN25" s="68" t="n">
        <x:v>0</x:v>
      </x:c>
      <x:c r="AO25" s="38" t="str">
        <x:v>None</x:v>
      </x:c>
      <x:c r="AP25" s="68" t="n">
        <x:v>0</x:v>
      </x:c>
      <x:c r="AQ25" s="68" t="n">
        <x:v>0</x:v>
      </x:c>
      <x:c r="AR25" s="68" t="n">
        <x:v>0</x:v>
      </x:c>
      <x:c r="AS25" s="68" t="n">
        <x:v>0</x:v>
      </x:c>
      <x:c r="AT25" s="68" t="n">
        <x:v>0</x:v>
      </x:c>
      <x:c r="AU25" s="68" t="n">
        <x:v>0</x:v>
      </x:c>
      <x:c r="AV25" s="68" t="n">
        <x:v>0</x:v>
      </x:c>
      <x:c r="AW25" s="68" t="n">
        <x:v>0</x:v>
      </x:c>
      <x:c r="AX25" s="68" t="n">
        <x:v>0</x:v>
      </x:c>
      <x:c r="AY25" s="68" t="n">
        <x:v>1</x:v>
      </x:c>
      <x:c r="AZ25" s="68" t="n">
        <x:v>1200</x:v>
      </x:c>
      <x:c r="BA25" s="68" t="n">
        <x:v>0</x:v>
      </x:c>
      <x:c r="BB25" s="74" t="n">
        <x:f>IF(B25="all",0,N25+ROUND(VLOOKUP(B25,'Fighter Stats'!$A$6:$E$8,5,FALSE)*O25/'Global Config'!$D$12,0))</x:f>
        <x:v>0</x:v>
      </x:c>
      <x:c r="BC25" s="74" t="n">
        <x:f>ROUND(BB25*(1-('Global Config'!$D$36/('Global Config'!$D$36+'Global Config'!$D$23))),0)</x:f>
        <x:v>0</x:v>
      </x:c>
      <x:c r="BD25" s="38" t="str">
        <x:v>Hypothesis</x:v>
      </x:c>
      <x:c r="BE25" s="56" t="str">
        <x:f>IF(AND(A25&lt;&gt;"",H25&lt;=I25,J25&lt;=K25,S25&lt;=R25,R25&lt;=T25,Y25&lt;=X25,X25&lt;=Z25,AT25&lt;=AS25,AS25&lt;=AU25,AW25&lt;=AX25,AY25&gt;=1,L25&gt;=0,M25&gt;=0),"OK","ERROR")</x:f>
        <x:v>OK</x:v>
      </x:c>
      <x:c r="BF25" s="44" t="str">
        <x:v>Grab и GuardBreak остаются основным контрplay.</x:v>
      </x:c>
    </x:row>
    <x:row r="26" ht="36" customHeight="1">
      <x:c r="A26" s="35" t="str">
        <x:v>gorilla_clinch_check</x:v>
      </x:c>
      <x:c r="B26" s="35" t="str">
        <x:v>gorilla</x:v>
      </x:c>
      <x:c r="C26" s="38" t="str">
        <x:v>Проверка клинча</x:v>
      </x:c>
      <x:c r="D26" s="38" t="str">
        <x:v>Basic</x:v>
      </x:c>
      <x:c r="E26" s="38" t="str">
        <x:v>Grab</x:v>
      </x:c>
      <x:c r="F26" s="44" t="str">
        <x:v>grab|position|grip_generator|pull</x:v>
      </x:c>
      <x:c r="G26" s="62" t="n">
        <x:v>620</x:v>
      </x:c>
      <x:c r="H26" s="68" t="n">
        <x:v>0</x:v>
      </x:c>
      <x:c r="I26" s="68" t="n">
        <x:v>650</x:v>
      </x:c>
      <x:c r="J26" s="68" t="n">
        <x:v>0</x:v>
      </x:c>
      <x:c r="K26" s="68" t="n">
        <x:v>700</x:v>
      </x:c>
      <x:c r="L26" s="68" t="n">
        <x:v>120</x:v>
      </x:c>
      <x:c r="M26" s="68" t="n">
        <x:v>0</x:v>
      </x:c>
      <x:c r="N26" s="68" t="n">
        <x:v>0</x:v>
      </x:c>
      <x:c r="O26" s="68" t="n">
        <x:v>0</x:v>
      </x:c>
      <x:c r="P26" s="68" t="n">
        <x:v>0</x:v>
      </x:c>
      <x:c r="Q26" s="68" t="n">
        <x:v>0</x:v>
      </x:c>
      <x:c r="R26" s="68" t="n">
        <x:v>5</x:v>
      </x:c>
      <x:c r="S26" s="68" t="n">
        <x:v>3</x:v>
      </x:c>
      <x:c r="T26" s="68" t="n">
        <x:v>8</x:v>
      </x:c>
      <x:c r="U26" s="68" t="n">
        <x:v>1</x:v>
      </x:c>
      <x:c r="V26" s="38" t="str">
        <x:v>grab:0</x:v>
      </x:c>
      <x:c r="W26" s="68" t="n">
        <x:v>0</x:v>
      </x:c>
      <x:c r="X26" s="68" t="n">
        <x:v>10</x:v>
      </x:c>
      <x:c r="Y26" s="68" t="n">
        <x:v>7</x:v>
      </x:c>
      <x:c r="Z26" s="68" t="n">
        <x:v>15</x:v>
      </x:c>
      <x:c r="AA26" s="68" t="n">
        <x:v>30</x:v>
      </x:c>
      <x:c r="AB26" s="68" t="n">
        <x:v>45</x:v>
      </x:c>
      <x:c r="AC26" s="68" t="n">
        <x:v>0</x:v>
      </x:c>
      <x:c r="AD26" s="68" t="n">
        <x:v>55</x:v>
      </x:c>
      <x:c r="AE26" s="68" t="n">
        <x:v>55</x:v>
      </x:c>
      <x:c r="AF26" s="38" t="str">
        <x:v>Committed</x:v>
      </x:c>
      <x:c r="AG26" s="85" t="b">
        <x:v>0</x:v>
      </x:c>
      <x:c r="AH26" s="85" t="b">
        <x:v>0</x:v>
      </x:c>
      <x:c r="AI26" s="85" t="b">
        <x:v>0</x:v>
      </x:c>
      <x:c r="AJ26" s="85" t="b">
        <x:v>0</x:v>
      </x:c>
      <x:c r="AK26" s="85" t="b">
        <x:v>1</x:v>
      </x:c>
      <x:c r="AL26" s="68" t="n">
        <x:v>0</x:v>
      </x:c>
      <x:c r="AM26" s="68" t="n">
        <x:v>0</x:v>
      </x:c>
      <x:c r="AN26" s="68" t="n">
        <x:v>0</x:v>
      </x:c>
      <x:c r="AO26" s="38" t="str">
        <x:v>Pull</x:v>
      </x:c>
      <x:c r="AP26" s="68" t="n">
        <x:v>400</x:v>
      </x:c>
      <x:c r="AQ26" s="68" t="n">
        <x:v>35</x:v>
      </x:c>
      <x:c r="AR26" s="68" t="n">
        <x:v>0</x:v>
      </x:c>
      <x:c r="AS26" s="68" t="n">
        <x:v>400</x:v>
      </x:c>
      <x:c r="AT26" s="68" t="n">
        <x:v>150</x:v>
      </x:c>
      <x:c r="AU26" s="68" t="n">
        <x:v>600</x:v>
      </x:c>
      <x:c r="AV26" s="68" t="n">
        <x:v>0</x:v>
      </x:c>
      <x:c r="AW26" s="68" t="n">
        <x:v>0</x:v>
      </x:c>
      <x:c r="AX26" s="68" t="n">
        <x:v>0</x:v>
      </x:c>
      <x:c r="AY26" s="68" t="n">
        <x:v>1</x:v>
      </x:c>
      <x:c r="AZ26" s="68" t="n">
        <x:v>1200</x:v>
      </x:c>
      <x:c r="BA26" s="68" t="n">
        <x:v>0</x:v>
      </x:c>
      <x:c r="BB26" s="74" t="n">
        <x:f>IF(B26="all",0,N26+ROUND(VLOOKUP(B26,'Fighter Stats'!$A$6:$E$8,5,FALSE)*O26/'Global Config'!$D$12,0))</x:f>
        <x:v>0</x:v>
      </x:c>
      <x:c r="BC26" s="74" t="n">
        <x:f>ROUND(BB26*(1-('Global Config'!$D$36/('Global Config'!$D$36+'Global Config'!$D$23))),0)</x:f>
        <x:v>0</x:v>
      </x:c>
      <x:c r="BD26" s="38" t="str">
        <x:v>Hypothesis</x:v>
      </x:c>
      <x:c r="BE26" s="56" t="str">
        <x:f>IF(AND(A26&lt;&gt;"",H26&lt;=I26,J26&lt;=K26,S26&lt;=R26,R26&lt;=T26,Y26&lt;=X26,X26&lt;=Z26,AT26&lt;=AS26,AS26&lt;=AU26,AW26&lt;=AX26,AY26&gt;=1,L26&gt;=0,M26&gt;=0),"OK","ERROR")</x:f>
        <x:v>OK</x:v>
      </x:c>
      <x:c r="BF26" s="44" t="str">
        <x:v>Немедленный pull/release без длительного удержания.</x:v>
      </x:c>
    </x:row>
    <x:row r="27" ht="36" customHeight="1">
      <x:c r="A27" s="35" t="str">
        <x:v>gorilla_pivot_throw</x:v>
      </x:c>
      <x:c r="B27" s="35" t="str">
        <x:v>gorilla</x:v>
      </x:c>
      <x:c r="C27" s="38" t="str">
        <x:v>Разворотный бросок</x:v>
      </x:c>
      <x:c r="D27" s="38" t="str">
        <x:v>Special</x:v>
      </x:c>
      <x:c r="E27" s="38" t="str">
        <x:v>SignatureGrab</x:v>
      </x:c>
      <x:c r="F27" s="44" t="str">
        <x:v>special|signature|grab|throw|swap|knockdown</x:v>
      </x:c>
      <x:c r="G27" s="62" t="n">
        <x:v>500</x:v>
      </x:c>
      <x:c r="H27" s="68" t="n">
        <x:v>0</x:v>
      </x:c>
      <x:c r="I27" s="68" t="n">
        <x:v>650</x:v>
      </x:c>
      <x:c r="J27" s="68" t="n">
        <x:v>0</x:v>
      </x:c>
      <x:c r="K27" s="68" t="n">
        <x:v>700</x:v>
      </x:c>
      <x:c r="L27" s="68" t="n">
        <x:v>230</x:v>
      </x:c>
      <x:c r="M27" s="68" t="n">
        <x:v>400</x:v>
      </x:c>
      <x:c r="N27" s="68" t="n">
        <x:v>60</x:v>
      </x:c>
      <x:c r="O27" s="68" t="n">
        <x:v>700</x:v>
      </x:c>
      <x:c r="P27" s="68" t="n">
        <x:v>22</x:v>
      </x:c>
      <x:c r="Q27" s="68" t="n">
        <x:v>0</x:v>
      </x:c>
      <x:c r="R27" s="68" t="n">
        <x:v>7</x:v>
      </x:c>
      <x:c r="S27" s="68" t="n">
        <x:v>4</x:v>
      </x:c>
      <x:c r="T27" s="68" t="n">
        <x:v>11</x:v>
      </x:c>
      <x:c r="U27" s="68" t="n">
        <x:v>6</x:v>
      </x:c>
      <x:c r="V27" s="38" t="str">
        <x:v>grab:0|throw:5</x:v>
      </x:c>
      <x:c r="W27" s="68" t="n">
        <x:v>1</x:v>
      </x:c>
      <x:c r="X27" s="68" t="n">
        <x:v>15</x:v>
      </x:c>
      <x:c r="Y27" s="68" t="n">
        <x:v>10</x:v>
      </x:c>
      <x:c r="Z27" s="68" t="n">
        <x:v>23</x:v>
      </x:c>
      <x:c r="AA27" s="68" t="n">
        <x:v>70</x:v>
      </x:c>
      <x:c r="AB27" s="68" t="n">
        <x:v>70</x:v>
      </x:c>
      <x:c r="AC27" s="68" t="n">
        <x:v>0</x:v>
      </x:c>
      <x:c r="AD27" s="68" t="n">
        <x:v>75</x:v>
      </x:c>
      <x:c r="AE27" s="68" t="n">
        <x:v>75</x:v>
      </x:c>
      <x:c r="AF27" s="38" t="str">
        <x:v>Committed</x:v>
      </x:c>
      <x:c r="AG27" s="85" t="b">
        <x:v>0</x:v>
      </x:c>
      <x:c r="AH27" s="85" t="b">
        <x:v>0</x:v>
      </x:c>
      <x:c r="AI27" s="85" t="b">
        <x:v>0</x:v>
      </x:c>
      <x:c r="AJ27" s="85" t="b">
        <x:v>0</x:v>
      </x:c>
      <x:c r="AK27" s="85" t="b">
        <x:v>1</x:v>
      </x:c>
      <x:c r="AL27" s="68" t="n">
        <x:v>0</x:v>
      </x:c>
      <x:c r="AM27" s="68" t="n">
        <x:v>0</x:v>
      </x:c>
      <x:c r="AN27" s="68" t="n">
        <x:v>0</x:v>
      </x:c>
      <x:c r="AO27" s="38" t="str">
        <x:v>Swap</x:v>
      </x:c>
      <x:c r="AP27" s="68" t="n">
        <x:v>900</x:v>
      </x:c>
      <x:c r="AQ27" s="68" t="n">
        <x:v>170</x:v>
      </x:c>
      <x:c r="AR27" s="68" t="n">
        <x:v>8</x:v>
      </x:c>
      <x:c r="AS27" s="68" t="n">
        <x:v>900</x:v>
      </x:c>
      <x:c r="AT27" s="68" t="n">
        <x:v>400</x:v>
      </x:c>
      <x:c r="AU27" s="68" t="n">
        <x:v>1300</x:v>
      </x:c>
      <x:c r="AV27" s="68" t="n">
        <x:v>0</x:v>
      </x:c>
      <x:c r="AW27" s="68" t="n">
        <x:v>0</x:v>
      </x:c>
      <x:c r="AX27" s="68" t="n">
        <x:v>0</x:v>
      </x:c>
      <x:c r="AY27" s="68" t="n">
        <x:v>1</x:v>
      </x:c>
      <x:c r="AZ27" s="68" t="n">
        <x:v>2500</x:v>
      </x:c>
      <x:c r="BA27" s="68" t="n">
        <x:v>4</x:v>
      </x:c>
      <x:c r="BB27" s="74" t="n">
        <x:f>IF(B27="all",0,N27+ROUND(VLOOKUP(B27,'Fighter Stats'!$A$6:$E$8,5,FALSE)*O27/'Global Config'!$D$12,0))</x:f>
        <x:v>137</x:v>
      </x:c>
      <x:c r="BC27" s="74" t="n">
        <x:f>ROUND(BB27*(1-('Global Config'!$D$36/('Global Config'!$D$36+'Global Config'!$D$23))),0)</x:f>
        <x:v>91</x:v>
      </x:c>
      <x:c r="BD27" s="38" t="str">
        <x:v>Hypothesis</x:v>
      </x:c>
      <x:c r="BE27" s="56" t="str">
        <x:f>IF(AND(A27&lt;&gt;"",H27&lt;=I27,J27&lt;=K27,S27&lt;=R27,R27&lt;=T27,Y27&lt;=X27,X27&lt;=Z27,AT27&lt;=AS27,AS27&lt;=AU27,AW27&lt;=AX27,AY27&gt;=1,L27&gt;=0,M27&gt;=0),"OK","ERROR")</x:f>
        <x:v>OK</x:v>
      </x:c>
      <x:c r="BF27" s="44" t="str">
        <x:v>MaxHoldTicks=6; reversal у собственной стены.</x:v>
      </x:c>
    </x:row>
    <x:row r="28" ht="36" customHeight="1">
      <x:c r="A28" s="35" t="str">
        <x:v>gorilla_overhead_pound</x:v>
      </x:c>
      <x:c r="B28" s="35" t="str">
        <x:v>gorilla</x:v>
      </x:c>
      <x:c r="C28" s="38" t="str">
        <x:v>Удар сверху</x:v>
      </x:c>
      <x:c r="D28" s="38" t="str">
        <x:v>Special</x:v>
      </x:c>
      <x:c r="E28" s="38" t="str">
        <x:v>HeavyGround</x:v>
      </x:c>
      <x:c r="F28" s="44" t="str">
        <x:v>special|heavy|ground_hit|stagger|punish</x:v>
      </x:c>
      <x:c r="G28" s="62" t="n">
        <x:v>440</x:v>
      </x:c>
      <x:c r="H28" s="68" t="n">
        <x:v>100</x:v>
      </x:c>
      <x:c r="I28" s="68" t="n">
        <x:v>950</x:v>
      </x:c>
      <x:c r="J28" s="68" t="n">
        <x:v>0</x:v>
      </x:c>
      <x:c r="K28" s="68" t="n">
        <x:v>1050</x:v>
      </x:c>
      <x:c r="L28" s="68" t="n">
        <x:v>260</x:v>
      </x:c>
      <x:c r="M28" s="68" t="n">
        <x:v>350</x:v>
      </x:c>
      <x:c r="N28" s="68" t="n">
        <x:v>85</x:v>
      </x:c>
      <x:c r="O28" s="68" t="n">
        <x:v>1050</x:v>
      </x:c>
      <x:c r="P28" s="68" t="n">
        <x:v>30</x:v>
      </x:c>
      <x:c r="Q28" s="68" t="n">
        <x:v>9</x:v>
      </x:c>
      <x:c r="R28" s="68" t="n">
        <x:v>12</x:v>
      </x:c>
      <x:c r="S28" s="68" t="n">
        <x:v>8</x:v>
      </x:c>
      <x:c r="T28" s="68" t="n">
        <x:v>18</x:v>
      </x:c>
      <x:c r="U28" s="68" t="n">
        <x:v>1</x:v>
      </x:c>
      <x:c r="V28" s="38" t="str">
        <x:v>0</x:v>
      </x:c>
      <x:c r="W28" s="68" t="n">
        <x:v>1</x:v>
      </x:c>
      <x:c r="X28" s="68" t="n">
        <x:v>16</x:v>
      </x:c>
      <x:c r="Y28" s="68" t="n">
        <x:v>11</x:v>
      </x:c>
      <x:c r="Z28" s="68" t="n">
        <x:v>24</x:v>
      </x:c>
      <x:c r="AA28" s="68" t="n">
        <x:v>70</x:v>
      </x:c>
      <x:c r="AB28" s="68" t="n">
        <x:v>63</x:v>
      </x:c>
      <x:c r="AC28" s="68" t="n">
        <x:v>65</x:v>
      </x:c>
      <x:c r="AD28" s="68" t="n">
        <x:v>0</x:v>
      </x:c>
      <x:c r="AE28" s="68" t="n">
        <x:v>63</x:v>
      </x:c>
      <x:c r="AF28" s="38" t="str">
        <x:v>Committed</x:v>
      </x:c>
      <x:c r="AG28" s="85" t="b">
        <x:v>1</x:v>
      </x:c>
      <x:c r="AH28" s="85" t="b">
        <x:v>1</x:v>
      </x:c>
      <x:c r="AI28" s="85" t="b">
        <x:v>0</x:v>
      </x:c>
      <x:c r="AJ28" s="85" t="b">
        <x:v>0</x:v>
      </x:c>
      <x:c r="AK28" s="85" t="b">
        <x:v>0</x:v>
      </x:c>
      <x:c r="AL28" s="68" t="n">
        <x:v>0</x:v>
      </x:c>
      <x:c r="AM28" s="68" t="n">
        <x:v>0</x:v>
      </x:c>
      <x:c r="AN28" s="68" t="n">
        <x:v>0</x:v>
      </x:c>
      <x:c r="AO28" s="38" t="str">
        <x:v>None</x:v>
      </x:c>
      <x:c r="AP28" s="68" t="n">
        <x:v>0</x:v>
      </x:c>
      <x:c r="AQ28" s="68" t="n">
        <x:v>240</x:v>
      </x:c>
      <x:c r="AR28" s="68" t="n">
        <x:v>10</x:v>
      </x:c>
      <x:c r="AS28" s="68" t="n">
        <x:v>250</x:v>
      </x:c>
      <x:c r="AT28" s="68" t="n">
        <x:v>0</x:v>
      </x:c>
      <x:c r="AU28" s="68" t="n">
        <x:v>450</x:v>
      </x:c>
      <x:c r="AV28" s="68" t="n">
        <x:v>0</x:v>
      </x:c>
      <x:c r="AW28" s="68" t="n">
        <x:v>0</x:v>
      </x:c>
      <x:c r="AX28" s="68" t="n">
        <x:v>0</x:v>
      </x:c>
      <x:c r="AY28" s="68" t="n">
        <x:v>1</x:v>
      </x:c>
      <x:c r="AZ28" s="68" t="n">
        <x:v>2200</x:v>
      </x:c>
      <x:c r="BA28" s="68" t="n">
        <x:v>3</x:v>
      </x:c>
      <x:c r="BB28" s="74" t="n">
        <x:f>IF(B28="all",0,N28+ROUND(VLOOKUP(B28,'Fighter Stats'!$A$6:$E$8,5,FALSE)*O28/'Global Config'!$D$12,0))</x:f>
        <x:v>201</x:v>
      </x:c>
      <x:c r="BC28" s="74" t="n">
        <x:f>ROUND(BB28*(1-('Global Config'!$D$36/('Global Config'!$D$36+'Global Config'!$D$23))),0)</x:f>
        <x:v>134</x:v>
      </x:c>
      <x:c r="BD28" s="38" t="str">
        <x:v>Hypothesis</x:v>
      </x:c>
      <x:c r="BE28" s="56" t="str">
        <x:f>IF(AND(A28&lt;&gt;"",H28&lt;=I28,J28&lt;=K28,S28&lt;=R28,R28&lt;=T28,Y28&lt;=X28,X28&lt;=Z28,AT28&lt;=AS28,AS28&lt;=AU28,AW28&lt;=AX28,AY28&gt;=1,L28&gt;=0,M28&gt;=0),"OK","ERROR")</x:f>
        <x:v>OK</x:v>
      </x:c>
      <x:c r="BF28" s="44" t="str">
        <x:v>Высокий вес только против Stunned/KnockedDown/Exposed.</x:v>
      </x:c>
    </x:row>
    <x:row r="29" ht="36" customHeight="1">
      <x:c r="A29" s="36" t="str">
        <x:v>gorilla_wall_breaker</x:v>
      </x:c>
      <x:c r="B29" s="36" t="str">
        <x:v>gorilla</x:v>
      </x:c>
      <x:c r="C29" s="39" t="str">
        <x:v>Сокрушение о стену</x:v>
      </x:c>
      <x:c r="D29" s="39" t="str">
        <x:v>Special</x:v>
      </x:c>
      <x:c r="E29" s="39" t="str">
        <x:v>SignatureWallGrab</x:v>
      </x:c>
      <x:c r="F29" s="45" t="str">
        <x:v>special|signature|grab|wall_impact|finisher|knockdown</x:v>
      </x:c>
      <x:c r="G29" s="63" t="n">
        <x:v>400</x:v>
      </x:c>
      <x:c r="H29" s="69" t="n">
        <x:v>0</x:v>
      </x:c>
      <x:c r="I29" s="69" t="n">
        <x:v>650</x:v>
      </x:c>
      <x:c r="J29" s="69" t="n">
        <x:v>0</x:v>
      </x:c>
      <x:c r="K29" s="69" t="n">
        <x:v>700</x:v>
      </x:c>
      <x:c r="L29" s="69" t="n">
        <x:v>320</x:v>
      </x:c>
      <x:c r="M29" s="69" t="n">
        <x:v>650</x:v>
      </x:c>
      <x:c r="N29" s="69" t="n">
        <x:v>75</x:v>
      </x:c>
      <x:c r="O29" s="69" t="n">
        <x:v>800</x:v>
      </x:c>
      <x:c r="P29" s="69" t="n">
        <x:v>28</x:v>
      </x:c>
      <x:c r="Q29" s="69" t="n">
        <x:v>0</x:v>
      </x:c>
      <x:c r="R29" s="69" t="n">
        <x:v>8</x:v>
      </x:c>
      <x:c r="S29" s="69" t="n">
        <x:v>5</x:v>
      </x:c>
      <x:c r="T29" s="69" t="n">
        <x:v>12</x:v>
      </x:c>
      <x:c r="U29" s="69" t="n">
        <x:v>4</x:v>
      </x:c>
      <x:c r="V29" s="39" t="str">
        <x:v>grab:0|wall:3</x:v>
      </x:c>
      <x:c r="W29" s="69" t="n">
        <x:v>1</x:v>
      </x:c>
      <x:c r="X29" s="69" t="n">
        <x:v>20</x:v>
      </x:c>
      <x:c r="Y29" s="69" t="n">
        <x:v>14</x:v>
      </x:c>
      <x:c r="Z29" s="69" t="n">
        <x:v>30</x:v>
      </x:c>
      <x:c r="AA29" s="69" t="n">
        <x:v>100</x:v>
      </x:c>
      <x:c r="AB29" s="69" t="n">
        <x:v>78</x:v>
      </x:c>
      <x:c r="AC29" s="69" t="n">
        <x:v>0</x:v>
      </x:c>
      <x:c r="AD29" s="69" t="n">
        <x:v>82</x:v>
      </x:c>
      <x:c r="AE29" s="69" t="n">
        <x:v>82</x:v>
      </x:c>
      <x:c r="AF29" s="39" t="str">
        <x:v>Committed</x:v>
      </x:c>
      <x:c r="AG29" s="86" t="b">
        <x:v>0</x:v>
      </x:c>
      <x:c r="AH29" s="86" t="b">
        <x:v>0</x:v>
      </x:c>
      <x:c r="AI29" s="86" t="b">
        <x:v>0</x:v>
      </x:c>
      <x:c r="AJ29" s="86" t="b">
        <x:v>1</x:v>
      </x:c>
      <x:c r="AK29" s="86" t="b">
        <x:v>1</x:v>
      </x:c>
      <x:c r="AL29" s="69" t="n">
        <x:v>0</x:v>
      </x:c>
      <x:c r="AM29" s="69" t="n">
        <x:v>0</x:v>
      </x:c>
      <x:c r="AN29" s="69" t="n">
        <x:v>0</x:v>
      </x:c>
      <x:c r="AO29" s="39" t="str">
        <x:v>Push</x:v>
      </x:c>
      <x:c r="AP29" s="69" t="n">
        <x:v>1000</x:v>
      </x:c>
      <x:c r="AQ29" s="69" t="n">
        <x:v>230</x:v>
      </x:c>
      <x:c r="AR29" s="69" t="n">
        <x:v>10</x:v>
      </x:c>
      <x:c r="AS29" s="69" t="n">
        <x:v>1000</x:v>
      </x:c>
      <x:c r="AT29" s="69" t="n">
        <x:v>300</x:v>
      </x:c>
      <x:c r="AU29" s="69" t="n">
        <x:v>1400</x:v>
      </x:c>
      <x:c r="AV29" s="69" t="n">
        <x:v>250</x:v>
      </x:c>
      <x:c r="AW29" s="69" t="n">
        <x:v>40</x:v>
      </x:c>
      <x:c r="AX29" s="69" t="n">
        <x:v>180</x:v>
      </x:c>
      <x:c r="AY29" s="69" t="n">
        <x:v>1</x:v>
      </x:c>
      <x:c r="AZ29" s="69" t="n">
        <x:v>2500</x:v>
      </x:c>
      <x:c r="BA29" s="69" t="n">
        <x:v>4</x:v>
      </x:c>
      <x:c r="BB29" s="75" t="n">
        <x:f>IF(B29="all",0,N29+ROUND(VLOOKUP(B29,'Fighter Stats'!$A$6:$E$8,5,FALSE)*O29/'Global Config'!$D$12,0))</x:f>
        <x:v>163</x:v>
      </x:c>
      <x:c r="BC29" s="75" t="n">
        <x:f>ROUND(BB29*(1-('Global Config'!$D$36/('Global Config'!$D$36+'Global Config'!$D$23))),0)</x:f>
        <x:v>109</x:v>
      </x:c>
      <x:c r="BD29" s="39" t="str">
        <x:v>Hypothesis</x:v>
      </x:c>
      <x:c r="BE29" s="57" t="str">
        <x:f>IF(AND(A29&lt;&gt;"",H29&lt;=I29,J29&lt;=K29,S29&lt;=R29,R29&lt;=T29,Y29&lt;=X29,X29&lt;=Z29,AT29&lt;=AS29,AS29&lt;=AU29,AW29&lt;=AX29,AY29&gt;=1,L29&gt;=0,M29&gt;=0),"OK","ERROR")</x:f>
        <x:v>OK</x:v>
      </x:c>
      <x:c r="BF29" s="45" t="str">
        <x:v>Legal только в wall zone и при отсутствии GrabLockout.</x:v>
      </x:c>
    </x:row>
  </x:sheetData>
  <x:mergeCells>
    <x:mergeCell ref="A1:BF1"/>
    <x:mergeCell ref="A2:BF2"/>
    <x:mergeCell ref="A3:BF3"/>
  </x:mergeCells>
  <x:conditionalFormatting sqref="BE6:BE29">
    <x:cfRule type="containsText" dxfId="10" priority="1" operator="containsText" text="ERROR"/>
    <x:cfRule type="containsText" dxfId="11" priority="2" operator="containsText" text="OK"/>
    <x:cfRule type="containsText" dxfId="12" priority="3" operator="containsText" text="PASS"/>
    <x:cfRule type="containsText" dxfId="13" priority="4" operator="containsText" text="REVIEW"/>
    <x:cfRule type="containsText" dxfId="14" priority="5" operator="containsText" text="PENDING"/>
  </x:conditionalFormatting>
  <x:dataValidations count="5">
    <x:dataValidation type="list" sqref="B6:B29">
      <x:formula1>"all,bear,kangaroo,gorilla"</x:formula1>
    </x:dataValidation>
    <x:dataValidation type="list" sqref="D6:D29">
      <x:formula1>"System,Basic,Special"</x:formula1>
    </x:dataValidation>
    <x:dataValidation type="list" sqref="AF6:AF29">
      <x:formula1>"Cancelable,Committed,Armored,Unstoppable,UninterruptibleImpact"</x:formula1>
    </x:dataValidation>
    <x:dataValidation type="list" sqref="AO6:AO29">
      <x:formula1>"None,Approach,Retreat,Adaptive,Push,Pull,Swap,Follow"</x:formula1>
    </x:dataValidation>
    <x:dataValidation type="list" sqref="BD6:BD29">
      <x:formula1>"Hypothesis,Approved,Deprecated"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8ba9dcec404b1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26" hidden="0" customWidth="1"/>
    <x:col min="4" max="4" width="30" hidden="0" customWidth="1"/>
    <x:col min="5" max="5" width="40" hidden="0" customWidth="1"/>
    <x:col min="6" max="6" width="32" hidden="0" customWidth="1"/>
    <x:col min="7" max="7" width="18" hidden="0" customWidth="1"/>
    <x:col min="8" max="8" width="13" hidden="0" customWidth="1"/>
    <x:col min="9" max="9" width="11" hidden="0" customWidth="1"/>
    <x:col min="10" max="10" width="18" hidden="0" customWidth="1"/>
    <x:col min="11" max="11" width="13" hidden="0" customWidth="1"/>
    <x:col min="12" max="12" width="11" hidden="0" customWidth="1"/>
    <x:col min="13" max="13" width="12" hidden="0" customWidth="1"/>
    <x:col min="14" max="14" width="16" hidden="0" customWidth="1"/>
    <x:col min="15" max="15" width="10" hidden="0" customWidth="1"/>
    <x:col min="16" max="16" width="16" hidden="0" customWidth="1"/>
    <x:col min="17" max="17" width="17" hidden="0" customWidth="1"/>
    <x:col min="18" max="18" width="12" hidden="0" customWidth="1"/>
    <x:col min="19" max="19" width="15" hidden="0" customWidth="1"/>
    <x:col min="20" max="20" width="30" hidden="0" customWidth="1"/>
    <x:col min="21" max="21" width="13" hidden="0" customWidth="1"/>
    <x:col min="22" max="22" width="12" hidden="0" customWidth="1"/>
    <x:col min="23" max="23" width="52" hidden="0" customWidth="1"/>
  </x:cols>
  <x:sheetData>
    <x:row r="1" ht="30" customHeight="1">
      <x:c r="A1" s="3" t="str">
        <x:v>Passive Skills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22" customHeight="1">
      <x:c r="A2" s="6" t="str">
        <x:v>Шесть пассивов стартовых животных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</x:row>
    <x:row r="3" ht="32" customHeight="1">
      <x:c r="A3" s="10" t="str">
        <x:v>Все trigger chains имеют InternalCooldown или MaxActivations. Пассив не может отменять MinDamage, GrabLockout, ControlImmunity или MaxHoldTicks.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</x:row>
    <x:row r="5" ht="44" customHeight="1">
      <x:c r="A5" s="21" t="str">
        <x:v>Passive ID</x:v>
      </x:c>
      <x:c r="B5" s="22" t="str">
        <x:v>Animal ID</x:v>
      </x:c>
      <x:c r="C5" s="22" t="str">
        <x:v>Display Name RU</x:v>
      </x:c>
      <x:c r="D5" s="22" t="str">
        <x:v>Trigger</x:v>
      </x:c>
      <x:c r="E5" s="22" t="str">
        <x:v>Conditions</x:v>
      </x:c>
      <x:c r="F5" s="22" t="str">
        <x:v>Effect ID</x:v>
      </x:c>
      <x:c r="G5" s="22" t="str">
        <x:v>Modifier Stat 1</x:v>
      </x:c>
      <x:c r="H5" s="22" t="str">
        <x:v>Operation 1</x:v>
      </x:c>
      <x:c r="I5" s="22" t="str">
        <x:v>Value 1</x:v>
      </x:c>
      <x:c r="J5" s="22" t="str">
        <x:v>Modifier Stat 2</x:v>
      </x:c>
      <x:c r="K5" s="22" t="str">
        <x:v>Operation 2</x:v>
      </x:c>
      <x:c r="L5" s="22" t="str">
        <x:v>Value 2</x:v>
      </x:c>
      <x:c r="M5" s="22" t="str">
        <x:v>Duration Ticks</x:v>
      </x:c>
      <x:c r="N5" s="22" t="str">
        <x:v>Internal Cooldown Ticks</x:v>
      </x:c>
      <x:c r="O5" s="22" t="str">
        <x:v>Stack Cap</x:v>
      </x:c>
      <x:c r="P5" s="22" t="str">
        <x:v>Max Activations / Tick</x:v>
      </x:c>
      <x:c r="Q5" s="22" t="str">
        <x:v>Max Activations / Battle</x:v>
      </x:c>
      <x:c r="R5" s="22" t="str">
        <x:v>Resource Gain</x:v>
      </x:c>
      <x:c r="S5" s="22" t="str">
        <x:v>Weight Multiplier FP</x:v>
      </x:c>
      <x:c r="T5" s="22" t="str">
        <x:v>Tags</x:v>
      </x:c>
      <x:c r="U5" s="22" t="str">
        <x:v>Status</x:v>
      </x:c>
      <x:c r="V5" s="22" t="str">
        <x:v>Validation</x:v>
      </x:c>
      <x:c r="W5" s="23" t="str">
        <x:v>Notes RU</x:v>
      </x:c>
    </x:row>
    <x:row r="6" ht="36" customHeight="1">
      <x:c r="A6" s="34" t="str">
        <x:v>bear_thick_hide</x:v>
      </x:c>
      <x:c r="B6" s="34" t="str">
        <x:v>bear</x:v>
      </x:c>
      <x:c r="C6" s="37" t="str">
        <x:v>Толстая шкура</x:v>
      </x:c>
      <x:c r="D6" s="43" t="str">
        <x:v>OnDamageTaken</x:v>
      </x:c>
      <x:c r="E6" s="43" t="str">
        <x:v>valid_strike; internal_cooldown_ready</x:v>
      </x:c>
      <x:c r="F6" s="34" t="str">
        <x:v>effect_bear_thick_hide</x:v>
      </x:c>
      <x:c r="G6" s="37" t="str">
        <x:v>Armor</x:v>
      </x:c>
      <x:c r="H6" s="37" t="str">
        <x:v>Multiply</x:v>
      </x:c>
      <x:c r="I6" s="67" t="n">
        <x:v>1150</x:v>
      </x:c>
      <x:c r="J6" s="37" t="str">
        <x:v>ControlResistance</x:v>
      </x:c>
      <x:c r="K6" s="37" t="str">
        <x:v>Multiply</x:v>
      </x:c>
      <x:c r="L6" s="67" t="n">
        <x:v>1150</x:v>
      </x:c>
      <x:c r="M6" s="67" t="n">
        <x:v>25</x:v>
      </x:c>
      <x:c r="N6" s="67" t="n">
        <x:v>50</x:v>
      </x:c>
      <x:c r="O6" s="67" t="n">
        <x:v>1</x:v>
      </x:c>
      <x:c r="P6" s="67" t="n">
        <x:v>1</x:v>
      </x:c>
      <x:c r="Q6" s="67" t="n">
        <x:v>99</x:v>
      </x:c>
      <x:c r="R6" s="67" t="n">
        <x:v>0</x:v>
      </x:c>
      <x:c r="S6" s="67" t="n">
        <x:v>1000</x:v>
      </x:c>
      <x:c r="T6" s="43" t="str">
        <x:v>defense|comeback</x:v>
      </x:c>
      <x:c r="U6" s="37" t="str">
        <x:v>Hypothesis</x:v>
      </x:c>
      <x:c r="V6" s="55" t="str">
        <x:f>IF(AND(A6&lt;&gt;"",B6&lt;&gt;"",P6&gt;=1,Q6&gt;=1,O6&gt;=1,S6&gt;=250,S6&lt;=3000),"OK","ERROR")</x:f>
        <x:v>OK</x:v>
      </x:c>
      <x:c r="W6" s="43" t="str">
        <x:v>Refresh/StrongestWins; не опускает damage ниже MinDamage.</x:v>
      </x:c>
    </x:row>
    <x:row r="7" ht="36" customHeight="1">
      <x:c r="A7" s="35" t="str">
        <x:v>bear_pressure_fuels_rage</x:v>
      </x:c>
      <x:c r="B7" s="35" t="str">
        <x:v>bear</x:v>
      </x:c>
      <x:c r="C7" s="38" t="str">
        <x:v>Давление питает ярость</x:v>
      </x:c>
      <x:c r="D7" s="44" t="str">
        <x:v>OnDamageTaken|OnBlockedHeavy|OnHeavyHit</x:v>
      </x:c>
      <x:c r="E7" s="44" t="str">
        <x:v>eligible_source_event; once_per_event</x:v>
      </x:c>
      <x:c r="F7" s="35" t="str"/>
      <x:c r="G7" s="38" t="str">
        <x:v>RageGain</x:v>
      </x:c>
      <x:c r="H7" s="38" t="str">
        <x:v>Multiply</x:v>
      </x:c>
      <x:c r="I7" s="68" t="n">
        <x:v>1250</x:v>
      </x:c>
      <x:c r="J7" s="38" t="str">
        <x:v>SignatureWeight</x:v>
      </x:c>
      <x:c r="K7" s="38" t="str">
        <x:v>Multiply</x:v>
      </x:c>
      <x:c r="L7" s="68" t="n">
        <x:v>1125</x:v>
      </x:c>
      <x:c r="M7" s="68" t="n">
        <x:v>0</x:v>
      </x:c>
      <x:c r="N7" s="68" t="n">
        <x:v>0</x:v>
      </x:c>
      <x:c r="O7" s="68" t="n">
        <x:v>1</x:v>
      </x:c>
      <x:c r="P7" s="68" t="n">
        <x:v>3</x:v>
      </x:c>
      <x:c r="Q7" s="68" t="n">
        <x:v>999</x:v>
      </x:c>
      <x:c r="R7" s="68" t="n">
        <x:v>0</x:v>
      </x:c>
      <x:c r="S7" s="68" t="n">
        <x:v>1125</x:v>
      </x:c>
      <x:c r="T7" s="44" t="str">
        <x:v>resource|signature|comeback</x:v>
      </x:c>
      <x:c r="U7" s="38" t="str">
        <x:v>Hypothesis</x:v>
      </x:c>
      <x:c r="V7" s="56" t="str">
        <x:f>IF(AND(A7&lt;&gt;"",B7&lt;&gt;"",P7&gt;=1,Q7&gt;=1,O7&gt;=1,S7&gt;=250,S7&lt;=3000),"OK","ERROR")</x:f>
        <x:v>OK</x:v>
      </x:c>
      <x:c r="W7" s="44" t="str">
        <x:v>Chip eligibility задаётся trigger filter; cap per tick обязателен.</x:v>
      </x:c>
    </x:row>
    <x:row r="8" ht="36" customHeight="1">
      <x:c r="A8" s="35" t="str">
        <x:v>kangaroo_never_still</x:v>
      </x:c>
      <x:c r="B8" s="35" t="str">
        <x:v>kangaroo</x:v>
      </x:c>
      <x:c r="C8" s="38" t="str">
        <x:v>Всегда в движении</x:v>
      </x:c>
      <x:c r="D8" s="44" t="str">
        <x:v>OnVoluntaryDistanceMoved|OnTempoDecayStart</x:v>
      </x:c>
      <x:c r="E8" s="44" t="str">
        <x:v>voluntary_movement_only</x:v>
      </x:c>
      <x:c r="F8" s="35" t="str"/>
      <x:c r="G8" s="38" t="str">
        <x:v>TempoPerUnit</x:v>
      </x:c>
      <x:c r="H8" s="38" t="str">
        <x:v>Multiply</x:v>
      </x:c>
      <x:c r="I8" s="68" t="n">
        <x:v>1250</x:v>
      </x:c>
      <x:c r="J8" s="38" t="str">
        <x:v>DecayGraceTicks</x:v>
      </x:c>
      <x:c r="K8" s="38" t="str">
        <x:v>Add</x:v>
      </x:c>
      <x:c r="L8" s="68" t="n">
        <x:v>10</x:v>
      </x:c>
      <x:c r="M8" s="68" t="n">
        <x:v>0</x:v>
      </x:c>
      <x:c r="N8" s="68" t="n">
        <x:v>0</x:v>
      </x:c>
      <x:c r="O8" s="68" t="n">
        <x:v>1</x:v>
      </x:c>
      <x:c r="P8" s="68" t="n">
        <x:v>1</x:v>
      </x:c>
      <x:c r="Q8" s="68" t="n">
        <x:v>999</x:v>
      </x:c>
      <x:c r="R8" s="68" t="n">
        <x:v>0</x:v>
      </x:c>
      <x:c r="S8" s="68" t="n">
        <x:v>1100</x:v>
      </x:c>
      <x:c r="T8" s="44" t="str">
        <x:v>movement|resource</x:v>
      </x:c>
      <x:c r="U8" s="38" t="str">
        <x:v>Hypothesis</x:v>
      </x:c>
      <x:c r="V8" s="56" t="str">
        <x:f>IF(AND(A8&lt;&gt;"",B8&lt;&gt;"",P8&gt;=1,Q8&gt;=1,O8&gt;=1,S8&gt;=250,S8&lt;=3000),"OK","ERROR")</x:f>
        <x:v>OK</x:v>
      </x:c>
      <x:c r="W8" s="44" t="str">
        <x:v>Forced movement и separation correction не считаются.</x:v>
      </x:c>
    </x:row>
    <x:row r="9" ht="36" customHeight="1">
      <x:c r="A9" s="35" t="str">
        <x:v>kangaroo_clean_rhythm</x:v>
      </x:c>
      <x:c r="B9" s="35" t="str">
        <x:v>kangaroo</x:v>
      </x:c>
      <x:c r="C9" s="38" t="str">
        <x:v>Чистый ритм</x:v>
      </x:c>
      <x:c r="D9" s="44" t="str">
        <x:v>OnNewCategoryHit</x:v>
      </x:c>
      <x:c r="E9" s="44" t="str">
        <x:v>category_changed; internal_cooldown_ready</x:v>
      </x:c>
      <x:c r="F9" s="35" t="str">
        <x:v>effect_kangaroo_clean_rhythm</x:v>
      </x:c>
      <x:c r="G9" s="38" t="str">
        <x:v>Precision</x:v>
      </x:c>
      <x:c r="H9" s="38" t="str">
        <x:v>Add</x:v>
      </x:c>
      <x:c r="I9" s="68" t="n">
        <x:v>8</x:v>
      </x:c>
      <x:c r="J9" s="38" t="str">
        <x:v>ActionSpeed</x:v>
      </x:c>
      <x:c r="K9" s="38" t="str">
        <x:v>Add</x:v>
      </x:c>
      <x:c r="L9" s="68" t="n">
        <x:v>5</x:v>
      </x:c>
      <x:c r="M9" s="68" t="n">
        <x:v>20</x:v>
      </x:c>
      <x:c r="N9" s="68" t="n">
        <x:v>8</x:v>
      </x:c>
      <x:c r="O9" s="68" t="n">
        <x:v>3</x:v>
      </x:c>
      <x:c r="P9" s="68" t="n">
        <x:v>1</x:v>
      </x:c>
      <x:c r="Q9" s="68" t="n">
        <x:v>99</x:v>
      </x:c>
      <x:c r="R9" s="68" t="n">
        <x:v>60</x:v>
      </x:c>
      <x:c r="S9" s="68" t="n">
        <x:v>1100</x:v>
      </x:c>
      <x:c r="T9" s="44" t="str">
        <x:v>rhythm|resource|speed</x:v>
      </x:c>
      <x:c r="U9" s="38" t="str">
        <x:v>Hypothesis</x:v>
      </x:c>
      <x:c r="V9" s="56" t="str">
        <x:f>IF(AND(A9&lt;&gt;"",B9&lt;&gt;"",P9&gt;=1,Q9&gt;=1,O9&gt;=1,S9&gt;=250,S9&lt;=3000),"OK","ERROR")</x:f>
        <x:v>OK</x:v>
      </x:c>
      <x:c r="W9" s="44" t="str">
        <x:v>Multi-hit считается одной category opportunity; hard control сбрасывает.</x:v>
      </x:c>
    </x:row>
    <x:row r="10" ht="36" customHeight="1">
      <x:c r="A10" s="35" t="str">
        <x:v>gorilla_territorial_pressure</x:v>
      </x:c>
      <x:c r="B10" s="35" t="str">
        <x:v>gorilla</x:v>
      </x:c>
      <x:c r="C10" s="38" t="str">
        <x:v>Территориальное давление</x:v>
      </x:c>
      <x:c r="D10" s="44" t="str">
        <x:v>EndOfTick|OnDrivingShove</x:v>
      </x:c>
      <x:c r="E10" s="44" t="str">
        <x:v>opponent_in_wall_zone; engagement; not_hard_controlled</x:v>
      </x:c>
      <x:c r="F10" s="35" t="str">
        <x:v>effect_gorilla_wall_pressure</x:v>
      </x:c>
      <x:c r="G10" s="38" t="str">
        <x:v>WallActionWeight</x:v>
      </x:c>
      <x:c r="H10" s="38" t="str">
        <x:v>Multiply</x:v>
      </x:c>
      <x:c r="I10" s="68" t="n">
        <x:v>1250</x:v>
      </x:c>
      <x:c r="J10" s="38" t="str">
        <x:v>GripGain</x:v>
      </x:c>
      <x:c r="K10" s="38" t="str">
        <x:v>Add</x:v>
      </x:c>
      <x:c r="L10" s="68" t="n">
        <x:v>10</x:v>
      </x:c>
      <x:c r="M10" s="68" t="n">
        <x:v>10</x:v>
      </x:c>
      <x:c r="N10" s="68" t="n">
        <x:v>5</x:v>
      </x:c>
      <x:c r="O10" s="68" t="n">
        <x:v>1</x:v>
      </x:c>
      <x:c r="P10" s="68" t="n">
        <x:v>1</x:v>
      </x:c>
      <x:c r="Q10" s="68" t="n">
        <x:v>999</x:v>
      </x:c>
      <x:c r="R10" s="68" t="n">
        <x:v>10</x:v>
      </x:c>
      <x:c r="S10" s="68" t="n">
        <x:v>1250</x:v>
      </x:c>
      <x:c r="T10" s="44" t="str">
        <x:v>wall|resource|position</x:v>
      </x:c>
      <x:c r="U10" s="38" t="str">
        <x:v>Hypothesis</x:v>
      </x:c>
      <x:c r="V10" s="56" t="str">
        <x:f>IF(AND(A10&lt;&gt;"",B10&lt;&gt;"",P10&gt;=1,Q10&gt;=1,O10&gt;=1,S10&gt;=250,S10&lt;=3000),"OK","ERROR")</x:f>
        <x:v>OK</x:v>
      </x:c>
      <x:c r="W10" s="44" t="str">
        <x:v>Rate-limited; не начисляется вне engagement.</x:v>
      </x:c>
    </x:row>
    <x:row r="11" ht="36" customHeight="1">
      <x:c r="A11" s="36" t="str">
        <x:v>gorilla_iron_grip</x:v>
      </x:c>
      <x:c r="B11" s="36" t="str">
        <x:v>gorilla</x:v>
      </x:c>
      <x:c r="C11" s="39" t="str">
        <x:v>Железная хватка</x:v>
      </x:c>
      <x:c r="D11" s="45" t="str">
        <x:v>OnGrabStarted|OnGrabResolved</x:v>
      </x:c>
      <x:c r="E11" s="45" t="str">
        <x:v>grab_legal; once_per_lifecycle</x:v>
      </x:c>
      <x:c r="F11" s="36" t="str">
        <x:v>effect_gorilla_iron_grip</x:v>
      </x:c>
      <x:c r="G11" s="39" t="str">
        <x:v>GrabPriority</x:v>
      </x:c>
      <x:c r="H11" s="39" t="str">
        <x:v>Add</x:v>
      </x:c>
      <x:c r="I11" s="69" t="n">
        <x:v>8</x:v>
      </x:c>
      <x:c r="J11" s="39" t="str">
        <x:v>ControlPower</x:v>
      </x:c>
      <x:c r="K11" s="39" t="str">
        <x:v>Add</x:v>
      </x:c>
      <x:c r="L11" s="69" t="n">
        <x:v>12</x:v>
      </x:c>
      <x:c r="M11" s="69" t="n">
        <x:v>12</x:v>
      </x:c>
      <x:c r="N11" s="69" t="n">
        <x:v>15</x:v>
      </x:c>
      <x:c r="O11" s="69" t="n">
        <x:v>1</x:v>
      </x:c>
      <x:c r="P11" s="69" t="n">
        <x:v>1</x:v>
      </x:c>
      <x:c r="Q11" s="69" t="n">
        <x:v>99</x:v>
      </x:c>
      <x:c r="R11" s="69" t="n">
        <x:v>0</x:v>
      </x:c>
      <x:c r="S11" s="69" t="n">
        <x:v>1150</x:v>
      </x:c>
      <x:c r="T11" s="45" t="str">
        <x:v>grab|control</x:v>
      </x:c>
      <x:c r="U11" s="39" t="str">
        <x:v>Hypothesis</x:v>
      </x:c>
      <x:c r="V11" s="57" t="str">
        <x:f>IF(AND(A11&lt;&gt;"",B11&lt;&gt;"",P11&gt;=1,Q11&gt;=1,O11&gt;=1,S11&gt;=250,S11&lt;=3000),"OK","ERROR")</x:f>
        <x:v>OK</x:v>
      </x:c>
      <x:c r="W11" s="45" t="str">
        <x:v>Не изменяет MaxHoldTicks, GrabLockout или immunity.</x:v>
      </x:c>
    </x:row>
  </x:sheetData>
  <x:mergeCells>
    <x:mergeCell ref="A1:W1"/>
    <x:mergeCell ref="A2:W2"/>
    <x:mergeCell ref="A3:W3"/>
  </x:mergeCells>
  <x:conditionalFormatting sqref="V6:V11">
    <x:cfRule type="containsText" dxfId="15" priority="1" operator="containsText" text="ERROR"/>
    <x:cfRule type="containsText" dxfId="16" priority="2" operator="containsText" text="OK"/>
    <x:cfRule type="containsText" dxfId="17" priority="3" operator="containsText" text="PASS"/>
    <x:cfRule type="containsText" dxfId="18" priority="4" operator="containsText" text="REVIEW"/>
    <x:cfRule type="containsText" dxfId="19" priority="5" operator="containsText" text="PENDING"/>
  </x:conditionalFormatting>
  <x:dataValidations count="4">
    <x:dataValidation type="list" sqref="B6:B11">
      <x:formula1>"bear,kangaroo,gorilla"</x:formula1>
    </x:dataValidation>
    <x:dataValidation type="list" sqref="H6:H11">
      <x:formula1>"Add,Multiply,Override"</x:formula1>
    </x:dataValidation>
    <x:dataValidation type="list" sqref="K6:K11">
      <x:formula1>"Add,Multiply,Override"</x:formula1>
    </x:dataValidation>
    <x:dataValidation type="list" sqref="U6:U11">
      <x:formula1>"Hypothesis,Approved,Deprecated"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e6250b95db4cd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2" hidden="0" customWidth="1"/>
    <x:col min="4" max="4" width="18" hidden="0" customWidth="1"/>
    <x:col min="5" max="5" width="26" hidden="0" customWidth="1"/>
    <x:col min="6" max="6" width="16" hidden="0" customWidth="1"/>
    <x:col min="7" max="7" width="10" hidden="0" customWidth="1"/>
    <x:col min="8" max="8" width="16" hidden="0" customWidth="1"/>
    <x:col min="9" max="9" width="21" hidden="0" customWidth="1"/>
    <x:col min="10" max="10" width="13" hidden="0" customWidth="1"/>
    <x:col min="11" max="11" width="11" hidden="0" customWidth="1"/>
    <x:col min="12" max="12" width="21" hidden="0" customWidth="1"/>
    <x:col min="13" max="13" width="13" hidden="0" customWidth="1"/>
    <x:col min="14" max="14" width="11" hidden="0" customWidth="1"/>
    <x:col min="15" max="15" width="30" hidden="0" customWidth="1"/>
    <x:col min="16" max="16" width="16" hidden="0" customWidth="1"/>
    <x:col min="17" max="17" width="17" hidden="0" customWidth="1"/>
    <x:col min="18" max="18" width="16" hidden="0" customWidth="1"/>
    <x:col min="19" max="19" width="24" hidden="0" customWidth="1"/>
    <x:col min="20" max="20" width="13" hidden="0" customWidth="1"/>
    <x:col min="21" max="21" width="12" hidden="0" customWidth="1"/>
    <x:col min="22" max="22" width="48" hidden="0" customWidth="1"/>
  </x:cols>
  <x:sheetData>
    <x:row r="1" ht="30" customHeight="1">
      <x:c r="A1" s="3" t="str">
        <x:v>Effects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2" customHeight="1">
      <x:c r="A2" s="6" t="str">
        <x:v>Общие временные эффекты, stacking policies и anti-loop окна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</x:row>
    <x:row r="3" ht="32" customHeight="1">
      <x:c r="A3" s="10" t="str">
        <x:v>State Stunned/KnockedDown/Grabbed остаётся в машине состояний; здесь находятся только эффекты, модификаторы, immunity и lockout.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</x:row>
    <x:row r="5" ht="44" customHeight="1">
      <x:c r="A5" s="21" t="str">
        <x:v>Effect ID</x:v>
      </x:c>
      <x:c r="B5" s="22" t="str">
        <x:v>Display Name RU</x:v>
      </x:c>
      <x:c r="C5" s="22" t="str">
        <x:v>Duration Ticks</x:v>
      </x:c>
      <x:c r="D5" s="22" t="str">
        <x:v>Expiry Boundary</x:v>
      </x:c>
      <x:c r="E5" s="22" t="str">
        <x:v>Stack Group</x:v>
      </x:c>
      <x:c r="F5" s="22" t="str">
        <x:v>Stack Policy</x:v>
      </x:c>
      <x:c r="G5" s="22" t="str">
        <x:v>Stack Cap</x:v>
      </x:c>
      <x:c r="H5" s="22" t="str">
        <x:v>Compare Key</x:v>
      </x:c>
      <x:c r="I5" s="22" t="str">
        <x:v>Modifier Stat 1</x:v>
      </x:c>
      <x:c r="J5" s="22" t="str">
        <x:v>Operation 1</x:v>
      </x:c>
      <x:c r="K5" s="22" t="str">
        <x:v>Value 1</x:v>
      </x:c>
      <x:c r="L5" s="22" t="str">
        <x:v>Modifier Stat 2</x:v>
      </x:c>
      <x:c r="M5" s="22" t="str">
        <x:v>Operation 2</x:v>
      </x:c>
      <x:c r="N5" s="22" t="str">
        <x:v>Value 2</x:v>
      </x:c>
      <x:c r="O5" s="22" t="str">
        <x:v>Tags</x:v>
      </x:c>
      <x:c r="P5" s="22" t="str">
        <x:v>Max Activations / Tick</x:v>
      </x:c>
      <x:c r="Q5" s="22" t="str">
        <x:v>Max Activations / Battle</x:v>
      </x:c>
      <x:c r="R5" s="22" t="str">
        <x:v>Internal Cooldown Ticks</x:v>
      </x:c>
      <x:c r="S5" s="22" t="str">
        <x:v>Lookup Profile</x:v>
      </x:c>
      <x:c r="T5" s="22" t="str">
        <x:v>Status</x:v>
      </x:c>
      <x:c r="U5" s="22" t="str">
        <x:v>Validation</x:v>
      </x:c>
      <x:c r="V5" s="23" t="str">
        <x:v>Notes RU</x:v>
      </x:c>
    </x:row>
    <x:row r="6" ht="36" customHeight="1">
      <x:c r="A6" s="34" t="str">
        <x:v>effect_bear_thick_hide</x:v>
      </x:c>
      <x:c r="B6" s="37" t="str">
        <x:v>Толстая шкура: усиление</x:v>
      </x:c>
      <x:c r="C6" s="67" t="n">
        <x:v>25</x:v>
      </x:c>
      <x:c r="D6" s="37" t="str">
        <x:v>ExpireAfterTick</x:v>
      </x:c>
      <x:c r="E6" s="34" t="str">
        <x:v>bear_thick_hide</x:v>
      </x:c>
      <x:c r="F6" s="37" t="str">
        <x:v>StrongestWins</x:v>
      </x:c>
      <x:c r="G6" s="67" t="n">
        <x:v>1</x:v>
      </x:c>
      <x:c r="H6" s="37" t="str">
        <x:v>Value1</x:v>
      </x:c>
      <x:c r="I6" s="37" t="str">
        <x:v>Armor</x:v>
      </x:c>
      <x:c r="J6" s="37" t="str">
        <x:v>Multiply</x:v>
      </x:c>
      <x:c r="K6" s="67" t="n">
        <x:v>1150</x:v>
      </x:c>
      <x:c r="L6" s="37" t="str">
        <x:v>ControlResistance</x:v>
      </x:c>
      <x:c r="M6" s="37" t="str">
        <x:v>Multiply</x:v>
      </x:c>
      <x:c r="N6" s="67" t="n">
        <x:v>1150</x:v>
      </x:c>
      <x:c r="O6" s="43" t="str">
        <x:v>buff|defense</x:v>
      </x:c>
      <x:c r="P6" s="67" t="n">
        <x:v>1</x:v>
      </x:c>
      <x:c r="Q6" s="67" t="n">
        <x:v>99</x:v>
      </x:c>
      <x:c r="R6" s="67" t="n">
        <x:v>50</x:v>
      </x:c>
      <x:c r="S6" s="37" t="str"/>
      <x:c r="T6" s="37" t="str">
        <x:v>Hypothesis</x:v>
      </x:c>
      <x:c r="U6" s="55" t="str">
        <x:f>IF(AND(A6&lt;&gt;"",C6&gt;=0,G6&gt;=1,P6&gt;=1,Q6&gt;=1),"OK","ERROR")</x:f>
        <x:v>OK</x:v>
      </x:c>
      <x:c r="V6" s="43" t="str">
        <x:v>Источник — passive.bear_thick_hide.</x:v>
      </x:c>
    </x:row>
    <x:row r="7" ht="36" customHeight="1">
      <x:c r="A7" s="35" t="str">
        <x:v>effect_kangaroo_clean_rhythm</x:v>
      </x:c>
      <x:c r="B7" s="38" t="str">
        <x:v>Чистый ритм</x:v>
      </x:c>
      <x:c r="C7" s="68" t="n">
        <x:v>20</x:v>
      </x:c>
      <x:c r="D7" s="38" t="str">
        <x:v>ExpireAfterTick</x:v>
      </x:c>
      <x:c r="E7" s="35" t="str">
        <x:v>kangaroo_clean_rhythm</x:v>
      </x:c>
      <x:c r="F7" s="38" t="str">
        <x:v>AddStacks</x:v>
      </x:c>
      <x:c r="G7" s="68" t="n">
        <x:v>3</x:v>
      </x:c>
      <x:c r="H7" s="38" t="str">
        <x:v>StackCount</x:v>
      </x:c>
      <x:c r="I7" s="38" t="str">
        <x:v>Precision</x:v>
      </x:c>
      <x:c r="J7" s="38" t="str">
        <x:v>Add</x:v>
      </x:c>
      <x:c r="K7" s="68" t="n">
        <x:v>8</x:v>
      </x:c>
      <x:c r="L7" s="38" t="str">
        <x:v>ActionSpeed</x:v>
      </x:c>
      <x:c r="M7" s="38" t="str">
        <x:v>Add</x:v>
      </x:c>
      <x:c r="N7" s="68" t="n">
        <x:v>5</x:v>
      </x:c>
      <x:c r="O7" s="44" t="str">
        <x:v>buff|rhythm|speed</x:v>
      </x:c>
      <x:c r="P7" s="68" t="n">
        <x:v>1</x:v>
      </x:c>
      <x:c r="Q7" s="68" t="n">
        <x:v>99</x:v>
      </x:c>
      <x:c r="R7" s="68" t="n">
        <x:v>8</x:v>
      </x:c>
      <x:c r="S7" s="38" t="str"/>
      <x:c r="T7" s="38" t="str">
        <x:v>Hypothesis</x:v>
      </x:c>
      <x:c r="U7" s="56" t="str">
        <x:f>IF(AND(A7&lt;&gt;"",C7&gt;=0,G7&gt;=1,P7&gt;=1,Q7&gt;=1),"OK","ERROR")</x:f>
        <x:v>OK</x:v>
      </x:c>
      <x:c r="V7" s="44" t="str">
        <x:v>Сброс при repeat category или hard control.</x:v>
      </x:c>
    </x:row>
    <x:row r="8" ht="36" customHeight="1">
      <x:c r="A8" s="35" t="str">
        <x:v>effect_gorilla_wall_pressure</x:v>
      </x:c>
      <x:c r="B8" s="38" t="str">
        <x:v>Территориальное давление</x:v>
      </x:c>
      <x:c r="C8" s="68" t="n">
        <x:v>10</x:v>
      </x:c>
      <x:c r="D8" s="38" t="str">
        <x:v>ExpireAfterTick</x:v>
      </x:c>
      <x:c r="E8" s="35" t="str">
        <x:v>gorilla_wall_pressure</x:v>
      </x:c>
      <x:c r="F8" s="38" t="str">
        <x:v>Refresh</x:v>
      </x:c>
      <x:c r="G8" s="68" t="n">
        <x:v>1</x:v>
      </x:c>
      <x:c r="H8" s="38" t="str">
        <x:v>DurationTicks</x:v>
      </x:c>
      <x:c r="I8" s="38" t="str">
        <x:v>WallActionWeight</x:v>
      </x:c>
      <x:c r="J8" s="38" t="str">
        <x:v>Multiply</x:v>
      </x:c>
      <x:c r="K8" s="68" t="n">
        <x:v>1250</x:v>
      </x:c>
      <x:c r="L8" s="38" t="str">
        <x:v>GripGain</x:v>
      </x:c>
      <x:c r="M8" s="38" t="str">
        <x:v>Add</x:v>
      </x:c>
      <x:c r="N8" s="68" t="n">
        <x:v>10</x:v>
      </x:c>
      <x:c r="O8" s="44" t="str">
        <x:v>buff|wall|resource</x:v>
      </x:c>
      <x:c r="P8" s="68" t="n">
        <x:v>1</x:v>
      </x:c>
      <x:c r="Q8" s="68" t="n">
        <x:v>999</x:v>
      </x:c>
      <x:c r="R8" s="68" t="n">
        <x:v>5</x:v>
      </x:c>
      <x:c r="S8" s="38" t="str"/>
      <x:c r="T8" s="38" t="str">
        <x:v>Hypothesis</x:v>
      </x:c>
      <x:c r="U8" s="56" t="str">
        <x:f>IF(AND(A8&lt;&gt;"",C8&gt;=0,G8&gt;=1,P8&gt;=1,Q8&gt;=1),"OK","ERROR")</x:f>
        <x:v>OK</x:v>
      </x:c>
      <x:c r="V8" s="44" t="str">
        <x:v>Действует только пока соблюдены wall/engagement conditions.</x:v>
      </x:c>
    </x:row>
    <x:row r="9" ht="36" customHeight="1">
      <x:c r="A9" s="35" t="str">
        <x:v>effect_gorilla_iron_grip</x:v>
      </x:c>
      <x:c r="B9" s="38" t="str">
        <x:v>Железная хватка</x:v>
      </x:c>
      <x:c r="C9" s="68" t="n">
        <x:v>12</x:v>
      </x:c>
      <x:c r="D9" s="38" t="str">
        <x:v>ExpireAfterTick</x:v>
      </x:c>
      <x:c r="E9" s="35" t="str">
        <x:v>gorilla_iron_grip</x:v>
      </x:c>
      <x:c r="F9" s="38" t="str">
        <x:v>Refresh</x:v>
      </x:c>
      <x:c r="G9" s="68" t="n">
        <x:v>1</x:v>
      </x:c>
      <x:c r="H9" s="38" t="str">
        <x:v>DurationTicks</x:v>
      </x:c>
      <x:c r="I9" s="38" t="str">
        <x:v>GrabPriority</x:v>
      </x:c>
      <x:c r="J9" s="38" t="str">
        <x:v>Add</x:v>
      </x:c>
      <x:c r="K9" s="68" t="n">
        <x:v>8</x:v>
      </x:c>
      <x:c r="L9" s="38" t="str">
        <x:v>ControlPower</x:v>
      </x:c>
      <x:c r="M9" s="38" t="str">
        <x:v>Add</x:v>
      </x:c>
      <x:c r="N9" s="68" t="n">
        <x:v>12</x:v>
      </x:c>
      <x:c r="O9" s="44" t="str">
        <x:v>buff|grab|control</x:v>
      </x:c>
      <x:c r="P9" s="68" t="n">
        <x:v>1</x:v>
      </x:c>
      <x:c r="Q9" s="68" t="n">
        <x:v>99</x:v>
      </x:c>
      <x:c r="R9" s="68" t="n">
        <x:v>15</x:v>
      </x:c>
      <x:c r="S9" s="38" t="str"/>
      <x:c r="T9" s="38" t="str">
        <x:v>Hypothesis</x:v>
      </x:c>
      <x:c r="U9" s="56" t="str">
        <x:f>IF(AND(A9&lt;&gt;"",C9&gt;=0,G9&gt;=1,P9&gt;=1,Q9&gt;=1),"OK","ERROR")</x:f>
        <x:v>OK</x:v>
      </x:c>
      <x:c r="V9" s="44" t="str">
        <x:v>Не изменяет anti-loop limits.</x:v>
      </x:c>
    </x:row>
    <x:row r="10" ht="36" customHeight="1">
      <x:c r="A10" s="35" t="str">
        <x:v>effect_guard_broken</x:v>
      </x:c>
      <x:c r="B10" s="38" t="str">
        <x:v>Защита сломана</x:v>
      </x:c>
      <x:c r="C10" s="68" t="n">
        <x:v>15</x:v>
      </x:c>
      <x:c r="D10" s="38" t="str">
        <x:v>ExpireAfterTick</x:v>
      </x:c>
      <x:c r="E10" s="35" t="str">
        <x:v>guard_broken</x:v>
      </x:c>
      <x:c r="F10" s="38" t="str">
        <x:v>Refresh</x:v>
      </x:c>
      <x:c r="G10" s="68" t="n">
        <x:v>1</x:v>
      </x:c>
      <x:c r="H10" s="38" t="str">
        <x:v>DurationTicks</x:v>
      </x:c>
      <x:c r="I10" s="38" t="str">
        <x:v>Guard</x:v>
      </x:c>
      <x:c r="J10" s="38" t="str">
        <x:v>Add</x:v>
      </x:c>
      <x:c r="K10" s="68" t="n">
        <x:v>-30</x:v>
      </x:c>
      <x:c r="L10" s="38" t="str">
        <x:v>BlockWeight</x:v>
      </x:c>
      <x:c r="M10" s="38" t="str">
        <x:v>Multiply</x:v>
      </x:c>
      <x:c r="N10" s="68" t="n">
        <x:v>650</x:v>
      </x:c>
      <x:c r="O10" s="44" t="str">
        <x:v>debuff|guard_break|exposed</x:v>
      </x:c>
      <x:c r="P10" s="68" t="n">
        <x:v>1</x:v>
      </x:c>
      <x:c r="Q10" s="68" t="n">
        <x:v>99</x:v>
      </x:c>
      <x:c r="R10" s="68" t="n">
        <x:v>0</x:v>
      </x:c>
      <x:c r="S10" s="38" t="str"/>
      <x:c r="T10" s="38" t="str">
        <x:v>Hypothesis</x:v>
      </x:c>
      <x:c r="U10" s="56" t="str">
        <x:f>IF(AND(A10&lt;&gt;"",C10&gt;=0,G10&gt;=1,P10&gt;=1,Q10&gt;=1),"OK","ERROR")</x:f>
        <x:v>OK</x:v>
      </x:c>
      <x:c r="V10" s="44" t="str">
        <x:v>Не отключает Block полностью.</x:v>
      </x:c>
    </x:row>
    <x:row r="11" ht="36" customHeight="1">
      <x:c r="A11" s="35" t="str">
        <x:v>effect_exposed</x:v>
      </x:c>
      <x:c r="B11" s="38" t="str">
        <x:v>Открыт для наказания</x:v>
      </x:c>
      <x:c r="C11" s="68" t="n">
        <x:v>12</x:v>
      </x:c>
      <x:c r="D11" s="38" t="str">
        <x:v>ExpireAfterTick</x:v>
      </x:c>
      <x:c r="E11" s="35" t="str">
        <x:v>exposed</x:v>
      </x:c>
      <x:c r="F11" s="38" t="str">
        <x:v>Refresh</x:v>
      </x:c>
      <x:c r="G11" s="68" t="n">
        <x:v>1</x:v>
      </x:c>
      <x:c r="H11" s="38" t="str">
        <x:v>DurationTicks</x:v>
      </x:c>
      <x:c r="I11" s="38" t="str">
        <x:v>DamageTaken</x:v>
      </x:c>
      <x:c r="J11" s="38" t="str">
        <x:v>Multiply</x:v>
      </x:c>
      <x:c r="K11" s="68" t="n">
        <x:v>1250</x:v>
      </x:c>
      <x:c r="L11" s="38" t="str">
        <x:v>PunishWeight</x:v>
      </x:c>
      <x:c r="M11" s="38" t="str">
        <x:v>Multiply</x:v>
      </x:c>
      <x:c r="N11" s="68" t="n">
        <x:v>1400</x:v>
      </x:c>
      <x:c r="O11" s="44" t="str">
        <x:v>debuff|exposed|punish</x:v>
      </x:c>
      <x:c r="P11" s="68" t="n">
        <x:v>1</x:v>
      </x:c>
      <x:c r="Q11" s="68" t="n">
        <x:v>99</x:v>
      </x:c>
      <x:c r="R11" s="68" t="n">
        <x:v>0</x:v>
      </x:c>
      <x:c r="S11" s="38" t="str"/>
      <x:c r="T11" s="38" t="str">
        <x:v>Hypothesis</x:v>
      </x:c>
      <x:c r="U11" s="56" t="str">
        <x:f>IF(AND(A11&lt;&gt;"",C11&gt;=0,G11&gt;=1,P11&gt;=1,Q11&gt;=1),"OK","ERROR")</x:f>
        <x:v>OK</x:v>
      </x:c>
      <x:c r="V11" s="44" t="str">
        <x:v>Все усиления объясняются reason code Exposed.</x:v>
      </x:c>
    </x:row>
    <x:row r="12" ht="36" customHeight="1">
      <x:c r="A12" s="35" t="str">
        <x:v>effect_control_fatigue</x:v>
      </x:c>
      <x:c r="B12" s="38" t="str">
        <x:v>Усталость от контроля</x:v>
      </x:c>
      <x:c r="C12" s="68" t="n">
        <x:v>100</x:v>
      </x:c>
      <x:c r="D12" s="38" t="str">
        <x:v>ExpireAfterTick</x:v>
      </x:c>
      <x:c r="E12" s="35" t="str">
        <x:v>control_fatigue</x:v>
      </x:c>
      <x:c r="F12" s="38" t="str">
        <x:v>AddStacks</x:v>
      </x:c>
      <x:c r="G12" s="68" t="n">
        <x:v>3</x:v>
      </x:c>
      <x:c r="H12" s="38" t="str">
        <x:v>StackCount</x:v>
      </x:c>
      <x:c r="I12" s="38" t="str">
        <x:v>HardControlDuration</x:v>
      </x:c>
      <x:c r="J12" s="38" t="str">
        <x:v>Multiply</x:v>
      </x:c>
      <x:c r="K12" s="68" t="n">
        <x:v>1000</x:v>
      </x:c>
      <x:c r="L12" s="38" t="str"/>
      <x:c r="M12" s="38" t="str">
        <x:v>Override</x:v>
      </x:c>
      <x:c r="N12" s="68" t="n">
        <x:v>0</x:v>
      </x:c>
      <x:c r="O12" s="44" t="str">
        <x:v>debuff|hard_control|anti_loop</x:v>
      </x:c>
      <x:c r="P12" s="68" t="n">
        <x:v>1</x:v>
      </x:c>
      <x:c r="Q12" s="68" t="n">
        <x:v>999</x:v>
      </x:c>
      <x:c r="R12" s="68" t="n">
        <x:v>0</x:v>
      </x:c>
      <x:c r="S12" s="38" t="str">
        <x:v>1000|750|500|250</x:v>
      </x:c>
      <x:c r="T12" s="38" t="str">
        <x:v>Hypothesis</x:v>
      </x:c>
      <x:c r="U12" s="56" t="str">
        <x:f>IF(AND(A12&lt;&gt;"",C12&gt;=0,G12&gt;=1,P12&gt;=1,Q12&gt;=1),"OK","ERROR")</x:f>
        <x:v>OK</x:v>
      </x:c>
      <x:c r="V12" s="44" t="str">
        <x:v>При stack 3 создаёт ControlImmunity.</x:v>
      </x:c>
    </x:row>
    <x:row r="13" ht="36" customHeight="1">
      <x:c r="A13" s="35" t="str">
        <x:v>effect_control_immunity</x:v>
      </x:c>
      <x:c r="B13" s="38" t="str">
        <x:v>Иммунитет к контролю</x:v>
      </x:c>
      <x:c r="C13" s="68" t="n">
        <x:v>25</x:v>
      </x:c>
      <x:c r="D13" s="38" t="str">
        <x:v>ExpireAfterTick</x:v>
      </x:c>
      <x:c r="E13" s="35" t="str">
        <x:v>control_immunity</x:v>
      </x:c>
      <x:c r="F13" s="38" t="str">
        <x:v>Reject</x:v>
      </x:c>
      <x:c r="G13" s="68" t="n">
        <x:v>1</x:v>
      </x:c>
      <x:c r="H13" s="38" t="str">
        <x:v>DurationTicks</x:v>
      </x:c>
      <x:c r="I13" s="38" t="str">
        <x:v>HardControlAllowed</x:v>
      </x:c>
      <x:c r="J13" s="38" t="str">
        <x:v>Override</x:v>
      </x:c>
      <x:c r="K13" s="68" t="n">
        <x:v>0</x:v>
      </x:c>
      <x:c r="L13" s="38" t="str"/>
      <x:c r="M13" s="38" t="str">
        <x:v>Override</x:v>
      </x:c>
      <x:c r="N13" s="68" t="n">
        <x:v>0</x:v>
      </x:c>
      <x:c r="O13" s="44" t="str">
        <x:v>buff|immunity|anti_loop</x:v>
      </x:c>
      <x:c r="P13" s="68" t="n">
        <x:v>1</x:v>
      </x:c>
      <x:c r="Q13" s="68" t="n">
        <x:v>999</x:v>
      </x:c>
      <x:c r="R13" s="68" t="n">
        <x:v>0</x:v>
      </x:c>
      <x:c r="S13" s="38" t="str"/>
      <x:c r="T13" s="38" t="str">
        <x:v>Hypothesis</x:v>
      </x:c>
      <x:c r="U13" s="56" t="str">
        <x:f>IF(AND(A13&lt;&gt;"",C13&gt;=0,G13&gt;=1,P13&gt;=1,Q13&gt;=1),"OK","ERROR")</x:f>
        <x:v>OK</x:v>
      </x:c>
      <x:c r="V13" s="44" t="str">
        <x:v>Новый hard control не refresh-ит immunity.</x:v>
      </x:c>
    </x:row>
    <x:row r="14" ht="36" customHeight="1">
      <x:c r="A14" s="35" t="str">
        <x:v>effect_grab_lockout</x:v>
      </x:c>
      <x:c r="B14" s="38" t="str">
        <x:v>Запрет повторного захвата</x:v>
      </x:c>
      <x:c r="C14" s="68" t="n">
        <x:v>20</x:v>
      </x:c>
      <x:c r="D14" s="38" t="str">
        <x:v>ExpireAfterTick</x:v>
      </x:c>
      <x:c r="E14" s="35" t="str">
        <x:v>grab_lockout</x:v>
      </x:c>
      <x:c r="F14" s="38" t="str">
        <x:v>Reject</x:v>
      </x:c>
      <x:c r="G14" s="68" t="n">
        <x:v>1</x:v>
      </x:c>
      <x:c r="H14" s="38" t="str">
        <x:v>DurationTicks</x:v>
      </x:c>
      <x:c r="I14" s="38" t="str">
        <x:v>GrabAllowed</x:v>
      </x:c>
      <x:c r="J14" s="38" t="str">
        <x:v>Override</x:v>
      </x:c>
      <x:c r="K14" s="68" t="n">
        <x:v>0</x:v>
      </x:c>
      <x:c r="L14" s="38" t="str"/>
      <x:c r="M14" s="38" t="str">
        <x:v>Override</x:v>
      </x:c>
      <x:c r="N14" s="68" t="n">
        <x:v>0</x:v>
      </x:c>
      <x:c r="O14" s="44" t="str">
        <x:v>debuff|grab|anti_loop</x:v>
      </x:c>
      <x:c r="P14" s="68" t="n">
        <x:v>1</x:v>
      </x:c>
      <x:c r="Q14" s="68" t="n">
        <x:v>999</x:v>
      </x:c>
      <x:c r="R14" s="68" t="n">
        <x:v>0</x:v>
      </x:c>
      <x:c r="S14" s="38" t="str"/>
      <x:c r="T14" s="38" t="str">
        <x:v>Hypothesis</x:v>
      </x:c>
      <x:c r="U14" s="56" t="str">
        <x:f>IF(AND(A14&lt;&gt;"",C14&gt;=0,G14&gt;=1,P14&gt;=1,Q14&gt;=1),"OK","ERROR")</x:f>
        <x:v>OK</x:v>
      </x:c>
      <x:c r="V14" s="44" t="str">
        <x:v>Блокирует любой новый grab до окончания.</x:v>
      </x:c>
    </x:row>
    <x:row r="15" ht="36" customHeight="1">
      <x:c r="A15" s="36" t="str">
        <x:v>effect_wakeup_immunity</x:v>
      </x:c>
      <x:c r="B15" s="39" t="str">
        <x:v>Защита после падения</x:v>
      </x:c>
      <x:c r="C15" s="69" t="n">
        <x:v>25</x:v>
      </x:c>
      <x:c r="D15" s="39" t="str">
        <x:v>ExpireAfterTick</x:v>
      </x:c>
      <x:c r="E15" s="36" t="str">
        <x:v>wakeup_immunity</x:v>
      </x:c>
      <x:c r="F15" s="39" t="str">
        <x:v>Reject</x:v>
      </x:c>
      <x:c r="G15" s="69" t="n">
        <x:v>1</x:v>
      </x:c>
      <x:c r="H15" s="39" t="str">
        <x:v>DurationTicks</x:v>
      </x:c>
      <x:c r="I15" s="39" t="str">
        <x:v>KnockdownAllowed</x:v>
      </x:c>
      <x:c r="J15" s="39" t="str">
        <x:v>Override</x:v>
      </x:c>
      <x:c r="K15" s="69" t="n">
        <x:v>0</x:v>
      </x:c>
      <x:c r="L15" s="39" t="str"/>
      <x:c r="M15" s="39" t="str">
        <x:v>Override</x:v>
      </x:c>
      <x:c r="N15" s="69" t="n">
        <x:v>0</x:v>
      </x:c>
      <x:c r="O15" s="45" t="str">
        <x:v>buff|knockdown|anti_loop</x:v>
      </x:c>
      <x:c r="P15" s="69" t="n">
        <x:v>1</x:v>
      </x:c>
      <x:c r="Q15" s="69" t="n">
        <x:v>999</x:v>
      </x:c>
      <x:c r="R15" s="69" t="n">
        <x:v>0</x:v>
      </x:c>
      <x:c r="S15" s="39" t="str"/>
      <x:c r="T15" s="39" t="str">
        <x:v>Hypothesis</x:v>
      </x:c>
      <x:c r="U15" s="57" t="str">
        <x:f>IF(AND(A15&lt;&gt;"",C15&gt;=0,G15&gt;=1,P15&gt;=1,Q15&gt;=1),"OK","ERROR")</x:f>
        <x:v>OK</x:v>
      </x:c>
      <x:c r="V15" s="45" t="str">
        <x:v>GroundHit damage разрешён, новый KnockedDown — нет.</x:v>
      </x:c>
    </x:row>
  </x:sheetData>
  <x:mergeCells>
    <x:mergeCell ref="A1:V1"/>
    <x:mergeCell ref="A2:V2"/>
    <x:mergeCell ref="A3:V3"/>
  </x:mergeCells>
  <x:conditionalFormatting sqref="U6:U15">
    <x:cfRule type="containsText" dxfId="20" priority="1" operator="containsText" text="ERROR"/>
    <x:cfRule type="containsText" dxfId="21" priority="2" operator="containsText" text="OK"/>
    <x:cfRule type="containsText" dxfId="22" priority="3" operator="containsText" text="PASS"/>
    <x:cfRule type="containsText" dxfId="23" priority="4" operator="containsText" text="REVIEW"/>
    <x:cfRule type="containsText" dxfId="24" priority="5" operator="containsText" text="PENDING"/>
  </x:conditionalFormatting>
  <x:dataValidations count="5">
    <x:dataValidation type="list" sqref="D6:D15">
      <x:formula1>"ExpireBeforeTick,ExpireAfterTick"</x:formula1>
    </x:dataValidation>
    <x:dataValidation type="list" sqref="F6:F15">
      <x:formula1>"Reject,Refresh,Replace,StrongestWins,AddStacks"</x:formula1>
    </x:dataValidation>
    <x:dataValidation type="list" sqref="J6:J15">
      <x:formula1>"Add,Multiply,Override"</x:formula1>
    </x:dataValidation>
    <x:dataValidation type="list" sqref="M6:M15">
      <x:formula1>"Add,Multiply,Override"</x:formula1>
    </x:dataValidation>
    <x:dataValidation type="list" sqref="T6:T15">
      <x:formula1>"Hypothesis,Approved,Deprecated"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4ae0e99320462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11" hidden="0" customWidth="1"/>
    <x:col min="4" max="4" width="11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1" hidden="0" customWidth="1"/>
    <x:col min="10" max="10" width="10" hidden="0" customWidth="1"/>
    <x:col min="11" max="11" width="12" hidden="0" customWidth="1"/>
    <x:col min="12" max="12" width="16" hidden="0" customWidth="1"/>
    <x:col min="13" max="13" width="16" hidden="0" customWidth="1"/>
    <x:col min="14" max="14" width="15" hidden="0" customWidth="1"/>
    <x:col min="15" max="15" width="13" hidden="0" customWidth="1"/>
    <x:col min="16" max="16" width="12" hidden="0" customWidth="1"/>
    <x:col min="17" max="17" width="10" hidden="0" customWidth="1"/>
    <x:col min="18" max="18" width="16" hidden="0" customWidth="1"/>
    <x:col min="19" max="19" width="14" hidden="0" customWidth="1"/>
    <x:col min="20" max="20" width="52" hidden="0" customWidth="1"/>
    <x:col min="21" max="21" width="13" hidden="0" customWidth="1"/>
    <x:col min="22" max="22" width="12" hidden="0" customWidth="1"/>
  </x:cols>
  <x:sheetData>
    <x:row r="1" ht="30" customHeight="1">
      <x:c r="A1" s="3" t="str">
        <x:v>Tactics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2" customHeight="1">
      <x:c r="A2" s="6" t="str">
        <x:v>Четыре универсальные тактики как множители тегов и ситуаций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</x:row>
    <x:row r="3" ht="32" customHeight="1">
      <x:c r="A3" s="10" t="str">
        <x:v>Тактика меняет только веса выбора и perception delay; скрытых бонусов урона против AnimalId нет.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</x:row>
    <x:row r="5" ht="44" customHeight="1">
      <x:c r="A5" s="21" t="str">
        <x:v>Tactic ID</x:v>
      </x:c>
      <x:c r="B5" s="22" t="str">
        <x:v>Display Name RU</x:v>
      </x:c>
      <x:c r="C5" s="22" t="str">
        <x:v>Approach FP</x:v>
      </x:c>
      <x:c r="D5" s="22" t="str">
        <x:v>Retreat FP</x:v>
      </x:c>
      <x:c r="E5" s="22" t="str">
        <x:v>Light FP</x:v>
      </x:c>
      <x:c r="F5" s="22" t="str">
        <x:v>Heavy FP</x:v>
      </x:c>
      <x:c r="G5" s="22" t="str">
        <x:v>Block FP</x:v>
      </x:c>
      <x:c r="H5" s="22" t="str">
        <x:v>Dodge FP</x:v>
      </x:c>
      <x:c r="I5" s="22" t="str">
        <x:v>Counter FP</x:v>
      </x:c>
      <x:c r="J5" s="22" t="str">
        <x:v>Grab FP</x:v>
      </x:c>
      <x:c r="K5" s="22" t="str">
        <x:v>Signature FP</x:v>
      </x:c>
      <x:c r="L5" s="22" t="str">
        <x:v>Resource Generator FP</x:v>
      </x:c>
      <x:c r="M5" s="22" t="str">
        <x:v>Resource Spender FP</x:v>
      </x:c>
      <x:c r="N5" s="22" t="str">
        <x:v>Target Recovery FP</x:v>
      </x:c>
      <x:c r="O5" s="22" t="str">
        <x:v>Target Wall FP</x:v>
      </x:c>
      <x:c r="P5" s="22" t="str">
        <x:v>Self Wall FP</x:v>
      </x:c>
      <x:c r="Q5" s="22" t="str">
        <x:v>Low HP FP</x:v>
      </x:c>
      <x:c r="R5" s="22" t="str">
        <x:v>Perception Delay Ticks</x:v>
      </x:c>
      <x:c r="S5" s="22" t="str">
        <x:v>Repeat Penalty FP</x:v>
      </x:c>
      <x:c r="T5" s="22" t="str">
        <x:v>Notes RU</x:v>
      </x:c>
      <x:c r="U5" s="22" t="str">
        <x:v>Status</x:v>
      </x:c>
      <x:c r="V5" s="23" t="str">
        <x:v>Validation</x:v>
      </x:c>
    </x:row>
    <x:row r="6" ht="36" customHeight="1">
      <x:c r="A6" s="34" t="str">
        <x:v>tactic_pressure</x:v>
      </x:c>
      <x:c r="B6" s="37" t="str">
        <x:v>Давление</x:v>
      </x:c>
      <x:c r="C6" s="67" t="n">
        <x:v>1250</x:v>
      </x:c>
      <x:c r="D6" s="67" t="n">
        <x:v>750</x:v>
      </x:c>
      <x:c r="E6" s="67" t="n">
        <x:v>1150</x:v>
      </x:c>
      <x:c r="F6" s="67" t="n">
        <x:v>1100</x:v>
      </x:c>
      <x:c r="G6" s="67" t="n">
        <x:v>850</x:v>
      </x:c>
      <x:c r="H6" s="67" t="n">
        <x:v>850</x:v>
      </x:c>
      <x:c r="I6" s="67" t="n">
        <x:v>800</x:v>
      </x:c>
      <x:c r="J6" s="67" t="n">
        <x:v>1100</x:v>
      </x:c>
      <x:c r="K6" s="67" t="n">
        <x:v>1050</x:v>
      </x:c>
      <x:c r="L6" s="67" t="n">
        <x:v>1000</x:v>
      </x:c>
      <x:c r="M6" s="67" t="n">
        <x:v>1150</x:v>
      </x:c>
      <x:c r="N6" s="67" t="n">
        <x:v>1200</x:v>
      </x:c>
      <x:c r="O6" s="67" t="n">
        <x:v>1150</x:v>
      </x:c>
      <x:c r="P6" s="67" t="n">
        <x:v>900</x:v>
      </x:c>
      <x:c r="Q6" s="67" t="n">
        <x:v>1000</x:v>
      </x:c>
      <x:c r="R6" s="67" t="n">
        <x:v>5</x:v>
      </x:c>
      <x:c r="S6" s="67" t="n">
        <x:v>850</x:v>
      </x:c>
      <x:c r="T6" s="43" t="str">
        <x:v>Сближается и раньше тратит энергию; уязвима к counter и стене.</x:v>
      </x:c>
      <x:c r="U6" s="37" t="str">
        <x:v>Hypothesis</x:v>
      </x:c>
      <x:c r="V6" s="55" t="str">
        <x:f>IF(AND(A6&lt;&gt;"",C6&gt;=250,C6&lt;=3000,D6&gt;=250,D6&lt;=3000,K6&gt;=250,K6&lt;=3000,R6&gt;=1,S6&gt;=250,S6&lt;=1000),"OK","ERROR")</x:f>
        <x:v>OK</x:v>
      </x:c>
    </x:row>
    <x:row r="7" ht="36" customHeight="1">
      <x:c r="A7" s="35" t="str">
        <x:v>tactic_counter</x:v>
      </x:c>
      <x:c r="B7" s="38" t="str">
        <x:v>Ответная игра</x:v>
      </x:c>
      <x:c r="C7" s="68" t="n">
        <x:v>850</x:v>
      </x:c>
      <x:c r="D7" s="68" t="n">
        <x:v>1100</x:v>
      </x:c>
      <x:c r="E7" s="68" t="n">
        <x:v>900</x:v>
      </x:c>
      <x:c r="F7" s="68" t="n">
        <x:v>900</x:v>
      </x:c>
      <x:c r="G7" s="68" t="n">
        <x:v>1350</x:v>
      </x:c>
      <x:c r="H7" s="68" t="n">
        <x:v>1300</x:v>
      </x:c>
      <x:c r="I7" s="68" t="n">
        <x:v>1450</x:v>
      </x:c>
      <x:c r="J7" s="68" t="n">
        <x:v>1050</x:v>
      </x:c>
      <x:c r="K7" s="68" t="n">
        <x:v>950</x:v>
      </x:c>
      <x:c r="L7" s="68" t="n">
        <x:v>1050</x:v>
      </x:c>
      <x:c r="M7" s="68" t="n">
        <x:v>850</x:v>
      </x:c>
      <x:c r="N7" s="68" t="n">
        <x:v>1400</x:v>
      </x:c>
      <x:c r="O7" s="68" t="n">
        <x:v>900</x:v>
      </x:c>
      <x:c r="P7" s="68" t="n">
        <x:v>1050</x:v>
      </x:c>
      <x:c r="Q7" s="68" t="n">
        <x:v>1150</x:v>
      </x:c>
      <x:c r="R7" s="68" t="n">
        <x:v>3</x:v>
      </x:c>
      <x:c r="S7" s="68" t="n">
        <x:v>750</x:v>
      </x:c>
      <x:c r="T7" s="44" t="str">
        <x:v>Сохраняет ресурс и реагирует на telegraph; может отдать пространство.</x:v>
      </x:c>
      <x:c r="U7" s="38" t="str">
        <x:v>Hypothesis</x:v>
      </x:c>
      <x:c r="V7" s="56" t="str">
        <x:f>IF(AND(A7&lt;&gt;"",C7&gt;=250,C7&lt;=3000,D7&gt;=250,D7&lt;=3000,K7&gt;=250,K7&lt;=3000,R7&gt;=1,S7&gt;=250,S7&lt;=1000),"OK","ERROR")</x:f>
        <x:v>OK</x:v>
      </x:c>
    </x:row>
    <x:row r="8" ht="36" customHeight="1">
      <x:c r="A8" s="35" t="str">
        <x:v>tactic_position</x:v>
      </x:c>
      <x:c r="B8" s="38" t="str">
        <x:v>Позиция</x:v>
      </x:c>
      <x:c r="C8" s="68" t="n">
        <x:v>1000</x:v>
      </x:c>
      <x:c r="D8" s="68" t="n">
        <x:v>1250</x:v>
      </x:c>
      <x:c r="E8" s="68" t="n">
        <x:v>900</x:v>
      </x:c>
      <x:c r="F8" s="68" t="n">
        <x:v>950</x:v>
      </x:c>
      <x:c r="G8" s="68" t="n">
        <x:v>1000</x:v>
      </x:c>
      <x:c r="H8" s="68" t="n">
        <x:v>1150</x:v>
      </x:c>
      <x:c r="I8" s="68" t="n">
        <x:v>1050</x:v>
      </x:c>
      <x:c r="J8" s="68" t="n">
        <x:v>1100</x:v>
      </x:c>
      <x:c r="K8" s="68" t="n">
        <x:v>1050</x:v>
      </x:c>
      <x:c r="L8" s="68" t="n">
        <x:v>1150</x:v>
      </x:c>
      <x:c r="M8" s="68" t="n">
        <x:v>950</x:v>
      </x:c>
      <x:c r="N8" s="68" t="n">
        <x:v>1050</x:v>
      </x:c>
      <x:c r="O8" s="68" t="n">
        <x:v>1400</x:v>
      </x:c>
      <x:c r="P8" s="68" t="n">
        <x:v>1350</x:v>
      </x:c>
      <x:c r="Q8" s="68" t="n">
        <x:v>1000</x:v>
      </x:c>
      <x:c r="R8" s="68" t="n">
        <x:v>5</x:v>
      </x:c>
      <x:c r="S8" s="68" t="n">
        <x:v>800</x:v>
      </x:c>
      <x:c r="T8" s="44" t="str">
        <x:v>Держит preferred range, использует knockback, escape и wall opportunities.</x:v>
      </x:c>
      <x:c r="U8" s="38" t="str">
        <x:v>Hypothesis</x:v>
      </x:c>
      <x:c r="V8" s="56" t="str">
        <x:f>IF(AND(A8&lt;&gt;"",C8&gt;=250,C8&lt;=3000,D8&gt;=250,D8&lt;=3000,K8&gt;=250,K8&lt;=3000,R8&gt;=1,S8&gt;=250,S8&lt;=1000),"OK","ERROR")</x:f>
        <x:v>OK</x:v>
      </x:c>
    </x:row>
    <x:row r="9" ht="36" customHeight="1">
      <x:c r="A9" s="36" t="str">
        <x:v>tactic_signature</x:v>
      </x:c>
      <x:c r="B9" s="39" t="str">
        <x:v>Фирменный план</x:v>
      </x:c>
      <x:c r="C9" s="69" t="n">
        <x:v>1050</x:v>
      </x:c>
      <x:c r="D9" s="69" t="n">
        <x:v>900</x:v>
      </x:c>
      <x:c r="E9" s="69" t="n">
        <x:v>850</x:v>
      </x:c>
      <x:c r="F9" s="69" t="n">
        <x:v>1000</x:v>
      </x:c>
      <x:c r="G9" s="69" t="n">
        <x:v>950</x:v>
      </x:c>
      <x:c r="H9" s="69" t="n">
        <x:v>950</x:v>
      </x:c>
      <x:c r="I9" s="69" t="n">
        <x:v>1000</x:v>
      </x:c>
      <x:c r="J9" s="69" t="n">
        <x:v>1050</x:v>
      </x:c>
      <x:c r="K9" s="69" t="n">
        <x:v>1450</x:v>
      </x:c>
      <x:c r="L9" s="69" t="n">
        <x:v>1350</x:v>
      </x:c>
      <x:c r="M9" s="69" t="n">
        <x:v>1250</x:v>
      </x:c>
      <x:c r="N9" s="69" t="n">
        <x:v>1150</x:v>
      </x:c>
      <x:c r="O9" s="69" t="n">
        <x:v>1200</x:v>
      </x:c>
      <x:c r="P9" s="69" t="n">
        <x:v>1000</x:v>
      </x:c>
      <x:c r="Q9" s="69" t="n">
        <x:v>1200</x:v>
      </x:c>
      <x:c r="R9" s="69" t="n">
        <x:v>5</x:v>
      </x:c>
      <x:c r="S9" s="69" t="n">
        <x:v>800</x:v>
      </x:c>
      <x:c r="T9" s="45" t="str">
        <x:v>Копит уникальный ресурс и использует opportunity profile; план читаем.</x:v>
      </x:c>
      <x:c r="U9" s="39" t="str">
        <x:v>Hypothesis</x:v>
      </x:c>
      <x:c r="V9" s="57" t="str">
        <x:f>IF(AND(A9&lt;&gt;"",C9&gt;=250,C9&lt;=3000,D9&gt;=250,D9&lt;=3000,K9&gt;=250,K9&lt;=3000,R9&gt;=1,S9&gt;=250,S9&lt;=1000),"OK","ERROR")</x:f>
        <x:v>OK</x:v>
      </x:c>
    </x:row>
  </x:sheetData>
  <x:mergeCells>
    <x:mergeCell ref="A1:V1"/>
    <x:mergeCell ref="A2:V2"/>
    <x:mergeCell ref="A3:V3"/>
  </x:mergeCells>
  <x:conditionalFormatting sqref="V6:V9">
    <x:cfRule type="containsText" dxfId="25" priority="1" operator="containsText" text="ERROR"/>
    <x:cfRule type="containsText" dxfId="26" priority="2" operator="containsText" text="OK"/>
    <x:cfRule type="containsText" dxfId="27" priority="3" operator="containsText" text="PASS"/>
    <x:cfRule type="containsText" dxfId="28" priority="4" operator="containsText" text="REVIEW"/>
    <x:cfRule type="containsText" dxfId="29" priority="5" operator="containsText" text="PENDING"/>
  </x:conditionalFormatting>
  <x:dataValidations count="1">
    <x:dataValidation type="list" sqref="U6:U9">
      <x:formula1>"Hypothesis,Approved,Deprecated"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6f355afe794d1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6" hidden="0" customWidth="1"/>
    <x:col min="3" max="3" width="12" hidden="0" customWidth="1"/>
    <x:col min="4" max="4" width="18" hidden="0" customWidth="1"/>
    <x:col min="5" max="5" width="13" hidden="0" customWidth="1"/>
    <x:col min="6" max="6" width="11" hidden="0" customWidth="1"/>
    <x:col min="7" max="7" width="18" hidden="0" customWidth="1"/>
    <x:col min="8" max="8" width="13" hidden="0" customWidth="1"/>
    <x:col min="9" max="9" width="11" hidden="0" customWidth="1"/>
    <x:col min="10" max="10" width="30" hidden="0" customWidth="1"/>
    <x:col min="11" max="11" width="16" hidden="0" customWidth="1"/>
    <x:col min="12" max="12" width="13" hidden="0" customWidth="1"/>
    <x:col min="13" max="13" width="12" hidden="0" customWidth="1"/>
    <x:col min="14" max="14" width="48" hidden="0" customWidth="1"/>
  </x:cols>
  <x:sheetData>
    <x:row r="1" ht="30" customHeight="1">
      <x:c r="A1" s="3" t="str">
        <x:v>Gear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2" customHeight="1">
      <x:c r="A2" s="6" t="str">
        <x:v>Девять абстрактных предметов для трёх обязательных слотов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 ht="32" customHeight="1">
      <x:c r="A3" s="10" t="str">
        <x:v>Каждый предмет имеет одинаковый NormalizedValue в контрольном режиме. Прямые bonus_vs_animal запрещены.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</x:row>
    <x:row r="5" ht="44" customHeight="1">
      <x:c r="A5" s="21" t="str">
        <x:v>Gear ID</x:v>
      </x:c>
      <x:c r="B5" s="22" t="str">
        <x:v>Display Name RU</x:v>
      </x:c>
      <x:c r="C5" s="22" t="str">
        <x:v>Slot</x:v>
      </x:c>
      <x:c r="D5" s="22" t="str">
        <x:v>Stat 1</x:v>
      </x:c>
      <x:c r="E5" s="22" t="str">
        <x:v>Operation 1</x:v>
      </x:c>
      <x:c r="F5" s="22" t="str">
        <x:v>Value 1</x:v>
      </x:c>
      <x:c r="G5" s="22" t="str">
        <x:v>Stat 2</x:v>
      </x:c>
      <x:c r="H5" s="22" t="str">
        <x:v>Operation 2</x:v>
      </x:c>
      <x:c r="I5" s="22" t="str">
        <x:v>Value 2</x:v>
      </x:c>
      <x:c r="J5" s="22" t="str">
        <x:v>Tags</x:v>
      </x:c>
      <x:c r="K5" s="22" t="str">
        <x:v>Normalized Value FP</x:v>
      </x:c>
      <x:c r="L5" s="22" t="str">
        <x:v>Status</x:v>
      </x:c>
      <x:c r="M5" s="22" t="str">
        <x:v>Validation</x:v>
      </x:c>
      <x:c r="N5" s="23" t="str">
        <x:v>Notes RU</x:v>
      </x:c>
    </x:row>
    <x:row r="6" ht="36" customHeight="1">
      <x:c r="A6" s="34" t="str">
        <x:v>gear_offense_power_wraps</x:v>
      </x:c>
      <x:c r="B6" s="37" t="str">
        <x:v>Силовые бинты</x:v>
      </x:c>
      <x:c r="C6" s="37" t="str">
        <x:v>Offense</x:v>
      </x:c>
      <x:c r="D6" s="37" t="str">
        <x:v>Power</x:v>
      </x:c>
      <x:c r="E6" s="37" t="str">
        <x:v>Add</x:v>
      </x:c>
      <x:c r="F6" s="67" t="n">
        <x:v>12</x:v>
      </x:c>
      <x:c r="G6" s="37" t="str"/>
      <x:c r="H6" s="37" t="str">
        <x:v>Add</x:v>
      </x:c>
      <x:c r="I6" s="67" t="n">
        <x:v>0</x:v>
      </x:c>
      <x:c r="J6" s="43" t="str">
        <x:v>power|strike</x:v>
      </x:c>
      <x:c r="K6" s="67" t="n">
        <x:v>1000</x:v>
      </x:c>
      <x:c r="L6" s="37" t="str">
        <x:v>Hypothesis</x:v>
      </x:c>
      <x:c r="M6" s="55" t="str">
        <x:f>IF(AND(A6&lt;&gt;"",OR(C6="Offense",C6="Defense",C6="Utility"),D6&lt;&gt;"",K6&gt;0),"OK","ERROR")</x:f>
        <x:v>OK</x:v>
      </x:c>
      <x:c r="N6" s="43" t="str">
        <x:v>Базовый урон без видового бонуса.</x:v>
      </x:c>
    </x:row>
    <x:row r="7" ht="36" customHeight="1">
      <x:c r="A7" s="35" t="str">
        <x:v>gear_offense_precision_lens</x:v>
      </x:c>
      <x:c r="B7" s="38" t="str">
        <x:v>Прицельный визор</x:v>
      </x:c>
      <x:c r="C7" s="38" t="str">
        <x:v>Offense</x:v>
      </x:c>
      <x:c r="D7" s="38" t="str">
        <x:v>Precision</x:v>
      </x:c>
      <x:c r="E7" s="38" t="str">
        <x:v>Add</x:v>
      </x:c>
      <x:c r="F7" s="68" t="n">
        <x:v>15</x:v>
      </x:c>
      <x:c r="G7" s="38" t="str"/>
      <x:c r="H7" s="38" t="str">
        <x:v>Add</x:v>
      </x:c>
      <x:c r="I7" s="68" t="n">
        <x:v>0</x:v>
      </x:c>
      <x:c r="J7" s="44" t="str">
        <x:v>precision|anti_dodge</x:v>
      </x:c>
      <x:c r="K7" s="68" t="n">
        <x:v>1000</x:v>
      </x:c>
      <x:c r="L7" s="38" t="str">
        <x:v>Hypothesis</x:v>
      </x:c>
      <x:c r="M7" s="56" t="str">
        <x:f>IF(AND(A7&lt;&gt;"",OR(C7="Offense",C7="Defense",C7="Utility"),D7&lt;&gt;"",K7&gt;0),"OK","ERROR")</x:f>
        <x:v>OK</x:v>
      </x:c>
      <x:c r="N7" s="44" t="str">
        <x:v>Контрplay активному Dodge через рейтинг.</x:v>
      </x:c>
    </x:row>
    <x:row r="8" ht="36" customHeight="1">
      <x:c r="A8" s="35" t="str">
        <x:v>gear_offense_guardbreaker</x:v>
      </x:c>
      <x:c r="B8" s="38" t="str">
        <x:v>Накладки пробоя</x:v>
      </x:c>
      <x:c r="C8" s="38" t="str">
        <x:v>Offense</x:v>
      </x:c>
      <x:c r="D8" s="38" t="str">
        <x:v>GuardBreak</x:v>
      </x:c>
      <x:c r="E8" s="38" t="str">
        <x:v>Add</x:v>
      </x:c>
      <x:c r="F8" s="68" t="n">
        <x:v>15</x:v>
      </x:c>
      <x:c r="G8" s="38" t="str"/>
      <x:c r="H8" s="38" t="str">
        <x:v>Add</x:v>
      </x:c>
      <x:c r="I8" s="68" t="n">
        <x:v>0</x:v>
      </x:c>
      <x:c r="J8" s="44" t="str">
        <x:v>guard_break|anti_block</x:v>
      </x:c>
      <x:c r="K8" s="68" t="n">
        <x:v>1000</x:v>
      </x:c>
      <x:c r="L8" s="38" t="str">
        <x:v>Hypothesis</x:v>
      </x:c>
      <x:c r="M8" s="56" t="str">
        <x:f>IF(AND(A8&lt;&gt;"",OR(C8="Offense",C8="Defense",C8="Utility"),D8&lt;&gt;"",K8&gt;0),"OK","ERROR")</x:f>
        <x:v>OK</x:v>
      </x:c>
      <x:c r="N8" s="44" t="str">
        <x:v>Не читает вид соперника.</x:v>
      </x:c>
    </x:row>
    <x:row r="9" ht="36" customHeight="1">
      <x:c r="A9" s="35" t="str">
        <x:v>gear_defense_vital_harness</x:v>
      </x:c>
      <x:c r="B9" s="38" t="str">
        <x:v>Жизненный пояс</x:v>
      </x:c>
      <x:c r="C9" s="38" t="str">
        <x:v>Defense</x:v>
      </x:c>
      <x:c r="D9" s="38" t="str">
        <x:v>MaxHealth</x:v>
      </x:c>
      <x:c r="E9" s="38" t="str">
        <x:v>Add</x:v>
      </x:c>
      <x:c r="F9" s="68" t="n">
        <x:v>120</x:v>
      </x:c>
      <x:c r="G9" s="38" t="str"/>
      <x:c r="H9" s="38" t="str">
        <x:v>Add</x:v>
      </x:c>
      <x:c r="I9" s="68" t="n">
        <x:v>0</x:v>
      </x:c>
      <x:c r="J9" s="44" t="str">
        <x:v>health|survival</x:v>
      </x:c>
      <x:c r="K9" s="68" t="n">
        <x:v>1000</x:v>
      </x:c>
      <x:c r="L9" s="38" t="str">
        <x:v>Hypothesis</x:v>
      </x:c>
      <x:c r="M9" s="56" t="str">
        <x:f>IF(AND(A9&lt;&gt;"",OR(C9="Offense",C9="Defense",C9="Utility"),D9&lt;&gt;"",K9&gt;0),"OK","ERROR")</x:f>
        <x:v>OK</x:v>
      </x:c>
      <x:c r="N9" s="44" t="str">
        <x:v>Прямая выживаемость.</x:v>
      </x:c>
    </x:row>
    <x:row r="10" ht="36" customHeight="1">
      <x:c r="A10" s="35" t="str">
        <x:v>gear_defense_reinforced_hide</x:v>
      </x:c>
      <x:c r="B10" s="38" t="str">
        <x:v>Укреплённая защита</x:v>
      </x:c>
      <x:c r="C10" s="38" t="str">
        <x:v>Defense</x:v>
      </x:c>
      <x:c r="D10" s="38" t="str">
        <x:v>Armor</x:v>
      </x:c>
      <x:c r="E10" s="38" t="str">
        <x:v>Add</x:v>
      </x:c>
      <x:c r="F10" s="68" t="n">
        <x:v>18</x:v>
      </x:c>
      <x:c r="G10" s="38" t="str"/>
      <x:c r="H10" s="38" t="str">
        <x:v>Add</x:v>
      </x:c>
      <x:c r="I10" s="68" t="n">
        <x:v>0</x:v>
      </x:c>
      <x:c r="J10" s="44" t="str">
        <x:v>armor|anti_multi_hit</x:v>
      </x:c>
      <x:c r="K10" s="68" t="n">
        <x:v>1000</x:v>
      </x:c>
      <x:c r="L10" s="38" t="str">
        <x:v>Hypothesis</x:v>
      </x:c>
      <x:c r="M10" s="56" t="str">
        <x:f>IF(AND(A10&lt;&gt;"",OR(C10="Offense",C10="Defense",C10="Utility"),D10&lt;&gt;"",K10&gt;0),"OK","ERROR")</x:f>
        <x:v>OK</x:v>
      </x:c>
      <x:c r="N10" s="44" t="str">
        <x:v>Особенно заметна против серий.</x:v>
      </x:c>
    </x:row>
    <x:row r="11" ht="36" customHeight="1">
      <x:c r="A11" s="35" t="str">
        <x:v>gear_defense_control_brace</x:v>
      </x:c>
      <x:c r="B11" s="38" t="str">
        <x:v>Стабилизатор контроля</x:v>
      </x:c>
      <x:c r="C11" s="38" t="str">
        <x:v>Defense</x:v>
      </x:c>
      <x:c r="D11" s="38" t="str">
        <x:v>ControlResistance</x:v>
      </x:c>
      <x:c r="E11" s="38" t="str">
        <x:v>Add</x:v>
      </x:c>
      <x:c r="F11" s="68" t="n">
        <x:v>18</x:v>
      </x:c>
      <x:c r="G11" s="38" t="str"/>
      <x:c r="H11" s="38" t="str">
        <x:v>Add</x:v>
      </x:c>
      <x:c r="I11" s="68" t="n">
        <x:v>0</x:v>
      </x:c>
      <x:c r="J11" s="44" t="str">
        <x:v>control_resistance|anti_control</x:v>
      </x:c>
      <x:c r="K11" s="68" t="n">
        <x:v>1000</x:v>
      </x:c>
      <x:c r="L11" s="38" t="str">
        <x:v>Hypothesis</x:v>
      </x:c>
      <x:c r="M11" s="56" t="str">
        <x:f>IF(AND(A11&lt;&gt;"",OR(C11="Offense",C11="Defense",C11="Utility"),D11&lt;&gt;"",K11&gt;0),"OK","ERROR")</x:f>
        <x:v>OK</x:v>
      </x:c>
      <x:c r="N11" s="44" t="str">
        <x:v>Сокращает stagger/hard control через формулу.</x:v>
      </x:c>
    </x:row>
    <x:row r="12" ht="36" customHeight="1">
      <x:c r="A12" s="35" t="str">
        <x:v>gear_utility_sprint_soles</x:v>
      </x:c>
      <x:c r="B12" s="38" t="str">
        <x:v>Скоростные подошвы</x:v>
      </x:c>
      <x:c r="C12" s="38" t="str">
        <x:v>Utility</x:v>
      </x:c>
      <x:c r="D12" s="38" t="str">
        <x:v>MoveSpeed</x:v>
      </x:c>
      <x:c r="E12" s="38" t="str">
        <x:v>Add</x:v>
      </x:c>
      <x:c r="F12" s="68" t="n">
        <x:v>12</x:v>
      </x:c>
      <x:c r="G12" s="38" t="str"/>
      <x:c r="H12" s="38" t="str">
        <x:v>Add</x:v>
      </x:c>
      <x:c r="I12" s="68" t="n">
        <x:v>0</x:v>
      </x:c>
      <x:c r="J12" s="44" t="str">
        <x:v>movement|position</x:v>
      </x:c>
      <x:c r="K12" s="68" t="n">
        <x:v>1000</x:v>
      </x:c>
      <x:c r="L12" s="38" t="str">
        <x:v>Hypothesis</x:v>
      </x:c>
      <x:c r="M12" s="56" t="str">
        <x:f>IF(AND(A12&lt;&gt;"",OR(C12="Offense",C12="Defense",C12="Utility"),D12&lt;&gt;"",K12&gt;0),"OK","ERROR")</x:f>
        <x:v>OK</x:v>
      </x:c>
      <x:c r="N12" s="44" t="str">
        <x:v>Улучшает добровольное движение.</x:v>
      </x:c>
    </x:row>
    <x:row r="13" ht="36" customHeight="1">
      <x:c r="A13" s="35" t="str">
        <x:v>gear_utility_quickening_cord</x:v>
      </x:c>
      <x:c r="B13" s="38" t="str">
        <x:v>Шнур ускорения</x:v>
      </x:c>
      <x:c r="C13" s="38" t="str">
        <x:v>Utility</x:v>
      </x:c>
      <x:c r="D13" s="38" t="str">
        <x:v>ActionSpeed</x:v>
      </x:c>
      <x:c r="E13" s="38" t="str">
        <x:v>Add</x:v>
      </x:c>
      <x:c r="F13" s="68" t="n">
        <x:v>12</x:v>
      </x:c>
      <x:c r="G13" s="38" t="str"/>
      <x:c r="H13" s="38" t="str">
        <x:v>Add</x:v>
      </x:c>
      <x:c r="I13" s="68" t="n">
        <x:v>0</x:v>
      </x:c>
      <x:c r="J13" s="44" t="str">
        <x:v>action_speed|tempo</x:v>
      </x:c>
      <x:c r="K13" s="68" t="n">
        <x:v>1000</x:v>
      </x:c>
      <x:c r="L13" s="38" t="str">
        <x:v>Hypothesis</x:v>
      </x:c>
      <x:c r="M13" s="56" t="str">
        <x:f>IF(AND(A13&lt;&gt;"",OR(C13="Offense",C13="Defense",C13="Utility"),D13&lt;&gt;"",K13&gt;0),"OK","ERROR")</x:f>
        <x:v>OK</x:v>
      </x:c>
      <x:c r="N13" s="44" t="str">
        <x:v>Изменяет startup/recovery в пределах action min/max.</x:v>
      </x:c>
    </x:row>
    <x:row r="14" ht="36" customHeight="1">
      <x:c r="A14" s="36" t="str">
        <x:v>gear_utility_energy_cell</x:v>
      </x:c>
      <x:c r="B14" s="39" t="str">
        <x:v>Энергетический модуль</x:v>
      </x:c>
      <x:c r="C14" s="39" t="str">
        <x:v>Utility</x:v>
      </x:c>
      <x:c r="D14" s="39" t="str">
        <x:v>MaxEnergy</x:v>
      </x:c>
      <x:c r="E14" s="39" t="str">
        <x:v>Add</x:v>
      </x:c>
      <x:c r="F14" s="69" t="n">
        <x:v>120</x:v>
      </x:c>
      <x:c r="G14" s="39" t="str">
        <x:v>EnergyRegen</x:v>
      </x:c>
      <x:c r="H14" s="39" t="str">
        <x:v>Add</x:v>
      </x:c>
      <x:c r="I14" s="69" t="n">
        <x:v>2</x:v>
      </x:c>
      <x:c r="J14" s="45" t="str">
        <x:v>energy|resource_economy</x:v>
      </x:c>
      <x:c r="K14" s="69" t="n">
        <x:v>1000</x:v>
      </x:c>
      <x:c r="L14" s="39" t="str">
        <x:v>Hypothesis</x:v>
      </x:c>
      <x:c r="M14" s="57" t="str">
        <x:f>IF(AND(A14&lt;&gt;"",OR(C14="Offense",C14="Defense",C14="Utility"),D14&lt;&gt;"",K14&gt;0),"OK","ERROR")</x:f>
        <x:v>OK</x:v>
      </x:c>
      <x:c r="N14" s="45" t="str">
        <x:v>Не изменяет уникальный ресурс напрямую.</x:v>
      </x:c>
    </x:row>
  </x:sheetData>
  <x:mergeCells>
    <x:mergeCell ref="A1:N1"/>
    <x:mergeCell ref="A2:N2"/>
    <x:mergeCell ref="A3:N3"/>
  </x:mergeCells>
  <x:conditionalFormatting sqref="M6:M14">
    <x:cfRule type="containsText" dxfId="30" priority="1" operator="containsText" text="ERROR"/>
    <x:cfRule type="containsText" dxfId="31" priority="2" operator="containsText" text="OK"/>
    <x:cfRule type="containsText" dxfId="32" priority="3" operator="containsText" text="PASS"/>
    <x:cfRule type="containsText" dxfId="33" priority="4" operator="containsText" text="REVIEW"/>
    <x:cfRule type="containsText" dxfId="34" priority="5" operator="containsText" text="PENDING"/>
  </x:conditionalFormatting>
  <x:dataValidations count="4">
    <x:dataValidation type="list" sqref="C6:C14">
      <x:formula1>"Offense,Defense,Utility"</x:formula1>
    </x:dataValidation>
    <x:dataValidation type="list" sqref="E6:E14">
      <x:formula1>"Add,Multiply,Override"</x:formula1>
    </x:dataValidation>
    <x:dataValidation type="list" sqref="H6:H14">
      <x:formula1>"Add,Multiply,Override"</x:formula1>
    </x:dataValidation>
    <x:dataValidation type="list" sqref="L6:L14">
      <x:formula1>"Hypothesis,Approved,Deprecated"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278bc4bd4347e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8" hidden="0" customWidth="1"/>
    <x:col min="3" max="3" width="13" hidden="0" customWidth="1"/>
    <x:col min="4" max="4" width="30" hidden="0" customWidth="1"/>
    <x:col min="5" max="5" width="30" hidden="0" customWidth="1"/>
    <x:col min="6" max="6" width="32" hidden="0" customWidth="1"/>
    <x:col min="7" max="7" width="34" hidden="0" customWidth="1"/>
    <x:col min="8" max="8" width="34" hidden="0" customWidth="1"/>
    <x:col min="9" max="9" width="34" hidden="0" customWidth="1"/>
    <x:col min="10" max="10" width="24" hidden="0" customWidth="1"/>
    <x:col min="11" max="11" width="18" hidden="0" customWidth="1"/>
    <x:col min="12" max="12" width="20" hidden="0" customWidth="1"/>
    <x:col min="13" max="13" width="13" hidden="0" customWidth="1"/>
    <x:col min="14" max="14" width="12" hidden="0" customWidth="1"/>
    <x:col min="15" max="15" width="50" hidden="0" customWidth="1"/>
  </x:cols>
  <x:sheetData>
    <x:row r="1" ht="30" customHeight="1">
      <x:c r="A1" s="3" t="str">
        <x:v>Test Builds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2" customHeight="1">
      <x:c r="A2" s="6" t="str">
        <x:v>Двенадцать контрольных сборок для baseline, контрматчапов и signature usage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 ht="32" customHeight="1">
      <x:c r="A3" s="10" t="str">
        <x:v>Валидация проверяет 2 разных Special своего животного, 1 Passive, три правильных gear slot и существующую тактику.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</x:row>
    <x:row r="5" ht="44" customHeight="1">
      <x:c r="A5" s="21" t="str">
        <x:v>Build ID</x:v>
      </x:c>
      <x:c r="B5" s="22" t="str">
        <x:v>Display Name RU</x:v>
      </x:c>
      <x:c r="C5" s="22" t="str">
        <x:v>Animal ID</x:v>
      </x:c>
      <x:c r="D5" s="22" t="str">
        <x:v>Special 1</x:v>
      </x:c>
      <x:c r="E5" s="22" t="str">
        <x:v>Special 2</x:v>
      </x:c>
      <x:c r="F5" s="22" t="str">
        <x:v>Passive</x:v>
      </x:c>
      <x:c r="G5" s="22" t="str">
        <x:v>Offense Gear</x:v>
      </x:c>
      <x:c r="H5" s="22" t="str">
        <x:v>Defense Gear</x:v>
      </x:c>
      <x:c r="I5" s="22" t="str">
        <x:v>Utility Gear</x:v>
      </x:c>
      <x:c r="J5" s="22" t="str">
        <x:v>Tactic ID</x:v>
      </x:c>
      <x:c r="K5" s="22" t="str">
        <x:v>Power Band</x:v>
      </x:c>
      <x:c r="L5" s="22" t="str">
        <x:v>Intended Matchup</x:v>
      </x:c>
      <x:c r="M5" s="22" t="str">
        <x:v>Status</x:v>
      </x:c>
      <x:c r="N5" s="22" t="str">
        <x:v>Validation</x:v>
      </x:c>
      <x:c r="O5" s="23" t="str">
        <x:v>Notes RU</x:v>
      </x:c>
    </x:row>
    <x:row r="6" ht="36" customHeight="1">
      <x:c r="A6" s="34" t="str">
        <x:v>build_bear_default</x:v>
      </x:c>
      <x:c r="B6" s="37" t="str">
        <x:v>Медведь — базовый</x:v>
      </x:c>
      <x:c r="C6" s="34" t="str">
        <x:v>bear</x:v>
      </x:c>
      <x:c r="D6" s="37" t="str">
        <x:v>bear_rampage_charge</x:v>
      </x:c>
      <x:c r="E6" s="37" t="str">
        <x:v>bear_earthbreaker</x:v>
      </x:c>
      <x:c r="F6" s="37" t="str">
        <x:v>bear_thick_hide</x:v>
      </x:c>
      <x:c r="G6" s="37" t="str">
        <x:v>gear_offense_power_wraps</x:v>
      </x:c>
      <x:c r="H6" s="37" t="str">
        <x:v>gear_defense_reinforced_hide</x:v>
      </x:c>
      <x:c r="I6" s="37" t="str">
        <x:v>gear_utility_energy_cell</x:v>
      </x:c>
      <x:c r="J6" s="37" t="str">
        <x:v>tactic_pressure</x:v>
      </x:c>
      <x:c r="K6" s="37" t="str">
        <x:v>Normalized 1000</x:v>
      </x:c>
      <x:c r="L6" s="37" t="str">
        <x:v>baseline</x:v>
      </x:c>
      <x:c r="M6" s="37" t="str">
        <x:v>Hypothesis</x:v>
      </x:c>
      <x:c r="N6" s="55" t="str">
        <x:f>IF(AND(D6&lt;&gt;E6,COUNTIFS('Actions'!$A$6:$A$29,D6,'Actions'!$B$6:$B$29,C6,'Actions'!$D$6:$D$29,"Special")=1,COUNTIFS('Actions'!$A$6:$A$29,E6,'Actions'!$B$6:$B$29,C6,'Actions'!$D$6:$D$29,"Special")=1,COUNTIFS('Passives'!$A$6:$A$11,F6,'Passives'!$B$6:$B$11,C6)=1,COUNTIFS('Gear'!$A$6:$A$14,G6,'Gear'!$C$6:$C$14,"Offense")=1,COUNTIFS('Gear'!$A$6:$A$14,H6,'Gear'!$C$6:$C$14,"Defense")=1,COUNTIFS('Gear'!$A$6:$A$14,I6,'Gear'!$C$6:$C$14,"Utility")=1,COUNTIF('Tactics'!$A$6:$A$9,J6)=1),"OK","ERROR")</x:f>
        <x:v>OK</x:v>
      </x:c>
      <x:c r="O6" s="43" t="str">
        <x:v>Контрольная сборка первого пакетного запуска.</x:v>
      </x:c>
    </x:row>
    <x:row r="7" ht="36" customHeight="1">
      <x:c r="A7" s="35" t="str">
        <x:v>build_bear_anti_kite</x:v>
      </x:c>
      <x:c r="B7" s="38" t="str">
        <x:v>Медведь — против дистанции</x:v>
      </x:c>
      <x:c r="C7" s="35" t="str">
        <x:v>bear</x:v>
      </x:c>
      <x:c r="D7" s="38" t="str">
        <x:v>bear_rampage_charge</x:v>
      </x:c>
      <x:c r="E7" s="38" t="str">
        <x:v>bear_fury_maul</x:v>
      </x:c>
      <x:c r="F7" s="38" t="str">
        <x:v>bear_pressure_fuels_rage</x:v>
      </x:c>
      <x:c r="G7" s="38" t="str">
        <x:v>gear_offense_precision_lens</x:v>
      </x:c>
      <x:c r="H7" s="38" t="str">
        <x:v>gear_defense_vital_harness</x:v>
      </x:c>
      <x:c r="I7" s="38" t="str">
        <x:v>gear_utility_sprint_soles</x:v>
      </x:c>
      <x:c r="J7" s="38" t="str">
        <x:v>tactic_position</x:v>
      </x:c>
      <x:c r="K7" s="38" t="str">
        <x:v>Normalized 1000</x:v>
      </x:c>
      <x:c r="L7" s="38" t="str">
        <x:v>vs_kangaroo</x:v>
      </x:c>
      <x:c r="M7" s="38" t="str">
        <x:v>Hypothesis</x:v>
      </x:c>
      <x:c r="N7" s="56" t="str">
        <x:f>IF(AND(D7&lt;&gt;E7,COUNTIFS('Actions'!$A$6:$A$29,D7,'Actions'!$B$6:$B$29,C7,'Actions'!$D$6:$D$29,"Special")=1,COUNTIFS('Actions'!$A$6:$A$29,E7,'Actions'!$B$6:$B$29,C7,'Actions'!$D$6:$D$29,"Special")=1,COUNTIFS('Passives'!$A$6:$A$11,F7,'Passives'!$B$6:$B$11,C7)=1,COUNTIFS('Gear'!$A$6:$A$14,G7,'Gear'!$C$6:$C$14,"Offense")=1,COUNTIFS('Gear'!$A$6:$A$14,H7,'Gear'!$C$6:$C$14,"Defense")=1,COUNTIFS('Gear'!$A$6:$A$14,I7,'Gear'!$C$6:$C$14,"Utility")=1,COUNTIF('Tactics'!$A$6:$A$9,J7)=1),"OK","ERROR")</x:f>
        <x:v>OK</x:v>
      </x:c>
      <x:c r="O7" s="44" t="str">
        <x:v>Сближение, Precision и реализация close window.</x:v>
      </x:c>
    </x:row>
    <x:row r="8" ht="36" customHeight="1">
      <x:c r="A8" s="35" t="str">
        <x:v>build_bear_counter_heavy</x:v>
      </x:c>
      <x:c r="B8" s="38" t="str">
        <x:v>Медведь — ответный</x:v>
      </x:c>
      <x:c r="C8" s="35" t="str">
        <x:v>bear</x:v>
      </x:c>
      <x:c r="D8" s="38" t="str">
        <x:v>bear_earthbreaker</x:v>
      </x:c>
      <x:c r="E8" s="38" t="str">
        <x:v>bear_fury_maul</x:v>
      </x:c>
      <x:c r="F8" s="38" t="str">
        <x:v>bear_thick_hide</x:v>
      </x:c>
      <x:c r="G8" s="38" t="str">
        <x:v>gear_offense_guardbreaker</x:v>
      </x:c>
      <x:c r="H8" s="38" t="str">
        <x:v>gear_defense_control_brace</x:v>
      </x:c>
      <x:c r="I8" s="38" t="str">
        <x:v>gear_utility_energy_cell</x:v>
      </x:c>
      <x:c r="J8" s="38" t="str">
        <x:v>tactic_counter</x:v>
      </x:c>
      <x:c r="K8" s="38" t="str">
        <x:v>Normalized 1000</x:v>
      </x:c>
      <x:c r="L8" s="38" t="str">
        <x:v>vs_gorilla</x:v>
      </x:c>
      <x:c r="M8" s="38" t="str">
        <x:v>Hypothesis</x:v>
      </x:c>
      <x:c r="N8" s="56" t="str">
        <x:f>IF(AND(D8&lt;&gt;E8,COUNTIFS('Actions'!$A$6:$A$29,D8,'Actions'!$B$6:$B$29,C8,'Actions'!$D$6:$D$29,"Special")=1,COUNTIFS('Actions'!$A$6:$A$29,E8,'Actions'!$B$6:$B$29,C8,'Actions'!$D$6:$D$29,"Special")=1,COUNTIFS('Passives'!$A$6:$A$11,F8,'Passives'!$B$6:$B$11,C8)=1,COUNTIFS('Gear'!$A$6:$A$14,G8,'Gear'!$C$6:$C$14,"Offense")=1,COUNTIFS('Gear'!$A$6:$A$14,H8,'Gear'!$C$6:$C$14,"Defense")=1,COUNTIFS('Gear'!$A$6:$A$14,I8,'Gear'!$C$6:$C$14,"Utility")=1,COUNTIF('Tactics'!$A$6:$A$9,J8)=1),"OK","ERROR")</x:f>
        <x:v>OK</x:v>
      </x:c>
      <x:c r="O8" s="44" t="str">
        <x:v>Проверяет, не блокирует ли grab/control comeback полностью.</x:v>
      </x:c>
    </x:row>
    <x:row r="9" ht="36" customHeight="1">
      <x:c r="A9" s="35" t="str">
        <x:v>build_bear_signature</x:v>
      </x:c>
      <x:c r="B9" s="38" t="str">
        <x:v>Медведь — ярость</x:v>
      </x:c>
      <x:c r="C9" s="35" t="str">
        <x:v>bear</x:v>
      </x:c>
      <x:c r="D9" s="38" t="str">
        <x:v>bear_rampage_charge</x:v>
      </x:c>
      <x:c r="E9" s="38" t="str">
        <x:v>bear_fury_maul</x:v>
      </x:c>
      <x:c r="F9" s="38" t="str">
        <x:v>bear_pressure_fuels_rage</x:v>
      </x:c>
      <x:c r="G9" s="38" t="str">
        <x:v>gear_offense_power_wraps</x:v>
      </x:c>
      <x:c r="H9" s="38" t="str">
        <x:v>gear_defense_vital_harness</x:v>
      </x:c>
      <x:c r="I9" s="38" t="str">
        <x:v>gear_utility_energy_cell</x:v>
      </x:c>
      <x:c r="J9" s="38" t="str">
        <x:v>tactic_signature</x:v>
      </x:c>
      <x:c r="K9" s="38" t="str">
        <x:v>Normalized 1000</x:v>
      </x:c>
      <x:c r="L9" s="38" t="str">
        <x:v>signature_usage</x:v>
      </x:c>
      <x:c r="M9" s="38" t="str">
        <x:v>Hypothesis</x:v>
      </x:c>
      <x:c r="N9" s="56" t="str">
        <x:f>IF(AND(D9&lt;&gt;E9,COUNTIFS('Actions'!$A$6:$A$29,D9,'Actions'!$B$6:$B$29,C9,'Actions'!$D$6:$D$29,"Special")=1,COUNTIFS('Actions'!$A$6:$A$29,E9,'Actions'!$B$6:$B$29,C9,'Actions'!$D$6:$D$29,"Special")=1,COUNTIFS('Passives'!$A$6:$A$11,F9,'Passives'!$B$6:$B$11,C9)=1,COUNTIFS('Gear'!$A$6:$A$14,G9,'Gear'!$C$6:$C$14,"Offense")=1,COUNTIFS('Gear'!$A$6:$A$14,H9,'Gear'!$C$6:$C$14,"Defense")=1,COUNTIFS('Gear'!$A$6:$A$14,I9,'Gear'!$C$6:$C$14,"Utility")=1,COUNTIF('Tactics'!$A$6:$A$9,J9)=1),"OK","ERROR")</x:f>
        <x:v>OK</x:v>
      </x:c>
      <x:c r="O9" s="44" t="str">
        <x:v>Измеряет opportunity debt и расход ярости.</x:v>
      </x:c>
    </x:row>
    <x:row r="10" ht="36" customHeight="1">
      <x:c r="A10" s="35" t="str">
        <x:v>build_kangaroo_default</x:v>
      </x:c>
      <x:c r="B10" s="38" t="str">
        <x:v>Кенгуру — базовый</x:v>
      </x:c>
      <x:c r="C10" s="35" t="str">
        <x:v>kangaroo</x:v>
      </x:c>
      <x:c r="D10" s="38" t="str">
        <x:v>kangaroo_flying_kick</x:v>
      </x:c>
      <x:c r="E10" s="38" t="str">
        <x:v>kangaroo_tail_counter</x:v>
      </x:c>
      <x:c r="F10" s="38" t="str">
        <x:v>kangaroo_never_still</x:v>
      </x:c>
      <x:c r="G10" s="38" t="str">
        <x:v>gear_offense_precision_lens</x:v>
      </x:c>
      <x:c r="H10" s="38" t="str">
        <x:v>gear_defense_vital_harness</x:v>
      </x:c>
      <x:c r="I10" s="38" t="str">
        <x:v>gear_utility_sprint_soles</x:v>
      </x:c>
      <x:c r="J10" s="38" t="str">
        <x:v>tactic_position</x:v>
      </x:c>
      <x:c r="K10" s="38" t="str">
        <x:v>Normalized 1000</x:v>
      </x:c>
      <x:c r="L10" s="38" t="str">
        <x:v>baseline</x:v>
      </x:c>
      <x:c r="M10" s="38" t="str">
        <x:v>Hypothesis</x:v>
      </x:c>
      <x:c r="N10" s="56" t="str">
        <x:f>IF(AND(D10&lt;&gt;E10,COUNTIFS('Actions'!$A$6:$A$29,D10,'Actions'!$B$6:$B$29,C10,'Actions'!$D$6:$D$29,"Special")=1,COUNTIFS('Actions'!$A$6:$A$29,E10,'Actions'!$B$6:$B$29,C10,'Actions'!$D$6:$D$29,"Special")=1,COUNTIFS('Passives'!$A$6:$A$11,F10,'Passives'!$B$6:$B$11,C10)=1,COUNTIFS('Gear'!$A$6:$A$14,G10,'Gear'!$C$6:$C$14,"Offense")=1,COUNTIFS('Gear'!$A$6:$A$14,H10,'Gear'!$C$6:$C$14,"Defense")=1,COUNTIFS('Gear'!$A$6:$A$14,I10,'Gear'!$C$6:$C$14,"Utility")=1,COUNTIF('Tactics'!$A$6:$A$9,J10)=1),"OK","ERROR")</x:f>
        <x:v>OK</x:v>
      </x:c>
      <x:c r="O10" s="44" t="str">
        <x:v>Контрольная сборка preferred mid range.</x:v>
      </x:c>
    </x:row>
    <x:row r="11" ht="36" customHeight="1">
      <x:c r="A11" s="35" t="str">
        <x:v>build_kangaroo_anti_grab</x:v>
      </x:c>
      <x:c r="B11" s="38" t="str">
        <x:v>Кенгуру — против захвата</x:v>
      </x:c>
      <x:c r="C11" s="35" t="str">
        <x:v>kangaroo</x:v>
      </x:c>
      <x:c r="D11" s="38" t="str">
        <x:v>kangaroo_tail_counter</x:v>
      </x:c>
      <x:c r="E11" s="38" t="str">
        <x:v>kangaroo_tempo_barrage</x:v>
      </x:c>
      <x:c r="F11" s="38" t="str">
        <x:v>kangaroo_clean_rhythm</x:v>
      </x:c>
      <x:c r="G11" s="38" t="str">
        <x:v>gear_offense_power_wraps</x:v>
      </x:c>
      <x:c r="H11" s="38" t="str">
        <x:v>gear_defense_control_brace</x:v>
      </x:c>
      <x:c r="I11" s="38" t="str">
        <x:v>gear_utility_sprint_soles</x:v>
      </x:c>
      <x:c r="J11" s="38" t="str">
        <x:v>tactic_counter</x:v>
      </x:c>
      <x:c r="K11" s="38" t="str">
        <x:v>Normalized 1000</x:v>
      </x:c>
      <x:c r="L11" s="38" t="str">
        <x:v>vs_gorilla</x:v>
      </x:c>
      <x:c r="M11" s="38" t="str">
        <x:v>Hypothesis</x:v>
      </x:c>
      <x:c r="N11" s="56" t="str">
        <x:f>IF(AND(D11&lt;&gt;E11,COUNTIFS('Actions'!$A$6:$A$29,D11,'Actions'!$B$6:$B$29,C11,'Actions'!$D$6:$D$29,"Special")=1,COUNTIFS('Actions'!$A$6:$A$29,E11,'Actions'!$B$6:$B$29,C11,'Actions'!$D$6:$D$29,"Special")=1,COUNTIFS('Passives'!$A$6:$A$11,F11,'Passives'!$B$6:$B$11,C11)=1,COUNTIFS('Gear'!$A$6:$A$14,G11,'Gear'!$C$6:$C$14,"Offense")=1,COUNTIFS('Gear'!$A$6:$A$14,H11,'Gear'!$C$6:$C$14,"Defense")=1,COUNTIFS('Gear'!$A$6:$A$14,I11,'Gear'!$C$6:$C$14,"Utility")=1,COUNTIF('Tactics'!$A$6:$A$9,J11)=1),"OK","ERROR")</x:f>
        <x:v>OK</x:v>
      </x:c>
      <x:c r="O11" s="44" t="str">
        <x:v>Проверяет контрplay grab/wall pressure.</x:v>
      </x:c>
    </x:row>
    <x:row r="12" ht="36" customHeight="1">
      <x:c r="A12" s="35" t="str">
        <x:v>build_kangaroo_kite</x:v>
      </x:c>
      <x:c r="B12" s="38" t="str">
        <x:v>Кенгуру — дистанция</x:v>
      </x:c>
      <x:c r="C12" s="35" t="str">
        <x:v>kangaroo</x:v>
      </x:c>
      <x:c r="D12" s="38" t="str">
        <x:v>kangaroo_flying_kick</x:v>
      </x:c>
      <x:c r="E12" s="38" t="str">
        <x:v>kangaroo_tempo_barrage</x:v>
      </x:c>
      <x:c r="F12" s="38" t="str">
        <x:v>kangaroo_never_still</x:v>
      </x:c>
      <x:c r="G12" s="38" t="str">
        <x:v>gear_offense_precision_lens</x:v>
      </x:c>
      <x:c r="H12" s="38" t="str">
        <x:v>gear_defense_reinforced_hide</x:v>
      </x:c>
      <x:c r="I12" s="38" t="str">
        <x:v>gear_utility_quickening_cord</x:v>
      </x:c>
      <x:c r="J12" s="38" t="str">
        <x:v>tactic_position</x:v>
      </x:c>
      <x:c r="K12" s="38" t="str">
        <x:v>Normalized 1000</x:v>
      </x:c>
      <x:c r="L12" s="38" t="str">
        <x:v>vs_bear</x:v>
      </x:c>
      <x:c r="M12" s="38" t="str">
        <x:v>Hypothesis</x:v>
      </x:c>
      <x:c r="N12" s="56" t="str">
        <x:f>IF(AND(D12&lt;&gt;E12,COUNTIFS('Actions'!$A$6:$A$29,D12,'Actions'!$B$6:$B$29,C12,'Actions'!$D$6:$D$29,"Special")=1,COUNTIFS('Actions'!$A$6:$A$29,E12,'Actions'!$B$6:$B$29,C12,'Actions'!$D$6:$D$29,"Special")=1,COUNTIFS('Passives'!$A$6:$A$11,F12,'Passives'!$B$6:$B$11,C12)=1,COUNTIFS('Gear'!$A$6:$A$14,G12,'Gear'!$C$6:$C$14,"Offense")=1,COUNTIFS('Gear'!$A$6:$A$14,H12,'Gear'!$C$6:$C$14,"Defense")=1,COUNTIFS('Gear'!$A$6:$A$14,I12,'Gear'!$C$6:$C$14,"Utility")=1,COUNTIF('Tactics'!$A$6:$A$9,J12)=1),"OK","ERROR")</x:f>
        <x:v>OK</x:v>
      </x:c>
      <x:c r="O12" s="44" t="str">
        <x:v>Проверяет отсутствие бесконечного kite.</x:v>
      </x:c>
    </x:row>
    <x:row r="13" ht="36" customHeight="1">
      <x:c r="A13" s="35" t="str">
        <x:v>build_kangaroo_signature</x:v>
      </x:c>
      <x:c r="B13" s="38" t="str">
        <x:v>Кенгуру — темп</x:v>
      </x:c>
      <x:c r="C13" s="35" t="str">
        <x:v>kangaroo</x:v>
      </x:c>
      <x:c r="D13" s="38" t="str">
        <x:v>kangaroo_flying_kick</x:v>
      </x:c>
      <x:c r="E13" s="38" t="str">
        <x:v>kangaroo_tempo_barrage</x:v>
      </x:c>
      <x:c r="F13" s="38" t="str">
        <x:v>kangaroo_clean_rhythm</x:v>
      </x:c>
      <x:c r="G13" s="38" t="str">
        <x:v>gear_offense_power_wraps</x:v>
      </x:c>
      <x:c r="H13" s="38" t="str">
        <x:v>gear_defense_vital_harness</x:v>
      </x:c>
      <x:c r="I13" s="38" t="str">
        <x:v>gear_utility_energy_cell</x:v>
      </x:c>
      <x:c r="J13" s="38" t="str">
        <x:v>tactic_signature</x:v>
      </x:c>
      <x:c r="K13" s="38" t="str">
        <x:v>Normalized 1000</x:v>
      </x:c>
      <x:c r="L13" s="38" t="str">
        <x:v>signature_usage</x:v>
      </x:c>
      <x:c r="M13" s="38" t="str">
        <x:v>Hypothesis</x:v>
      </x:c>
      <x:c r="N13" s="56" t="str">
        <x:f>IF(AND(D13&lt;&gt;E13,COUNTIFS('Actions'!$A$6:$A$29,D13,'Actions'!$B$6:$B$29,C13,'Actions'!$D$6:$D$29,"Special")=1,COUNTIFS('Actions'!$A$6:$A$29,E13,'Actions'!$B$6:$B$29,C13,'Actions'!$D$6:$D$29,"Special")=1,COUNTIFS('Passives'!$A$6:$A$11,F13,'Passives'!$B$6:$B$11,C13)=1,COUNTIFS('Gear'!$A$6:$A$14,G13,'Gear'!$C$6:$C$14,"Offense")=1,COUNTIFS('Gear'!$A$6:$A$14,H13,'Gear'!$C$6:$C$14,"Defense")=1,COUNTIFS('Gear'!$A$6:$A$14,I13,'Gear'!$C$6:$C$14,"Utility")=1,COUNTIF('Tactics'!$A$6:$A$9,J13)=1),"OK","ERROR")</x:f>
        <x:v>OK</x:v>
      </x:c>
      <x:c r="O13" s="44" t="str">
        <x:v>Измеряет Tempo tiers и частоту finisher.</x:v>
      </x:c>
    </x:row>
    <x:row r="14" ht="36" customHeight="1">
      <x:c r="A14" s="35" t="str">
        <x:v>build_gorilla_default</x:v>
      </x:c>
      <x:c r="B14" s="38" t="str">
        <x:v>Горилла — базовый</x:v>
      </x:c>
      <x:c r="C14" s="35" t="str">
        <x:v>gorilla</x:v>
      </x:c>
      <x:c r="D14" s="38" t="str">
        <x:v>gorilla_pivot_throw</x:v>
      </x:c>
      <x:c r="E14" s="38" t="str">
        <x:v>gorilla_wall_breaker</x:v>
      </x:c>
      <x:c r="F14" s="38" t="str">
        <x:v>gorilla_territorial_pressure</x:v>
      </x:c>
      <x:c r="G14" s="38" t="str">
        <x:v>gear_offense_guardbreaker</x:v>
      </x:c>
      <x:c r="H14" s="38" t="str">
        <x:v>gear_defense_reinforced_hide</x:v>
      </x:c>
      <x:c r="I14" s="38" t="str">
        <x:v>gear_utility_energy_cell</x:v>
      </x:c>
      <x:c r="J14" s="38" t="str">
        <x:v>tactic_pressure</x:v>
      </x:c>
      <x:c r="K14" s="38" t="str">
        <x:v>Normalized 1000</x:v>
      </x:c>
      <x:c r="L14" s="38" t="str">
        <x:v>baseline</x:v>
      </x:c>
      <x:c r="M14" s="38" t="str">
        <x:v>Hypothesis</x:v>
      </x:c>
      <x:c r="N14" s="56" t="str">
        <x:f>IF(AND(D14&lt;&gt;E14,COUNTIFS('Actions'!$A$6:$A$29,D14,'Actions'!$B$6:$B$29,C14,'Actions'!$D$6:$D$29,"Special")=1,COUNTIFS('Actions'!$A$6:$A$29,E14,'Actions'!$B$6:$B$29,C14,'Actions'!$D$6:$D$29,"Special")=1,COUNTIFS('Passives'!$A$6:$A$11,F14,'Passives'!$B$6:$B$11,C14)=1,COUNTIFS('Gear'!$A$6:$A$14,G14,'Gear'!$C$6:$C$14,"Offense")=1,COUNTIFS('Gear'!$A$6:$A$14,H14,'Gear'!$C$6:$C$14,"Defense")=1,COUNTIFS('Gear'!$A$6:$A$14,I14,'Gear'!$C$6:$C$14,"Utility")=1,COUNTIF('Tactics'!$A$6:$A$9,J14)=1),"OK","ERROR")</x:f>
        <x:v>OK</x:v>
      </x:c>
      <x:c r="O14" s="44" t="str">
        <x:v>Контрольная wall/grab сборка.</x:v>
      </x:c>
    </x:row>
    <x:row r="15" ht="36" customHeight="1">
      <x:c r="A15" s="35" t="str">
        <x:v>build_gorilla_anti_heavy</x:v>
      </x:c>
      <x:c r="B15" s="38" t="str">
        <x:v>Горилла — против commit</x:v>
      </x:c>
      <x:c r="C15" s="35" t="str">
        <x:v>gorilla</x:v>
      </x:c>
      <x:c r="D15" s="38" t="str">
        <x:v>gorilla_pivot_throw</x:v>
      </x:c>
      <x:c r="E15" s="38" t="str">
        <x:v>gorilla_overhead_pound</x:v>
      </x:c>
      <x:c r="F15" s="38" t="str">
        <x:v>gorilla_iron_grip</x:v>
      </x:c>
      <x:c r="G15" s="38" t="str">
        <x:v>gear_offense_power_wraps</x:v>
      </x:c>
      <x:c r="H15" s="38" t="str">
        <x:v>gear_defense_control_brace</x:v>
      </x:c>
      <x:c r="I15" s="38" t="str">
        <x:v>gear_utility_quickening_cord</x:v>
      </x:c>
      <x:c r="J15" s="38" t="str">
        <x:v>tactic_counter</x:v>
      </x:c>
      <x:c r="K15" s="38" t="str">
        <x:v>Normalized 1000</x:v>
      </x:c>
      <x:c r="L15" s="38" t="str">
        <x:v>vs_bear</x:v>
      </x:c>
      <x:c r="M15" s="38" t="str">
        <x:v>Hypothesis</x:v>
      </x:c>
      <x:c r="N15" s="56" t="str">
        <x:f>IF(AND(D15&lt;&gt;E15,COUNTIFS('Actions'!$A$6:$A$29,D15,'Actions'!$B$6:$B$29,C15,'Actions'!$D$6:$D$29,"Special")=1,COUNTIFS('Actions'!$A$6:$A$29,E15,'Actions'!$B$6:$B$29,C15,'Actions'!$D$6:$D$29,"Special")=1,COUNTIFS('Passives'!$A$6:$A$11,F15,'Passives'!$B$6:$B$11,C15)=1,COUNTIFS('Gear'!$A$6:$A$14,G15,'Gear'!$C$6:$C$14,"Offense")=1,COUNTIFS('Gear'!$A$6:$A$14,H15,'Gear'!$C$6:$C$14,"Defense")=1,COUNTIFS('Gear'!$A$6:$A$14,I15,'Gear'!$C$6:$C$14,"Utility")=1,COUNTIF('Tactics'!$A$6:$A$9,J15)=1),"OK","ERROR")</x:f>
        <x:v>OK</x:v>
      </x:c>
      <x:c r="O15" s="44" t="str">
        <x:v>Захват тяжёлого commit и punish control window.</x:v>
      </x:c>
    </x:row>
    <x:row r="16" ht="36" customHeight="1">
      <x:c r="A16" s="35" t="str">
        <x:v>build_gorilla_wall_pressure</x:v>
      </x:c>
      <x:c r="B16" s="38" t="str">
        <x:v>Горилла — стена</x:v>
      </x:c>
      <x:c r="C16" s="35" t="str">
        <x:v>gorilla</x:v>
      </x:c>
      <x:c r="D16" s="38" t="str">
        <x:v>gorilla_pivot_throw</x:v>
      </x:c>
      <x:c r="E16" s="38" t="str">
        <x:v>gorilla_wall_breaker</x:v>
      </x:c>
      <x:c r="F16" s="38" t="str">
        <x:v>gorilla_territorial_pressure</x:v>
      </x:c>
      <x:c r="G16" s="38" t="str">
        <x:v>gear_offense_guardbreaker</x:v>
      </x:c>
      <x:c r="H16" s="38" t="str">
        <x:v>gear_defense_vital_harness</x:v>
      </x:c>
      <x:c r="I16" s="38" t="str">
        <x:v>gear_utility_sprint_soles</x:v>
      </x:c>
      <x:c r="J16" s="38" t="str">
        <x:v>tactic_position</x:v>
      </x:c>
      <x:c r="K16" s="38" t="str">
        <x:v>Normalized 1000</x:v>
      </x:c>
      <x:c r="L16" s="38" t="str">
        <x:v>vs_kangaroo</x:v>
      </x:c>
      <x:c r="M16" s="38" t="str">
        <x:v>Hypothesis</x:v>
      </x:c>
      <x:c r="N16" s="56" t="str">
        <x:f>IF(AND(D16&lt;&gt;E16,COUNTIFS('Actions'!$A$6:$A$29,D16,'Actions'!$B$6:$B$29,C16,'Actions'!$D$6:$D$29,"Special")=1,COUNTIFS('Actions'!$A$6:$A$29,E16,'Actions'!$B$6:$B$29,C16,'Actions'!$D$6:$D$29,"Special")=1,COUNTIFS('Passives'!$A$6:$A$11,F16,'Passives'!$B$6:$B$11,C16)=1,COUNTIFS('Gear'!$A$6:$A$14,G16,'Gear'!$C$6:$C$14,"Offense")=1,COUNTIFS('Gear'!$A$6:$A$14,H16,'Gear'!$C$6:$C$14,"Defense")=1,COUNTIFS('Gear'!$A$6:$A$14,I16,'Gear'!$C$6:$C$14,"Utility")=1,COUNTIF('Tactics'!$A$6:$A$9,J16)=1),"OK","ERROR")</x:f>
        <x:v>OK</x:v>
      </x:c>
      <x:c r="O16" s="44" t="str">
        <x:v>Проверяет резкость переворота у стены.</x:v>
      </x:c>
    </x:row>
    <x:row r="17" ht="36" customHeight="1">
      <x:c r="A17" s="36" t="str">
        <x:v>build_gorilla_signature</x:v>
      </x:c>
      <x:c r="B17" s="39" t="str">
        <x:v>Горилла — хватка</x:v>
      </x:c>
      <x:c r="C17" s="36" t="str">
        <x:v>gorilla</x:v>
      </x:c>
      <x:c r="D17" s="39" t="str">
        <x:v>gorilla_overhead_pound</x:v>
      </x:c>
      <x:c r="E17" s="39" t="str">
        <x:v>gorilla_wall_breaker</x:v>
      </x:c>
      <x:c r="F17" s="39" t="str">
        <x:v>gorilla_iron_grip</x:v>
      </x:c>
      <x:c r="G17" s="39" t="str">
        <x:v>gear_offense_power_wraps</x:v>
      </x:c>
      <x:c r="H17" s="39" t="str">
        <x:v>gear_defense_reinforced_hide</x:v>
      </x:c>
      <x:c r="I17" s="39" t="str">
        <x:v>gear_utility_energy_cell</x:v>
      </x:c>
      <x:c r="J17" s="39" t="str">
        <x:v>tactic_signature</x:v>
      </x:c>
      <x:c r="K17" s="39" t="str">
        <x:v>Normalized 1000</x:v>
      </x:c>
      <x:c r="L17" s="39" t="str">
        <x:v>signature_usage</x:v>
      </x:c>
      <x:c r="M17" s="39" t="str">
        <x:v>Hypothesis</x:v>
      </x:c>
      <x:c r="N17" s="57" t="str">
        <x:f>IF(AND(D17&lt;&gt;E17,COUNTIFS('Actions'!$A$6:$A$29,D17,'Actions'!$B$6:$B$29,C17,'Actions'!$D$6:$D$29,"Special")=1,COUNTIFS('Actions'!$A$6:$A$29,E17,'Actions'!$B$6:$B$29,C17,'Actions'!$D$6:$D$29,"Special")=1,COUNTIFS('Passives'!$A$6:$A$11,F17,'Passives'!$B$6:$B$11,C17)=1,COUNTIFS('Gear'!$A$6:$A$14,G17,'Gear'!$C$6:$C$14,"Offense")=1,COUNTIFS('Gear'!$A$6:$A$14,H17,'Gear'!$C$6:$C$14,"Defense")=1,COUNTIFS('Gear'!$A$6:$A$14,I17,'Gear'!$C$6:$C$14,"Utility")=1,COUNTIF('Tactics'!$A$6:$A$9,J17)=1),"OK","ERROR")</x:f>
        <x:v>OK</x:v>
      </x:c>
      <x:c r="O17" s="45" t="str">
        <x:v>Измеряет Grip tiers и legal wall opportunities.</x:v>
      </x:c>
    </x:row>
  </x:sheetData>
  <x:mergeCells>
    <x:mergeCell ref="A1:O1"/>
    <x:mergeCell ref="A2:O2"/>
    <x:mergeCell ref="A3:O3"/>
  </x:mergeCells>
  <x:conditionalFormatting sqref="N6:N17">
    <x:cfRule type="containsText" dxfId="35" priority="1" operator="containsText" text="ERROR"/>
    <x:cfRule type="containsText" dxfId="36" priority="2" operator="containsText" text="OK"/>
    <x:cfRule type="containsText" dxfId="37" priority="3" operator="containsText" text="PASS"/>
    <x:cfRule type="containsText" dxfId="38" priority="4" operator="containsText" text="REVIEW"/>
    <x:cfRule type="containsText" dxfId="39" priority="5" operator="containsText" text="PENDING"/>
  </x:conditionalFormatting>
  <x:dataValidations count="2">
    <x:dataValidation type="list" sqref="C6:C17">
      <x:formula1>"bear,kangaroo,gorilla"</x:formula1>
    </x:dataValidation>
    <x:dataValidation type="list" sqref="M6:M17">
      <x:formula1>"Hypothesis,Approved,Deprecated"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f4c6f31f574c5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3" hidden="0" customWidth="1"/>
    <x:col min="4" max="4" width="14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6" hidden="0" customWidth="1"/>
    <x:col min="14" max="14" width="28" hidden="0" customWidth="1"/>
    <x:col min="15" max="15" width="28" hidden="0" customWidth="1"/>
    <x:col min="16" max="16" width="48" hidden="0" customWidth="1"/>
    <x:col min="17" max="17" width="48" hidden="0" customWidth="1"/>
    <x:col min="18" max="18" width="13" hidden="0" customWidth="1"/>
    <x:col min="19" max="19" width="12" hidden="0" customWidth="1"/>
  </x:cols>
  <x:sheetData>
    <x:row r="1" ht="30" customHeight="1">
      <x:c r="A1" s="3" t="str">
        <x:v>Expected Matchups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2" customHeight="1">
      <x:c r="A2" s="6" t="str">
        <x:v>Направленные целевые диапазоны для RPS-гипотезы и зеркал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3" ht="32" customHeight="1">
      <x:c r="A3" s="10" t="str">
        <x:v>Это не видовые коэффициенты урона. Диапазоны служат критерием пакетного теста одинаковой нормализованной силы.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</x:row>
    <x:row r="5" ht="44" customHeight="1">
      <x:c r="A5" s="21" t="str">
        <x:v>Matchup ID</x:v>
      </x:c>
      <x:c r="B5" s="22" t="str">
        <x:v>Animal A</x:v>
      </x:c>
      <x:c r="C5" s="22" t="str">
        <x:v>Animal B</x:v>
      </x:c>
      <x:c r="D5" s="22" t="str">
        <x:v>Target Win Rate A</x:v>
      </x:c>
      <x:c r="E5" s="22" t="str">
        <x:v>Min Win Rate A</x:v>
      </x:c>
      <x:c r="F5" s="22" t="str">
        <x:v>Max Win Rate A</x:v>
      </x:c>
      <x:c r="G5" s="22" t="str">
        <x:v>Draw Rate Max</x:v>
      </x:c>
      <x:c r="H5" s="22" t="str">
        <x:v>Timeout Rate Max</x:v>
      </x:c>
      <x:c r="I5" s="22" t="str">
        <x:v>Duration Min Sec</x:v>
      </x:c>
      <x:c r="J5" s="22" t="str">
        <x:v>Duration Max Sec</x:v>
      </x:c>
      <x:c r="K5" s="22" t="str">
        <x:v>Signature Use Min</x:v>
      </x:c>
      <x:c r="L5" s="22" t="str">
        <x:v>Signature Use Max</x:v>
      </x:c>
      <x:c r="M5" s="22" t="str">
        <x:v>Expected Edge</x:v>
      </x:c>
      <x:c r="N5" s="22" t="str">
        <x:v>Control Build A</x:v>
      </x:c>
      <x:c r="O5" s="22" t="str">
        <x:v>Control Build B</x:v>
      </x:c>
      <x:c r="P5" s="22" t="str">
        <x:v>Hypothesis RU</x:v>
      </x:c>
      <x:c r="Q5" s="22" t="str">
        <x:v>Risk RU</x:v>
      </x:c>
      <x:c r="R5" s="22" t="str">
        <x:v>Status</x:v>
      </x:c>
      <x:c r="S5" s="23" t="str">
        <x:v>Validation</x:v>
      </x:c>
    </x:row>
    <x:row r="6" ht="36" customHeight="1">
      <x:c r="A6" s="34" t="str">
        <x:v>bear_vs_bear</x:v>
      </x:c>
      <x:c r="B6" s="34" t="str">
        <x:v>bear</x:v>
      </x:c>
      <x:c r="C6" s="34" t="str">
        <x:v>bear</x:v>
      </x:c>
      <x:c r="D6" s="90" t="n">
        <x:v>0.5</x:v>
      </x:c>
      <x:c r="E6" s="90" t="n">
        <x:v>0.47</x:v>
      </x:c>
      <x:c r="F6" s="90" t="n">
        <x:v>0.53</x:v>
      </x:c>
      <x:c r="G6" s="90" t="n">
        <x:v>0.02</x:v>
      </x:c>
      <x:c r="H6" s="90" t="n">
        <x:v>0.02</x:v>
      </x:c>
      <x:c r="I6" s="67" t="n">
        <x:v>35</x:v>
      </x:c>
      <x:c r="J6" s="67" t="n">
        <x:v>60</x:v>
      </x:c>
      <x:c r="K6" s="90" t="n">
        <x:v>0.15</x:v>
      </x:c>
      <x:c r="L6" s="90" t="n">
        <x:v>0.35</x:v>
      </x:c>
      <x:c r="M6" s="37" t="str">
        <x:v>Neutral</x:v>
      </x:c>
      <x:c r="N6" s="37" t="str">
        <x:v>build_bear_default</x:v>
      </x:c>
      <x:c r="O6" s="37" t="str">
        <x:v>build_bear_default</x:v>
      </x:c>
      <x:c r="P6" s="43" t="str">
        <x:v>Зеркало нейтрально; side и seed не дают системного перевеса.</x:v>
      </x:c>
      <x:c r="Q6" s="43" t="str">
        <x:v>Повторяющиеся heavy/Block циклы.</x:v>
      </x:c>
      <x:c r="R6" s="37" t="str">
        <x:v>Hypothesis</x:v>
      </x:c>
      <x:c r="S6" s="55" t="str">
        <x:f>IF(AND(D6&gt;=E6,D6&lt;=F6,E6&lt;=F6,G6&lt;=0.02,H6&lt;=0.02,I6&lt;J6,K6&lt;=L6,COUNTIF('Test Builds'!$A$6:$A$17,N6)=1,COUNTIF('Test Builds'!$A$6:$A$17,O6)=1),"OK","ERROR")</x:f>
        <x:v>OK</x:v>
      </x:c>
    </x:row>
    <x:row r="7" ht="36" customHeight="1">
      <x:c r="A7" s="35" t="str">
        <x:v>bear_vs_kangaroo</x:v>
      </x:c>
      <x:c r="B7" s="35" t="str">
        <x:v>bear</x:v>
      </x:c>
      <x:c r="C7" s="35" t="str">
        <x:v>kangaroo</x:v>
      </x:c>
      <x:c r="D7" s="91" t="n">
        <x:v>0.53</x:v>
      </x:c>
      <x:c r="E7" s="91" t="n">
        <x:v>0.5</x:v>
      </x:c>
      <x:c r="F7" s="91" t="n">
        <x:v>0.56</x:v>
      </x:c>
      <x:c r="G7" s="91" t="n">
        <x:v>0.02</x:v>
      </x:c>
      <x:c r="H7" s="91" t="n">
        <x:v>0.02</x:v>
      </x:c>
      <x:c r="I7" s="68" t="n">
        <x:v>35</x:v>
      </x:c>
      <x:c r="J7" s="68" t="n">
        <x:v>60</x:v>
      </x:c>
      <x:c r="K7" s="91" t="n">
        <x:v>0.15</x:v>
      </x:c>
      <x:c r="L7" s="91" t="n">
        <x:v>0.35</x:v>
      </x:c>
      <x:c r="M7" s="38" t="str">
        <x:v>Small A edge</x:v>
      </x:c>
      <x:c r="N7" s="38" t="str">
        <x:v>build_bear_default</x:v>
      </x:c>
      <x:c r="O7" s="38" t="str">
        <x:v>build_kangaroo_default</x:v>
      </x:c>
      <x:c r="P7" s="44" t="str">
        <x:v>Медведь слегка выигрывает при успешном сближении.</x:v>
      </x:c>
      <x:c r="Q7" s="44" t="str">
        <x:v>Кенгуру либо бесконечно kite, либо не имеет контрplay.</x:v>
      </x:c>
      <x:c r="R7" s="38" t="str">
        <x:v>Hypothesis</x:v>
      </x:c>
      <x:c r="S7" s="56" t="str">
        <x:f>IF(AND(D7&gt;=E7,D7&lt;=F7,E7&lt;=F7,G7&lt;=0.02,H7&lt;=0.02,I7&lt;J7,K7&lt;=L7,COUNTIF('Test Builds'!$A$6:$A$17,N7)=1,COUNTIF('Test Builds'!$A$6:$A$17,O7)=1),"OK","ERROR")</x:f>
        <x:v>OK</x:v>
      </x:c>
    </x:row>
    <x:row r="8" ht="36" customHeight="1">
      <x:c r="A8" s="35" t="str">
        <x:v>bear_vs_gorilla</x:v>
      </x:c>
      <x:c r="B8" s="35" t="str">
        <x:v>bear</x:v>
      </x:c>
      <x:c r="C8" s="35" t="str">
        <x:v>gorilla</x:v>
      </x:c>
      <x:c r="D8" s="91" t="n">
        <x:v>0.47</x:v>
      </x:c>
      <x:c r="E8" s="91" t="n">
        <x:v>0.44</x:v>
      </x:c>
      <x:c r="F8" s="91" t="n">
        <x:v>0.5</x:v>
      </x:c>
      <x:c r="G8" s="91" t="n">
        <x:v>0.02</x:v>
      </x:c>
      <x:c r="H8" s="91" t="n">
        <x:v>0.02</x:v>
      </x:c>
      <x:c r="I8" s="68" t="n">
        <x:v>35</x:v>
      </x:c>
      <x:c r="J8" s="68" t="n">
        <x:v>60</x:v>
      </x:c>
      <x:c r="K8" s="91" t="n">
        <x:v>0.15</x:v>
      </x:c>
      <x:c r="L8" s="91" t="n">
        <x:v>0.35</x:v>
      </x:c>
      <x:c r="M8" s="38" t="str">
        <x:v>Small B edge</x:v>
      </x:c>
      <x:c r="N8" s="38" t="str">
        <x:v>build_bear_default</x:v>
      </x:c>
      <x:c r="O8" s="38" t="str">
        <x:v>build_gorilla_default</x:v>
      </x:c>
      <x:c r="P8" s="44" t="str">
        <x:v>Горилла слегка наказывает тяжёлые commit захватом.</x:v>
      </x:c>
      <x:c r="Q8" s="44" t="str">
        <x:v>Контроль полностью блокирует rage comeback.</x:v>
      </x:c>
      <x:c r="R8" s="38" t="str">
        <x:v>Hypothesis</x:v>
      </x:c>
      <x:c r="S8" s="56" t="str">
        <x:f>IF(AND(D8&gt;=E8,D8&lt;=F8,E8&lt;=F8,G8&lt;=0.02,H8&lt;=0.02,I8&lt;J8,K8&lt;=L8,COUNTIF('Test Builds'!$A$6:$A$17,N8)=1,COUNTIF('Test Builds'!$A$6:$A$17,O8)=1),"OK","ERROR")</x:f>
        <x:v>OK</x:v>
      </x:c>
    </x:row>
    <x:row r="9" ht="36" customHeight="1">
      <x:c r="A9" s="35" t="str">
        <x:v>kangaroo_vs_bear</x:v>
      </x:c>
      <x:c r="B9" s="35" t="str">
        <x:v>kangaroo</x:v>
      </x:c>
      <x:c r="C9" s="35" t="str">
        <x:v>bear</x:v>
      </x:c>
      <x:c r="D9" s="91" t="n">
        <x:v>0.47</x:v>
      </x:c>
      <x:c r="E9" s="91" t="n">
        <x:v>0.44</x:v>
      </x:c>
      <x:c r="F9" s="91" t="n">
        <x:v>0.5</x:v>
      </x:c>
      <x:c r="G9" s="91" t="n">
        <x:v>0.02</x:v>
      </x:c>
      <x:c r="H9" s="91" t="n">
        <x:v>0.02</x:v>
      </x:c>
      <x:c r="I9" s="68" t="n">
        <x:v>35</x:v>
      </x:c>
      <x:c r="J9" s="68" t="n">
        <x:v>60</x:v>
      </x:c>
      <x:c r="K9" s="91" t="n">
        <x:v>0.15</x:v>
      </x:c>
      <x:c r="L9" s="91" t="n">
        <x:v>0.35</x:v>
      </x:c>
      <x:c r="M9" s="38" t="str">
        <x:v>Small B edge</x:v>
      </x:c>
      <x:c r="N9" s="38" t="str">
        <x:v>build_kangaroo_default</x:v>
      </x:c>
      <x:c r="O9" s="38" t="str">
        <x:v>build_bear_default</x:v>
      </x:c>
      <x:c r="P9" s="44" t="str">
        <x:v>Направленная обратная строка для side-bias теста.</x:v>
      </x:c>
      <x:c r="Q9" s="44" t="str">
        <x:v>Результат не должен отличаться от инверсии больше статистического шума.</x:v>
      </x:c>
      <x:c r="R9" s="38" t="str">
        <x:v>Hypothesis</x:v>
      </x:c>
      <x:c r="S9" s="56" t="str">
        <x:f>IF(AND(D9&gt;=E9,D9&lt;=F9,E9&lt;=F9,G9&lt;=0.02,H9&lt;=0.02,I9&lt;J9,K9&lt;=L9,COUNTIF('Test Builds'!$A$6:$A$17,N9)=1,COUNTIF('Test Builds'!$A$6:$A$17,O9)=1),"OK","ERROR")</x:f>
        <x:v>OK</x:v>
      </x:c>
    </x:row>
    <x:row r="10" ht="36" customHeight="1">
      <x:c r="A10" s="35" t="str">
        <x:v>kangaroo_vs_kangaroo</x:v>
      </x:c>
      <x:c r="B10" s="35" t="str">
        <x:v>kangaroo</x:v>
      </x:c>
      <x:c r="C10" s="35" t="str">
        <x:v>kangaroo</x:v>
      </x:c>
      <x:c r="D10" s="91" t="n">
        <x:v>0.5</x:v>
      </x:c>
      <x:c r="E10" s="91" t="n">
        <x:v>0.47</x:v>
      </x:c>
      <x:c r="F10" s="91" t="n">
        <x:v>0.53</x:v>
      </x:c>
      <x:c r="G10" s="91" t="n">
        <x:v>0.02</x:v>
      </x:c>
      <x:c r="H10" s="91" t="n">
        <x:v>0.02</x:v>
      </x:c>
      <x:c r="I10" s="68" t="n">
        <x:v>35</x:v>
      </x:c>
      <x:c r="J10" s="68" t="n">
        <x:v>60</x:v>
      </x:c>
      <x:c r="K10" s="91" t="n">
        <x:v>0.15</x:v>
      </x:c>
      <x:c r="L10" s="91" t="n">
        <x:v>0.35</x:v>
      </x:c>
      <x:c r="M10" s="38" t="str">
        <x:v>Neutral</x:v>
      </x:c>
      <x:c r="N10" s="38" t="str">
        <x:v>build_kangaroo_default</x:v>
      </x:c>
      <x:c r="O10" s="38" t="str">
        <x:v>build_kangaroo_default</x:v>
      </x:c>
      <x:c r="P10" s="44" t="str">
        <x:v>Зеркало нейтрально и не сводится к бесконечному движению.</x:v>
      </x:c>
      <x:c r="Q10" s="44" t="str">
        <x:v>Слишком много timeout или одинаковых n-gram.</x:v>
      </x:c>
      <x:c r="R10" s="38" t="str">
        <x:v>Hypothesis</x:v>
      </x:c>
      <x:c r="S10" s="56" t="str">
        <x:f>IF(AND(D10&gt;=E10,D10&lt;=F10,E10&lt;=F10,G10&lt;=0.02,H10&lt;=0.02,I10&lt;J10,K10&lt;=L10,COUNTIF('Test Builds'!$A$6:$A$17,N10)=1,COUNTIF('Test Builds'!$A$6:$A$17,O10)=1),"OK","ERROR")</x:f>
        <x:v>OK</x:v>
      </x:c>
    </x:row>
    <x:row r="11" ht="36" customHeight="1">
      <x:c r="A11" s="35" t="str">
        <x:v>kangaroo_vs_gorilla</x:v>
      </x:c>
      <x:c r="B11" s="35" t="str">
        <x:v>kangaroo</x:v>
      </x:c>
      <x:c r="C11" s="35" t="str">
        <x:v>gorilla</x:v>
      </x:c>
      <x:c r="D11" s="91" t="n">
        <x:v>0.53</x:v>
      </x:c>
      <x:c r="E11" s="91" t="n">
        <x:v>0.5</x:v>
      </x:c>
      <x:c r="F11" s="91" t="n">
        <x:v>0.56</x:v>
      </x:c>
      <x:c r="G11" s="91" t="n">
        <x:v>0.02</x:v>
      </x:c>
      <x:c r="H11" s="91" t="n">
        <x:v>0.02</x:v>
      </x:c>
      <x:c r="I11" s="68" t="n">
        <x:v>35</x:v>
      </x:c>
      <x:c r="J11" s="68" t="n">
        <x:v>60</x:v>
      </x:c>
      <x:c r="K11" s="91" t="n">
        <x:v>0.15</x:v>
      </x:c>
      <x:c r="L11" s="91" t="n">
        <x:v>0.35</x:v>
      </x:c>
      <x:c r="M11" s="38" t="str">
        <x:v>Small A edge</x:v>
      </x:c>
      <x:c r="N11" s="38" t="str">
        <x:v>build_kangaroo_default</x:v>
      </x:c>
      <x:c r="O11" s="38" t="str">
        <x:v>build_gorilla_default</x:v>
      </x:c>
      <x:c r="P11" s="44" t="str">
        <x:v>Кенгуру слегка выигрывает на открытой дистанции.</x:v>
      </x:c>
      <x:c r="Q11" s="44" t="str">
        <x:v>Wall pressure слишком резко переворачивает бой.</x:v>
      </x:c>
      <x:c r="R11" s="38" t="str">
        <x:v>Hypothesis</x:v>
      </x:c>
      <x:c r="S11" s="56" t="str">
        <x:f>IF(AND(D11&gt;=E11,D11&lt;=F11,E11&lt;=F11,G11&lt;=0.02,H11&lt;=0.02,I11&lt;J11,K11&lt;=L11,COUNTIF('Test Builds'!$A$6:$A$17,N11)=1,COUNTIF('Test Builds'!$A$6:$A$17,O11)=1),"OK","ERROR")</x:f>
        <x:v>OK</x:v>
      </x:c>
    </x:row>
    <x:row r="12" ht="36" customHeight="1">
      <x:c r="A12" s="35" t="str">
        <x:v>gorilla_vs_bear</x:v>
      </x:c>
      <x:c r="B12" s="35" t="str">
        <x:v>gorilla</x:v>
      </x:c>
      <x:c r="C12" s="35" t="str">
        <x:v>bear</x:v>
      </x:c>
      <x:c r="D12" s="91" t="n">
        <x:v>0.53</x:v>
      </x:c>
      <x:c r="E12" s="91" t="n">
        <x:v>0.5</x:v>
      </x:c>
      <x:c r="F12" s="91" t="n">
        <x:v>0.56</x:v>
      </x:c>
      <x:c r="G12" s="91" t="n">
        <x:v>0.02</x:v>
      </x:c>
      <x:c r="H12" s="91" t="n">
        <x:v>0.02</x:v>
      </x:c>
      <x:c r="I12" s="68" t="n">
        <x:v>35</x:v>
      </x:c>
      <x:c r="J12" s="68" t="n">
        <x:v>60</x:v>
      </x:c>
      <x:c r="K12" s="91" t="n">
        <x:v>0.15</x:v>
      </x:c>
      <x:c r="L12" s="91" t="n">
        <x:v>0.35</x:v>
      </x:c>
      <x:c r="M12" s="38" t="str">
        <x:v>Small A edge</x:v>
      </x:c>
      <x:c r="N12" s="38" t="str">
        <x:v>build_gorilla_default</x:v>
      </x:c>
      <x:c r="O12" s="38" t="str">
        <x:v>build_bear_default</x:v>
      </x:c>
      <x:c r="P12" s="44" t="str">
        <x:v>Направленная обратная строка для side-bias теста.</x:v>
      </x:c>
      <x:c r="Q12" s="44" t="str">
        <x:v>Grab priority создаёт слишком жёсткий lock.</x:v>
      </x:c>
      <x:c r="R12" s="38" t="str">
        <x:v>Hypothesis</x:v>
      </x:c>
      <x:c r="S12" s="56" t="str">
        <x:f>IF(AND(D12&gt;=E12,D12&lt;=F12,E12&lt;=F12,G12&lt;=0.02,H12&lt;=0.02,I12&lt;J12,K12&lt;=L12,COUNTIF('Test Builds'!$A$6:$A$17,N12)=1,COUNTIF('Test Builds'!$A$6:$A$17,O12)=1),"OK","ERROR")</x:f>
        <x:v>OK</x:v>
      </x:c>
    </x:row>
    <x:row r="13" ht="36" customHeight="1">
      <x:c r="A13" s="35" t="str">
        <x:v>gorilla_vs_kangaroo</x:v>
      </x:c>
      <x:c r="B13" s="35" t="str">
        <x:v>gorilla</x:v>
      </x:c>
      <x:c r="C13" s="35" t="str">
        <x:v>kangaroo</x:v>
      </x:c>
      <x:c r="D13" s="91" t="n">
        <x:v>0.47</x:v>
      </x:c>
      <x:c r="E13" s="91" t="n">
        <x:v>0.44</x:v>
      </x:c>
      <x:c r="F13" s="91" t="n">
        <x:v>0.5</x:v>
      </x:c>
      <x:c r="G13" s="91" t="n">
        <x:v>0.02</x:v>
      </x:c>
      <x:c r="H13" s="91" t="n">
        <x:v>0.02</x:v>
      </x:c>
      <x:c r="I13" s="68" t="n">
        <x:v>35</x:v>
      </x:c>
      <x:c r="J13" s="68" t="n">
        <x:v>60</x:v>
      </x:c>
      <x:c r="K13" s="91" t="n">
        <x:v>0.15</x:v>
      </x:c>
      <x:c r="L13" s="91" t="n">
        <x:v>0.35</x:v>
      </x:c>
      <x:c r="M13" s="38" t="str">
        <x:v>Small B edge</x:v>
      </x:c>
      <x:c r="N13" s="38" t="str">
        <x:v>build_gorilla_default</x:v>
      </x:c>
      <x:c r="O13" s="38" t="str">
        <x:v>build_kangaroo_default</x:v>
      </x:c>
      <x:c r="P13" s="44" t="str">
        <x:v>Направленная обратная строка для side-bias теста.</x:v>
      </x:c>
      <x:c r="Q13" s="44" t="str">
        <x:v>Горилла не получает legal wall opportunity.</x:v>
      </x:c>
      <x:c r="R13" s="38" t="str">
        <x:v>Hypothesis</x:v>
      </x:c>
      <x:c r="S13" s="56" t="str">
        <x:f>IF(AND(D13&gt;=E13,D13&lt;=F13,E13&lt;=F13,G13&lt;=0.02,H13&lt;=0.02,I13&lt;J13,K13&lt;=L13,COUNTIF('Test Builds'!$A$6:$A$17,N13)=1,COUNTIF('Test Builds'!$A$6:$A$17,O13)=1),"OK","ERROR")</x:f>
        <x:v>OK</x:v>
      </x:c>
    </x:row>
    <x:row r="14" ht="36" customHeight="1">
      <x:c r="A14" s="36" t="str">
        <x:v>gorilla_vs_gorilla</x:v>
      </x:c>
      <x:c r="B14" s="36" t="str">
        <x:v>gorilla</x:v>
      </x:c>
      <x:c r="C14" s="36" t="str">
        <x:v>gorilla</x:v>
      </x:c>
      <x:c r="D14" s="92" t="n">
        <x:v>0.5</x:v>
      </x:c>
      <x:c r="E14" s="92" t="n">
        <x:v>0.47</x:v>
      </x:c>
      <x:c r="F14" s="92" t="n">
        <x:v>0.53</x:v>
      </x:c>
      <x:c r="G14" s="92" t="n">
        <x:v>0.02</x:v>
      </x:c>
      <x:c r="H14" s="92" t="n">
        <x:v>0.02</x:v>
      </x:c>
      <x:c r="I14" s="69" t="n">
        <x:v>35</x:v>
      </x:c>
      <x:c r="J14" s="69" t="n">
        <x:v>60</x:v>
      </x:c>
      <x:c r="K14" s="92" t="n">
        <x:v>0.15</x:v>
      </x:c>
      <x:c r="L14" s="92" t="n">
        <x:v>0.35</x:v>
      </x:c>
      <x:c r="M14" s="39" t="str">
        <x:v>Neutral</x:v>
      </x:c>
      <x:c r="N14" s="39" t="str">
        <x:v>build_gorilla_default</x:v>
      </x:c>
      <x:c r="O14" s="39" t="str">
        <x:v>build_gorilla_default</x:v>
      </x:c>
      <x:c r="P14" s="45" t="str">
        <x:v>Зеркало нейтрально, grab conflict разрешается без side order.</x:v>
      </x:c>
      <x:c r="Q14" s="45" t="str">
        <x:v>Block/grab loop и высокая доля hard control.</x:v>
      </x:c>
      <x:c r="R14" s="39" t="str">
        <x:v>Hypothesis</x:v>
      </x:c>
      <x:c r="S14" s="57" t="str">
        <x:f>IF(AND(D14&gt;=E14,D14&lt;=F14,E14&lt;=F14,G14&lt;=0.02,H14&lt;=0.02,I14&lt;J14,K14&lt;=L14,COUNTIF('Test Builds'!$A$6:$A$17,N14)=1,COUNTIF('Test Builds'!$A$6:$A$17,O14)=1),"OK","ERROR")</x:f>
        <x:v>OK</x:v>
      </x:c>
    </x:row>
  </x:sheetData>
  <x:mergeCells>
    <x:mergeCell ref="A1:S1"/>
    <x:mergeCell ref="A2:S2"/>
    <x:mergeCell ref="A3:S3"/>
  </x:mergeCells>
  <x:conditionalFormatting sqref="S6:S14">
    <x:cfRule type="containsText" dxfId="40" priority="1" operator="containsText" text="ERROR"/>
    <x:cfRule type="containsText" dxfId="41" priority="2" operator="containsText" text="OK"/>
    <x:cfRule type="containsText" dxfId="42" priority="3" operator="containsText" text="PASS"/>
    <x:cfRule type="containsText" dxfId="43" priority="4" operator="containsText" text="REVIEW"/>
    <x:cfRule type="containsText" dxfId="44" priority="5" operator="containsText" text="PENDING"/>
  </x:conditionalFormatting>
  <x:conditionalFormatting sqref="D6:D14">
    <x:cfRule type="colorScale" priority="6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3">
    <x:dataValidation type="list" sqref="B6:B14">
      <x:formula1>"bear,kangaroo,gorilla"</x:formula1>
    </x:dataValidation>
    <x:dataValidation type="list" sqref="C6:C14">
      <x:formula1>"bear,kangaroo,gorilla"</x:formula1>
    </x:dataValidation>
    <x:dataValidation type="list" sqref="R6:R14">
      <x:formula1>"Hypothesis,Approved,Deprecated"</x:formula1>
    </x:dataValidation>
  </x:dataValidations>
  <x:pageMargins left="0.7" right="0.7" top="0.75" bottom="0.75" header="0.3" footer="0.3"/>
  <x:legacyDrawing xmlns:r="http://schemas.openxmlformats.org/officeDocument/2006/relationships" r:id="R2eb3dd8396814efd"/>
  <x:tableParts count="1">
    <x:tablePart xmlns:r="http://schemas.openxmlformats.org/officeDocument/2006/relationships" r:id="Rc9ca4a0a2a984d0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14" hidden="0" customWidth="1"/>
    <x:col min="4" max="4" width="18" hidden="0" customWidth="1"/>
    <x:col min="5" max="5" width="24" hidden="0" customWidth="1"/>
    <x:col min="6" max="6" width="12" hidden="0" customWidth="1"/>
    <x:col min="7" max="7" width="12" hidden="0" customWidth="1"/>
    <x:col min="8" max="8" width="28" hidden="0" customWidth="1"/>
    <x:col min="9" max="9" width="28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1" hidden="0" customWidth="1"/>
    <x:col min="18" max="18" width="11" hidden="0" customWidth="1"/>
    <x:col min="19" max="19" width="11" hidden="0" customWidth="1"/>
    <x:col min="20" max="20" width="13" hidden="0" customWidth="1"/>
    <x:col min="21" max="21" width="14" hidden="0" customWidth="1"/>
    <x:col min="22" max="22" width="13" hidden="0" customWidth="1"/>
    <x:col min="23" max="23" width="13" hidden="0" customWidth="1"/>
    <x:col min="24" max="24" width="13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3" hidden="0" customWidth="1"/>
    <x:col min="30" max="30" width="12" hidden="0" customWidth="1"/>
    <x:col min="31" max="31" width="15" hidden="0" customWidth="1"/>
    <x:col min="32" max="32" width="16" hidden="0" customWidth="1"/>
    <x:col min="33" max="33" width="17" hidden="0" customWidth="1"/>
    <x:col min="34" max="34" width="26" hidden="0" customWidth="1"/>
    <x:col min="35" max="35" width="12" hidden="0" customWidth="1"/>
    <x:col min="36" max="36" width="12" hidden="0" customWidth="1"/>
    <x:col min="37" max="37" width="15" hidden="0" customWidth="1"/>
    <x:col min="38" max="38" width="13" hidden="0" customWidth="1"/>
    <x:col min="39" max="39" width="50" hidden="0" customWidth="1"/>
  </x:cols>
  <x:sheetData>
    <x:row r="1" ht="30" customHeight="1">
      <x:c r="A1" s="3" t="str">
        <x:v>Batch Results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</x:row>
    <x:row r="2" ht="22" customHeight="1">
      <x:c r="A2" s="6" t="str">
        <x:v>Шаблон результатов девяти направленных matchup seed sweeps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</x:row>
    <x:row r="3" ht="32" customHeight="1">
      <x:c r="A3" s="10" t="str">
        <x:v>Wins A + Wins B + Draws — валидные бои. Timeouts — подмножество исходов, Invalid считается отдельно. Детализация действий остаётся в CSV Combat Lab.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  <x:c r="AI3" s="10"/>
      <x:c r="AJ3" s="10"/>
      <x:c r="AK3" s="10"/>
      <x:c r="AL3" s="10"/>
      <x:c r="AM3" s="10"/>
    </x:row>
    <x:row r="5" ht="44" customHeight="1">
      <x:c r="A5" s="21" t="str">
        <x:v>Run ID</x:v>
      </x:c>
      <x:c r="B5" s="22" t="str">
        <x:v>Run Status</x:v>
      </x:c>
      <x:c r="C5" s="22" t="str">
        <x:v>Config Version</x:v>
      </x:c>
      <x:c r="D5" s="22" t="str">
        <x:v>Engine Version</x:v>
      </x:c>
      <x:c r="E5" s="22" t="str">
        <x:v>Config Hash</x:v>
      </x:c>
      <x:c r="F5" s="22" t="str">
        <x:v>Seed Start</x:v>
      </x:c>
      <x:c r="G5" s="22" t="str">
        <x:v>Battle Count</x:v>
      </x:c>
      <x:c r="H5" s="22" t="str">
        <x:v>Build A</x:v>
      </x:c>
      <x:c r="I5" s="22" t="str">
        <x:v>Build B</x:v>
      </x:c>
      <x:c r="J5" s="22" t="str">
        <x:v>Animal A</x:v>
      </x:c>
      <x:c r="K5" s="22" t="str">
        <x:v>Animal B</x:v>
      </x:c>
      <x:c r="L5" s="22" t="str">
        <x:v>Wins A</x:v>
      </x:c>
      <x:c r="M5" s="22" t="str">
        <x:v>Wins B</x:v>
      </x:c>
      <x:c r="N5" s="22" t="str">
        <x:v>Draws</x:v>
      </x:c>
      <x:c r="O5" s="22" t="str">
        <x:v>Timeouts</x:v>
      </x:c>
      <x:c r="P5" s="22" t="str">
        <x:v>Invalid</x:v>
      </x:c>
      <x:c r="Q5" s="22" t="str">
        <x:v>Win Rate A</x:v>
      </x:c>
      <x:c r="R5" s="22" t="str">
        <x:v>Draw Rate</x:v>
      </x:c>
      <x:c r="S5" s="22" t="str">
        <x:v>Timeout Rate</x:v>
      </x:c>
      <x:c r="T5" s="22" t="str">
        <x:v>Avg Duration Sec</x:v>
      </x:c>
      <x:c r="U5" s="22" t="str">
        <x:v>Median Duration Sec</x:v>
      </x:c>
      <x:c r="V5" s="22" t="str">
        <x:v>P10 Duration Sec</x:v>
      </x:c>
      <x:c r="W5" s="22" t="str">
        <x:v>P90 Duration Sec</x:v>
      </x:c>
      <x:c r="X5" s="22" t="str">
        <x:v>Avg Winner HP %</x:v>
      </x:c>
      <x:c r="Y5" s="22" t="str">
        <x:v>Signature Usage A</x:v>
      </x:c>
      <x:c r="Z5" s="22" t="str">
        <x:v>Signature Usage B</x:v>
      </x:c>
      <x:c r="AA5" s="22" t="str">
        <x:v>Control Time A Sec</x:v>
      </x:c>
      <x:c r="AB5" s="22" t="str">
        <x:v>Control Time B Sec</x:v>
      </x:c>
      <x:c r="AC5" s="22" t="str">
        <x:v>Wall Impact Rate</x:v>
      </x:c>
      <x:c r="AD5" s="22" t="str">
        <x:v>Comeback Rate</x:v>
      </x:c>
      <x:c r="AE5" s="22" t="str">
        <x:v>Repeated N-gram Rate</x:v>
      </x:c>
      <x:c r="AF5" s="22" t="str">
        <x:v>Determinism Failures</x:v>
      </x:c>
      <x:c r="AG5" s="22" t="str">
        <x:v>Explainability Failures</x:v>
      </x:c>
      <x:c r="AH5" s="22" t="str">
        <x:v>Matchup ID</x:v>
      </x:c>
      <x:c r="AI5" s="22" t="str">
        <x:v>Expected Min</x:v>
      </x:c>
      <x:c r="AJ5" s="22" t="str">
        <x:v>Expected Max</x:v>
      </x:c>
      <x:c r="AK5" s="22" t="str">
        <x:v>Expected Timeout Max</x:v>
      </x:c>
      <x:c r="AL5" s="22" t="str">
        <x:v>Result Status</x:v>
      </x:c>
      <x:c r="AM5" s="23" t="str">
        <x:v>Notes RU</x:v>
      </x:c>
    </x:row>
    <x:row r="6" ht="36" customHeight="1">
      <x:c r="A6" s="34" t="str">
        <x:v>run_v01_01</x:v>
      </x:c>
      <x:c r="B6" s="37" t="str">
        <x:v>Planned</x:v>
      </x:c>
      <x:c r="C6" s="37" t="str">
        <x:v>v0.1</x:v>
      </x:c>
      <x:c r="D6" s="37" t="str"/>
      <x:c r="E6" s="37" t="str"/>
      <x:c r="F6" s="67" t="n">
        <x:v>1</x:v>
      </x:c>
      <x:c r="G6" s="61" t="n">
        <x:v>10000</x:v>
      </x:c>
      <x:c r="H6" s="37" t="str">
        <x:v>build_bear_default</x:v>
      </x:c>
      <x:c r="I6" s="37" t="str">
        <x:v>build_bear_default</x:v>
      </x:c>
      <x:c r="J6" s="55" t="str">
        <x:f>IFERROR(VLOOKUP(H6,'Test Builds'!$A$6:$C$17,3,FALSE),"")</x:f>
        <x:v>bear</x:v>
      </x:c>
      <x:c r="K6" s="55" t="str">
        <x:f>IFERROR(VLOOKUP(I6,'Test Builds'!$A$6:$C$17,3,FALSE),"")</x:f>
        <x:v>bear</x:v>
      </x:c>
      <x:c r="L6" s="61"/>
      <x:c r="M6" s="61"/>
      <x:c r="N6" s="61"/>
      <x:c r="O6" s="61"/>
      <x:c r="P6" s="61"/>
      <x:c r="Q6" s="96" t="str">
        <x:f>IF(SUM(L6:N6)=0,"",L6/SUM(L6:N6))</x:f>
      </x:c>
      <x:c r="R6" s="96" t="str">
        <x:f>IF(SUM(L6:N6)=0,"",N6/SUM(L6:N6))</x:f>
      </x:c>
      <x:c r="S6" s="96" t="str">
        <x:f>IF(SUM(L6:N6)=0,"",O6/SUM(L6:N6))</x:f>
      </x:c>
      <x:c r="T6" s="102"/>
      <x:c r="U6" s="102"/>
      <x:c r="V6" s="102"/>
      <x:c r="W6" s="102"/>
      <x:c r="X6" s="90"/>
      <x:c r="Y6" s="90"/>
      <x:c r="Z6" s="90"/>
      <x:c r="AA6" s="102"/>
      <x:c r="AB6" s="102"/>
      <x:c r="AC6" s="90"/>
      <x:c r="AD6" s="90"/>
      <x:c r="AE6" s="90"/>
      <x:c r="AF6" s="67"/>
      <x:c r="AG6" s="67"/>
      <x:c r="AH6" s="55" t="str">
        <x:f>J6&amp;"_vs_"&amp;K6</x:f>
        <x:v>bear_vs_bear</x:v>
      </x:c>
      <x:c r="AI6" s="96" t="n">
        <x:f>IFERROR(VLOOKUP(AH6,'Expected Matchups'!$A$6:$H$14,5,FALSE),"")</x:f>
        <x:v>0.47</x:v>
      </x:c>
      <x:c r="AJ6" s="96" t="n">
        <x:f>IFERROR(VLOOKUP(AH6,'Expected Matchups'!$A$6:$H$14,6,FALSE),"")</x:f>
        <x:v>0.53</x:v>
      </x:c>
      <x:c r="AK6" s="96" t="n">
        <x:f>IFERROR(VLOOKUP(AH6,'Expected Matchups'!$A$6:$H$14,8,FALSE),"")</x:f>
        <x:v>0.02</x:v>
      </x:c>
      <x:c r="AL6" s="55" t="str">
        <x:f>IF(SUM(L6:N6)=0,"PENDING",IF(OR(AF6&gt;0,AG6&gt;0),"ERROR",IF(AND(Q6&gt;=AI6,Q6&lt;=AJ6,S6&lt;=AK6,P6=0),"PASS","REVIEW")))</x:f>
        <x:v>PENDING</x:v>
      </x:c>
      <x:c r="AM6" s="43" t="str">
        <x:v>Плановый seed sweep; заполнить агрегаты из Combat Lab.</x:v>
      </x:c>
    </x:row>
    <x:row r="7" ht="36" customHeight="1">
      <x:c r="A7" s="35" t="str">
        <x:v>run_v01_02</x:v>
      </x:c>
      <x:c r="B7" s="38" t="str">
        <x:v>Planned</x:v>
      </x:c>
      <x:c r="C7" s="38" t="str">
        <x:v>v0.1</x:v>
      </x:c>
      <x:c r="D7" s="38" t="str"/>
      <x:c r="E7" s="38" t="str"/>
      <x:c r="F7" s="68" t="n">
        <x:v>10001</x:v>
      </x:c>
      <x:c r="G7" s="62" t="n">
        <x:v>10000</x:v>
      </x:c>
      <x:c r="H7" s="38" t="str">
        <x:v>build_bear_default</x:v>
      </x:c>
      <x:c r="I7" s="38" t="str">
        <x:v>build_kangaroo_default</x:v>
      </x:c>
      <x:c r="J7" s="56" t="str">
        <x:f>IFERROR(VLOOKUP(H7,'Test Builds'!$A$6:$C$17,3,FALSE),"")</x:f>
        <x:v>bear</x:v>
      </x:c>
      <x:c r="K7" s="56" t="str">
        <x:f>IFERROR(VLOOKUP(I7,'Test Builds'!$A$6:$C$17,3,FALSE),"")</x:f>
        <x:v>kangaroo</x:v>
      </x:c>
      <x:c r="L7" s="62"/>
      <x:c r="M7" s="62"/>
      <x:c r="N7" s="62"/>
      <x:c r="O7" s="62"/>
      <x:c r="P7" s="62"/>
      <x:c r="Q7" s="97" t="str">
        <x:f>IF(SUM(L7:N7)=0,"",L7/SUM(L7:N7))</x:f>
      </x:c>
      <x:c r="R7" s="97" t="str">
        <x:f>IF(SUM(L7:N7)=0,"",N7/SUM(L7:N7))</x:f>
      </x:c>
      <x:c r="S7" s="97" t="str">
        <x:f>IF(SUM(L7:N7)=0,"",O7/SUM(L7:N7))</x:f>
      </x:c>
      <x:c r="T7" s="103"/>
      <x:c r="U7" s="103"/>
      <x:c r="V7" s="103"/>
      <x:c r="W7" s="103"/>
      <x:c r="X7" s="91"/>
      <x:c r="Y7" s="91"/>
      <x:c r="Z7" s="91"/>
      <x:c r="AA7" s="103"/>
      <x:c r="AB7" s="103"/>
      <x:c r="AC7" s="91"/>
      <x:c r="AD7" s="91"/>
      <x:c r="AE7" s="91"/>
      <x:c r="AF7" s="68"/>
      <x:c r="AG7" s="68"/>
      <x:c r="AH7" s="56" t="str">
        <x:f>J7&amp;"_vs_"&amp;K7</x:f>
        <x:v>bear_vs_kangaroo</x:v>
      </x:c>
      <x:c r="AI7" s="97" t="n">
        <x:f>IFERROR(VLOOKUP(AH7,'Expected Matchups'!$A$6:$H$14,5,FALSE),"")</x:f>
        <x:v>0.5</x:v>
      </x:c>
      <x:c r="AJ7" s="97" t="n">
        <x:f>IFERROR(VLOOKUP(AH7,'Expected Matchups'!$A$6:$H$14,6,FALSE),"")</x:f>
        <x:v>0.56</x:v>
      </x:c>
      <x:c r="AK7" s="97" t="n">
        <x:f>IFERROR(VLOOKUP(AH7,'Expected Matchups'!$A$6:$H$14,8,FALSE),"")</x:f>
        <x:v>0.02</x:v>
      </x:c>
      <x:c r="AL7" s="56" t="str">
        <x:f>IF(SUM(L7:N7)=0,"PENDING",IF(OR(AF7&gt;0,AG7&gt;0),"ERROR",IF(AND(Q7&gt;=AI7,Q7&lt;=AJ7,S7&lt;=AK7,P7=0),"PASS","REVIEW")))</x:f>
        <x:v>PENDING</x:v>
      </x:c>
      <x:c r="AM7" s="44" t="str">
        <x:v>Плановый seed sweep; заполнить агрегаты из Combat Lab.</x:v>
      </x:c>
    </x:row>
    <x:row r="8" ht="36" customHeight="1">
      <x:c r="A8" s="35" t="str">
        <x:v>run_v01_03</x:v>
      </x:c>
      <x:c r="B8" s="38" t="str">
        <x:v>Planned</x:v>
      </x:c>
      <x:c r="C8" s="38" t="str">
        <x:v>v0.1</x:v>
      </x:c>
      <x:c r="D8" s="38" t="str"/>
      <x:c r="E8" s="38" t="str"/>
      <x:c r="F8" s="68" t="n">
        <x:v>20001</x:v>
      </x:c>
      <x:c r="G8" s="62" t="n">
        <x:v>10000</x:v>
      </x:c>
      <x:c r="H8" s="38" t="str">
        <x:v>build_bear_default</x:v>
      </x:c>
      <x:c r="I8" s="38" t="str">
        <x:v>build_gorilla_default</x:v>
      </x:c>
      <x:c r="J8" s="56" t="str">
        <x:f>IFERROR(VLOOKUP(H8,'Test Builds'!$A$6:$C$17,3,FALSE),"")</x:f>
        <x:v>bear</x:v>
      </x:c>
      <x:c r="K8" s="56" t="str">
        <x:f>IFERROR(VLOOKUP(I8,'Test Builds'!$A$6:$C$17,3,FALSE),"")</x:f>
        <x:v>gorilla</x:v>
      </x:c>
      <x:c r="L8" s="62"/>
      <x:c r="M8" s="62"/>
      <x:c r="N8" s="62"/>
      <x:c r="O8" s="62"/>
      <x:c r="P8" s="62"/>
      <x:c r="Q8" s="97" t="str">
        <x:f>IF(SUM(L8:N8)=0,"",L8/SUM(L8:N8))</x:f>
      </x:c>
      <x:c r="R8" s="97" t="str">
        <x:f>IF(SUM(L8:N8)=0,"",N8/SUM(L8:N8))</x:f>
      </x:c>
      <x:c r="S8" s="97" t="str">
        <x:f>IF(SUM(L8:N8)=0,"",O8/SUM(L8:N8))</x:f>
      </x:c>
      <x:c r="T8" s="103"/>
      <x:c r="U8" s="103"/>
      <x:c r="V8" s="103"/>
      <x:c r="W8" s="103"/>
      <x:c r="X8" s="91"/>
      <x:c r="Y8" s="91"/>
      <x:c r="Z8" s="91"/>
      <x:c r="AA8" s="103"/>
      <x:c r="AB8" s="103"/>
      <x:c r="AC8" s="91"/>
      <x:c r="AD8" s="91"/>
      <x:c r="AE8" s="91"/>
      <x:c r="AF8" s="68"/>
      <x:c r="AG8" s="68"/>
      <x:c r="AH8" s="56" t="str">
        <x:f>J8&amp;"_vs_"&amp;K8</x:f>
        <x:v>bear_vs_gorilla</x:v>
      </x:c>
      <x:c r="AI8" s="97" t="n">
        <x:f>IFERROR(VLOOKUP(AH8,'Expected Matchups'!$A$6:$H$14,5,FALSE),"")</x:f>
        <x:v>0.44</x:v>
      </x:c>
      <x:c r="AJ8" s="97" t="n">
        <x:f>IFERROR(VLOOKUP(AH8,'Expected Matchups'!$A$6:$H$14,6,FALSE),"")</x:f>
        <x:v>0.5</x:v>
      </x:c>
      <x:c r="AK8" s="97" t="n">
        <x:f>IFERROR(VLOOKUP(AH8,'Expected Matchups'!$A$6:$H$14,8,FALSE),"")</x:f>
        <x:v>0.02</x:v>
      </x:c>
      <x:c r="AL8" s="56" t="str">
        <x:f>IF(SUM(L8:N8)=0,"PENDING",IF(OR(AF8&gt;0,AG8&gt;0),"ERROR",IF(AND(Q8&gt;=AI8,Q8&lt;=AJ8,S8&lt;=AK8,P8=0),"PASS","REVIEW")))</x:f>
        <x:v>PENDING</x:v>
      </x:c>
      <x:c r="AM8" s="44" t="str">
        <x:v>Плановый seed sweep; заполнить агрегаты из Combat Lab.</x:v>
      </x:c>
    </x:row>
    <x:row r="9" ht="36" customHeight="1">
      <x:c r="A9" s="35" t="str">
        <x:v>run_v01_04</x:v>
      </x:c>
      <x:c r="B9" s="38" t="str">
        <x:v>Planned</x:v>
      </x:c>
      <x:c r="C9" s="38" t="str">
        <x:v>v0.1</x:v>
      </x:c>
      <x:c r="D9" s="38" t="str"/>
      <x:c r="E9" s="38" t="str"/>
      <x:c r="F9" s="68" t="n">
        <x:v>30001</x:v>
      </x:c>
      <x:c r="G9" s="62" t="n">
        <x:v>10000</x:v>
      </x:c>
      <x:c r="H9" s="38" t="str">
        <x:v>build_kangaroo_default</x:v>
      </x:c>
      <x:c r="I9" s="38" t="str">
        <x:v>build_bear_default</x:v>
      </x:c>
      <x:c r="J9" s="56" t="str">
        <x:f>IFERROR(VLOOKUP(H9,'Test Builds'!$A$6:$C$17,3,FALSE),"")</x:f>
        <x:v>kangaroo</x:v>
      </x:c>
      <x:c r="K9" s="56" t="str">
        <x:f>IFERROR(VLOOKUP(I9,'Test Builds'!$A$6:$C$17,3,FALSE),"")</x:f>
        <x:v>bear</x:v>
      </x:c>
      <x:c r="L9" s="62"/>
      <x:c r="M9" s="62"/>
      <x:c r="N9" s="62"/>
      <x:c r="O9" s="62"/>
      <x:c r="P9" s="62"/>
      <x:c r="Q9" s="97" t="str">
        <x:f>IF(SUM(L9:N9)=0,"",L9/SUM(L9:N9))</x:f>
      </x:c>
      <x:c r="R9" s="97" t="str">
        <x:f>IF(SUM(L9:N9)=0,"",N9/SUM(L9:N9))</x:f>
      </x:c>
      <x:c r="S9" s="97" t="str">
        <x:f>IF(SUM(L9:N9)=0,"",O9/SUM(L9:N9))</x:f>
      </x:c>
      <x:c r="T9" s="103"/>
      <x:c r="U9" s="103"/>
      <x:c r="V9" s="103"/>
      <x:c r="W9" s="103"/>
      <x:c r="X9" s="91"/>
      <x:c r="Y9" s="91"/>
      <x:c r="Z9" s="91"/>
      <x:c r="AA9" s="103"/>
      <x:c r="AB9" s="103"/>
      <x:c r="AC9" s="91"/>
      <x:c r="AD9" s="91"/>
      <x:c r="AE9" s="91"/>
      <x:c r="AF9" s="68"/>
      <x:c r="AG9" s="68"/>
      <x:c r="AH9" s="56" t="str">
        <x:f>J9&amp;"_vs_"&amp;K9</x:f>
        <x:v>kangaroo_vs_bear</x:v>
      </x:c>
      <x:c r="AI9" s="97" t="n">
        <x:f>IFERROR(VLOOKUP(AH9,'Expected Matchups'!$A$6:$H$14,5,FALSE),"")</x:f>
        <x:v>0.44</x:v>
      </x:c>
      <x:c r="AJ9" s="97" t="n">
        <x:f>IFERROR(VLOOKUP(AH9,'Expected Matchups'!$A$6:$H$14,6,FALSE),"")</x:f>
        <x:v>0.5</x:v>
      </x:c>
      <x:c r="AK9" s="97" t="n">
        <x:f>IFERROR(VLOOKUP(AH9,'Expected Matchups'!$A$6:$H$14,8,FALSE),"")</x:f>
        <x:v>0.02</x:v>
      </x:c>
      <x:c r="AL9" s="56" t="str">
        <x:f>IF(SUM(L9:N9)=0,"PENDING",IF(OR(AF9&gt;0,AG9&gt;0),"ERROR",IF(AND(Q9&gt;=AI9,Q9&lt;=AJ9,S9&lt;=AK9,P9=0),"PASS","REVIEW")))</x:f>
        <x:v>PENDING</x:v>
      </x:c>
      <x:c r="AM9" s="44" t="str">
        <x:v>Плановый seed sweep; заполнить агрегаты из Combat Lab.</x:v>
      </x:c>
    </x:row>
    <x:row r="10" ht="36" customHeight="1">
      <x:c r="A10" s="35" t="str">
        <x:v>run_v01_05</x:v>
      </x:c>
      <x:c r="B10" s="38" t="str">
        <x:v>Planned</x:v>
      </x:c>
      <x:c r="C10" s="38" t="str">
        <x:v>v0.1</x:v>
      </x:c>
      <x:c r="D10" s="38" t="str"/>
      <x:c r="E10" s="38" t="str"/>
      <x:c r="F10" s="68" t="n">
        <x:v>40001</x:v>
      </x:c>
      <x:c r="G10" s="62" t="n">
        <x:v>10000</x:v>
      </x:c>
      <x:c r="H10" s="38" t="str">
        <x:v>build_kangaroo_default</x:v>
      </x:c>
      <x:c r="I10" s="38" t="str">
        <x:v>build_kangaroo_default</x:v>
      </x:c>
      <x:c r="J10" s="56" t="str">
        <x:f>IFERROR(VLOOKUP(H10,'Test Builds'!$A$6:$C$17,3,FALSE),"")</x:f>
        <x:v>kangaroo</x:v>
      </x:c>
      <x:c r="K10" s="56" t="str">
        <x:f>IFERROR(VLOOKUP(I10,'Test Builds'!$A$6:$C$17,3,FALSE),"")</x:f>
        <x:v>kangaroo</x:v>
      </x:c>
      <x:c r="L10" s="62"/>
      <x:c r="M10" s="62"/>
      <x:c r="N10" s="62"/>
      <x:c r="O10" s="62"/>
      <x:c r="P10" s="62"/>
      <x:c r="Q10" s="97" t="str">
        <x:f>IF(SUM(L10:N10)=0,"",L10/SUM(L10:N10))</x:f>
      </x:c>
      <x:c r="R10" s="97" t="str">
        <x:f>IF(SUM(L10:N10)=0,"",N10/SUM(L10:N10))</x:f>
      </x:c>
      <x:c r="S10" s="97" t="str">
        <x:f>IF(SUM(L10:N10)=0,"",O10/SUM(L10:N10))</x:f>
      </x:c>
      <x:c r="T10" s="103"/>
      <x:c r="U10" s="103"/>
      <x:c r="V10" s="103"/>
      <x:c r="W10" s="103"/>
      <x:c r="X10" s="91"/>
      <x:c r="Y10" s="91"/>
      <x:c r="Z10" s="91"/>
      <x:c r="AA10" s="103"/>
      <x:c r="AB10" s="103"/>
      <x:c r="AC10" s="91"/>
      <x:c r="AD10" s="91"/>
      <x:c r="AE10" s="91"/>
      <x:c r="AF10" s="68"/>
      <x:c r="AG10" s="68"/>
      <x:c r="AH10" s="56" t="str">
        <x:f>J10&amp;"_vs_"&amp;K10</x:f>
        <x:v>kangaroo_vs_kangaroo</x:v>
      </x:c>
      <x:c r="AI10" s="97" t="n">
        <x:f>IFERROR(VLOOKUP(AH10,'Expected Matchups'!$A$6:$H$14,5,FALSE),"")</x:f>
        <x:v>0.47</x:v>
      </x:c>
      <x:c r="AJ10" s="97" t="n">
        <x:f>IFERROR(VLOOKUP(AH10,'Expected Matchups'!$A$6:$H$14,6,FALSE),"")</x:f>
        <x:v>0.53</x:v>
      </x:c>
      <x:c r="AK10" s="97" t="n">
        <x:f>IFERROR(VLOOKUP(AH10,'Expected Matchups'!$A$6:$H$14,8,FALSE),"")</x:f>
        <x:v>0.02</x:v>
      </x:c>
      <x:c r="AL10" s="56" t="str">
        <x:f>IF(SUM(L10:N10)=0,"PENDING",IF(OR(AF10&gt;0,AG10&gt;0),"ERROR",IF(AND(Q10&gt;=AI10,Q10&lt;=AJ10,S10&lt;=AK10,P10=0),"PASS","REVIEW")))</x:f>
        <x:v>PENDING</x:v>
      </x:c>
      <x:c r="AM10" s="44" t="str">
        <x:v>Плановый seed sweep; заполнить агрегаты из Combat Lab.</x:v>
      </x:c>
    </x:row>
    <x:row r="11" ht="36" customHeight="1">
      <x:c r="A11" s="35" t="str">
        <x:v>run_v01_06</x:v>
      </x:c>
      <x:c r="B11" s="38" t="str">
        <x:v>Planned</x:v>
      </x:c>
      <x:c r="C11" s="38" t="str">
        <x:v>v0.1</x:v>
      </x:c>
      <x:c r="D11" s="38" t="str"/>
      <x:c r="E11" s="38" t="str"/>
      <x:c r="F11" s="68" t="n">
        <x:v>50001</x:v>
      </x:c>
      <x:c r="G11" s="62" t="n">
        <x:v>10000</x:v>
      </x:c>
      <x:c r="H11" s="38" t="str">
        <x:v>build_kangaroo_default</x:v>
      </x:c>
      <x:c r="I11" s="38" t="str">
        <x:v>build_gorilla_default</x:v>
      </x:c>
      <x:c r="J11" s="56" t="str">
        <x:f>IFERROR(VLOOKUP(H11,'Test Builds'!$A$6:$C$17,3,FALSE),"")</x:f>
        <x:v>kangaroo</x:v>
      </x:c>
      <x:c r="K11" s="56" t="str">
        <x:f>IFERROR(VLOOKUP(I11,'Test Builds'!$A$6:$C$17,3,FALSE),"")</x:f>
        <x:v>gorilla</x:v>
      </x:c>
      <x:c r="L11" s="62"/>
      <x:c r="M11" s="62"/>
      <x:c r="N11" s="62"/>
      <x:c r="O11" s="62"/>
      <x:c r="P11" s="62"/>
      <x:c r="Q11" s="97" t="str">
        <x:f>IF(SUM(L11:N11)=0,"",L11/SUM(L11:N11))</x:f>
      </x:c>
      <x:c r="R11" s="97" t="str">
        <x:f>IF(SUM(L11:N11)=0,"",N11/SUM(L11:N11))</x:f>
      </x:c>
      <x:c r="S11" s="97" t="str">
        <x:f>IF(SUM(L11:N11)=0,"",O11/SUM(L11:N11))</x:f>
      </x:c>
      <x:c r="T11" s="103"/>
      <x:c r="U11" s="103"/>
      <x:c r="V11" s="103"/>
      <x:c r="W11" s="103"/>
      <x:c r="X11" s="91"/>
      <x:c r="Y11" s="91"/>
      <x:c r="Z11" s="91"/>
      <x:c r="AA11" s="103"/>
      <x:c r="AB11" s="103"/>
      <x:c r="AC11" s="91"/>
      <x:c r="AD11" s="91"/>
      <x:c r="AE11" s="91"/>
      <x:c r="AF11" s="68"/>
      <x:c r="AG11" s="68"/>
      <x:c r="AH11" s="56" t="str">
        <x:f>J11&amp;"_vs_"&amp;K11</x:f>
        <x:v>kangaroo_vs_gorilla</x:v>
      </x:c>
      <x:c r="AI11" s="97" t="n">
        <x:f>IFERROR(VLOOKUP(AH11,'Expected Matchups'!$A$6:$H$14,5,FALSE),"")</x:f>
        <x:v>0.5</x:v>
      </x:c>
      <x:c r="AJ11" s="97" t="n">
        <x:f>IFERROR(VLOOKUP(AH11,'Expected Matchups'!$A$6:$H$14,6,FALSE),"")</x:f>
        <x:v>0.56</x:v>
      </x:c>
      <x:c r="AK11" s="97" t="n">
        <x:f>IFERROR(VLOOKUP(AH11,'Expected Matchups'!$A$6:$H$14,8,FALSE),"")</x:f>
        <x:v>0.02</x:v>
      </x:c>
      <x:c r="AL11" s="56" t="str">
        <x:f>IF(SUM(L11:N11)=0,"PENDING",IF(OR(AF11&gt;0,AG11&gt;0),"ERROR",IF(AND(Q11&gt;=AI11,Q11&lt;=AJ11,S11&lt;=AK11,P11=0),"PASS","REVIEW")))</x:f>
        <x:v>PENDING</x:v>
      </x:c>
      <x:c r="AM11" s="44" t="str">
        <x:v>Плановый seed sweep; заполнить агрегаты из Combat Lab.</x:v>
      </x:c>
    </x:row>
    <x:row r="12" ht="36" customHeight="1">
      <x:c r="A12" s="35" t="str">
        <x:v>run_v01_07</x:v>
      </x:c>
      <x:c r="B12" s="38" t="str">
        <x:v>Planned</x:v>
      </x:c>
      <x:c r="C12" s="38" t="str">
        <x:v>v0.1</x:v>
      </x:c>
      <x:c r="D12" s="38" t="str"/>
      <x:c r="E12" s="38" t="str"/>
      <x:c r="F12" s="68" t="n">
        <x:v>60001</x:v>
      </x:c>
      <x:c r="G12" s="62" t="n">
        <x:v>10000</x:v>
      </x:c>
      <x:c r="H12" s="38" t="str">
        <x:v>build_gorilla_default</x:v>
      </x:c>
      <x:c r="I12" s="38" t="str">
        <x:v>build_bear_default</x:v>
      </x:c>
      <x:c r="J12" s="56" t="str">
        <x:f>IFERROR(VLOOKUP(H12,'Test Builds'!$A$6:$C$17,3,FALSE),"")</x:f>
        <x:v>gorilla</x:v>
      </x:c>
      <x:c r="K12" s="56" t="str">
        <x:f>IFERROR(VLOOKUP(I12,'Test Builds'!$A$6:$C$17,3,FALSE),"")</x:f>
        <x:v>bear</x:v>
      </x:c>
      <x:c r="L12" s="62"/>
      <x:c r="M12" s="62"/>
      <x:c r="N12" s="62"/>
      <x:c r="O12" s="62"/>
      <x:c r="P12" s="62"/>
      <x:c r="Q12" s="97" t="str">
        <x:f>IF(SUM(L12:N12)=0,"",L12/SUM(L12:N12))</x:f>
      </x:c>
      <x:c r="R12" s="97" t="str">
        <x:f>IF(SUM(L12:N12)=0,"",N12/SUM(L12:N12))</x:f>
      </x:c>
      <x:c r="S12" s="97" t="str">
        <x:f>IF(SUM(L12:N12)=0,"",O12/SUM(L12:N12))</x:f>
      </x:c>
      <x:c r="T12" s="103"/>
      <x:c r="U12" s="103"/>
      <x:c r="V12" s="103"/>
      <x:c r="W12" s="103"/>
      <x:c r="X12" s="91"/>
      <x:c r="Y12" s="91"/>
      <x:c r="Z12" s="91"/>
      <x:c r="AA12" s="103"/>
      <x:c r="AB12" s="103"/>
      <x:c r="AC12" s="91"/>
      <x:c r="AD12" s="91"/>
      <x:c r="AE12" s="91"/>
      <x:c r="AF12" s="68"/>
      <x:c r="AG12" s="68"/>
      <x:c r="AH12" s="56" t="str">
        <x:f>J12&amp;"_vs_"&amp;K12</x:f>
        <x:v>gorilla_vs_bear</x:v>
      </x:c>
      <x:c r="AI12" s="97" t="n">
        <x:f>IFERROR(VLOOKUP(AH12,'Expected Matchups'!$A$6:$H$14,5,FALSE),"")</x:f>
        <x:v>0.5</x:v>
      </x:c>
      <x:c r="AJ12" s="97" t="n">
        <x:f>IFERROR(VLOOKUP(AH12,'Expected Matchups'!$A$6:$H$14,6,FALSE),"")</x:f>
        <x:v>0.56</x:v>
      </x:c>
      <x:c r="AK12" s="97" t="n">
        <x:f>IFERROR(VLOOKUP(AH12,'Expected Matchups'!$A$6:$H$14,8,FALSE),"")</x:f>
        <x:v>0.02</x:v>
      </x:c>
      <x:c r="AL12" s="56" t="str">
        <x:f>IF(SUM(L12:N12)=0,"PENDING",IF(OR(AF12&gt;0,AG12&gt;0),"ERROR",IF(AND(Q12&gt;=AI12,Q12&lt;=AJ12,S12&lt;=AK12,P12=0),"PASS","REVIEW")))</x:f>
        <x:v>PENDING</x:v>
      </x:c>
      <x:c r="AM12" s="44" t="str">
        <x:v>Плановый seed sweep; заполнить агрегаты из Combat Lab.</x:v>
      </x:c>
    </x:row>
    <x:row r="13" ht="36" customHeight="1">
      <x:c r="A13" s="35" t="str">
        <x:v>run_v01_08</x:v>
      </x:c>
      <x:c r="B13" s="38" t="str">
        <x:v>Planned</x:v>
      </x:c>
      <x:c r="C13" s="38" t="str">
        <x:v>v0.1</x:v>
      </x:c>
      <x:c r="D13" s="38" t="str"/>
      <x:c r="E13" s="38" t="str"/>
      <x:c r="F13" s="68" t="n">
        <x:v>70001</x:v>
      </x:c>
      <x:c r="G13" s="62" t="n">
        <x:v>10000</x:v>
      </x:c>
      <x:c r="H13" s="38" t="str">
        <x:v>build_gorilla_default</x:v>
      </x:c>
      <x:c r="I13" s="38" t="str">
        <x:v>build_kangaroo_default</x:v>
      </x:c>
      <x:c r="J13" s="56" t="str">
        <x:f>IFERROR(VLOOKUP(H13,'Test Builds'!$A$6:$C$17,3,FALSE),"")</x:f>
        <x:v>gorilla</x:v>
      </x:c>
      <x:c r="K13" s="56" t="str">
        <x:f>IFERROR(VLOOKUP(I13,'Test Builds'!$A$6:$C$17,3,FALSE),"")</x:f>
        <x:v>kangaroo</x:v>
      </x:c>
      <x:c r="L13" s="62"/>
      <x:c r="M13" s="62"/>
      <x:c r="N13" s="62"/>
      <x:c r="O13" s="62"/>
      <x:c r="P13" s="62"/>
      <x:c r="Q13" s="97" t="str">
        <x:f>IF(SUM(L13:N13)=0,"",L13/SUM(L13:N13))</x:f>
      </x:c>
      <x:c r="R13" s="97" t="str">
        <x:f>IF(SUM(L13:N13)=0,"",N13/SUM(L13:N13))</x:f>
      </x:c>
      <x:c r="S13" s="97" t="str">
        <x:f>IF(SUM(L13:N13)=0,"",O13/SUM(L13:N13))</x:f>
      </x:c>
      <x:c r="T13" s="103"/>
      <x:c r="U13" s="103"/>
      <x:c r="V13" s="103"/>
      <x:c r="W13" s="103"/>
      <x:c r="X13" s="91"/>
      <x:c r="Y13" s="91"/>
      <x:c r="Z13" s="91"/>
      <x:c r="AA13" s="103"/>
      <x:c r="AB13" s="103"/>
      <x:c r="AC13" s="91"/>
      <x:c r="AD13" s="91"/>
      <x:c r="AE13" s="91"/>
      <x:c r="AF13" s="68"/>
      <x:c r="AG13" s="68"/>
      <x:c r="AH13" s="56" t="str">
        <x:f>J13&amp;"_vs_"&amp;K13</x:f>
        <x:v>gorilla_vs_kangaroo</x:v>
      </x:c>
      <x:c r="AI13" s="97" t="n">
        <x:f>IFERROR(VLOOKUP(AH13,'Expected Matchups'!$A$6:$H$14,5,FALSE),"")</x:f>
        <x:v>0.44</x:v>
      </x:c>
      <x:c r="AJ13" s="97" t="n">
        <x:f>IFERROR(VLOOKUP(AH13,'Expected Matchups'!$A$6:$H$14,6,FALSE),"")</x:f>
        <x:v>0.5</x:v>
      </x:c>
      <x:c r="AK13" s="97" t="n">
        <x:f>IFERROR(VLOOKUP(AH13,'Expected Matchups'!$A$6:$H$14,8,FALSE),"")</x:f>
        <x:v>0.02</x:v>
      </x:c>
      <x:c r="AL13" s="56" t="str">
        <x:f>IF(SUM(L13:N13)=0,"PENDING",IF(OR(AF13&gt;0,AG13&gt;0),"ERROR",IF(AND(Q13&gt;=AI13,Q13&lt;=AJ13,S13&lt;=AK13,P13=0),"PASS","REVIEW")))</x:f>
        <x:v>PENDING</x:v>
      </x:c>
      <x:c r="AM13" s="44" t="str">
        <x:v>Плановый seed sweep; заполнить агрегаты из Combat Lab.</x:v>
      </x:c>
    </x:row>
    <x:row r="14" ht="36" customHeight="1">
      <x:c r="A14" s="36" t="str">
        <x:v>run_v01_09</x:v>
      </x:c>
      <x:c r="B14" s="39" t="str">
        <x:v>Planned</x:v>
      </x:c>
      <x:c r="C14" s="39" t="str">
        <x:v>v0.1</x:v>
      </x:c>
      <x:c r="D14" s="39" t="str"/>
      <x:c r="E14" s="39" t="str"/>
      <x:c r="F14" s="69" t="n">
        <x:v>80001</x:v>
      </x:c>
      <x:c r="G14" s="63" t="n">
        <x:v>10000</x:v>
      </x:c>
      <x:c r="H14" s="39" t="str">
        <x:v>build_gorilla_default</x:v>
      </x:c>
      <x:c r="I14" s="39" t="str">
        <x:v>build_gorilla_default</x:v>
      </x:c>
      <x:c r="J14" s="57" t="str">
        <x:f>IFERROR(VLOOKUP(H14,'Test Builds'!$A$6:$C$17,3,FALSE),"")</x:f>
        <x:v>gorilla</x:v>
      </x:c>
      <x:c r="K14" s="57" t="str">
        <x:f>IFERROR(VLOOKUP(I14,'Test Builds'!$A$6:$C$17,3,FALSE),"")</x:f>
        <x:v>gorilla</x:v>
      </x:c>
      <x:c r="L14" s="63"/>
      <x:c r="M14" s="63"/>
      <x:c r="N14" s="63"/>
      <x:c r="O14" s="63"/>
      <x:c r="P14" s="63"/>
      <x:c r="Q14" s="98" t="str">
        <x:f>IF(SUM(L14:N14)=0,"",L14/SUM(L14:N14))</x:f>
      </x:c>
      <x:c r="R14" s="98" t="str">
        <x:f>IF(SUM(L14:N14)=0,"",N14/SUM(L14:N14))</x:f>
      </x:c>
      <x:c r="S14" s="98" t="str">
        <x:f>IF(SUM(L14:N14)=0,"",O14/SUM(L14:N14))</x:f>
      </x:c>
      <x:c r="T14" s="104"/>
      <x:c r="U14" s="104"/>
      <x:c r="V14" s="104"/>
      <x:c r="W14" s="104"/>
      <x:c r="X14" s="92"/>
      <x:c r="Y14" s="92"/>
      <x:c r="Z14" s="92"/>
      <x:c r="AA14" s="104"/>
      <x:c r="AB14" s="104"/>
      <x:c r="AC14" s="92"/>
      <x:c r="AD14" s="92"/>
      <x:c r="AE14" s="92"/>
      <x:c r="AF14" s="69"/>
      <x:c r="AG14" s="69"/>
      <x:c r="AH14" s="57" t="str">
        <x:f>J14&amp;"_vs_"&amp;K14</x:f>
        <x:v>gorilla_vs_gorilla</x:v>
      </x:c>
      <x:c r="AI14" s="98" t="n">
        <x:f>IFERROR(VLOOKUP(AH14,'Expected Matchups'!$A$6:$H$14,5,FALSE),"")</x:f>
        <x:v>0.47</x:v>
      </x:c>
      <x:c r="AJ14" s="98" t="n">
        <x:f>IFERROR(VLOOKUP(AH14,'Expected Matchups'!$A$6:$H$14,6,FALSE),"")</x:f>
        <x:v>0.53</x:v>
      </x:c>
      <x:c r="AK14" s="98" t="n">
        <x:f>IFERROR(VLOOKUP(AH14,'Expected Matchups'!$A$6:$H$14,8,FALSE),"")</x:f>
        <x:v>0.02</x:v>
      </x:c>
      <x:c r="AL14" s="57" t="str">
        <x:f>IF(SUM(L14:N14)=0,"PENDING",IF(OR(AF14&gt;0,AG14&gt;0),"ERROR",IF(AND(Q14&gt;=AI14,Q14&lt;=AJ14,S14&lt;=AK14,P14=0),"PASS","REVIEW")))</x:f>
        <x:v>PENDING</x:v>
      </x:c>
      <x:c r="AM14" s="45" t="str">
        <x:v>Плановый seed sweep; заполнить агрегаты из Combat Lab.</x:v>
      </x:c>
    </x:row>
  </x:sheetData>
  <x:mergeCells>
    <x:mergeCell ref="A1:AM1"/>
    <x:mergeCell ref="A2:AM2"/>
    <x:mergeCell ref="A3:AM3"/>
  </x:mergeCells>
  <x:conditionalFormatting sqref="AL6:AL14">
    <x:cfRule type="containsText" dxfId="45" priority="1" operator="containsText" text="ERROR"/>
    <x:cfRule type="containsText" dxfId="46" priority="2" operator="containsText" text="OK"/>
    <x:cfRule type="containsText" dxfId="47" priority="3" operator="containsText" text="PASS"/>
    <x:cfRule type="containsText" dxfId="48" priority="4" operator="containsText" text="REVIEW"/>
    <x:cfRule type="containsText" dxfId="49" priority="5" operator="containsText" text="PENDING"/>
  </x:conditionalFormatting>
  <x:dataValidations count="1">
    <x:dataValidation type="list" sqref="B6:B14">
      <x:formula1>"Planned,Running,Complete,Rejected"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c226f3a5724b52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3" hidden="0" customWidth="1"/>
    <x:col min="4" max="4" width="12" hidden="0" customWidth="1"/>
    <x:col min="5" max="5" width="34" hidden="0" customWidth="1"/>
    <x:col min="6" max="6" width="18" hidden="0" customWidth="1"/>
    <x:col min="7" max="7" width="50" hidden="0" customWidth="1"/>
    <x:col min="8" max="8" width="54" hidden="0" customWidth="1"/>
    <x:col min="9" max="9" width="36" hidden="0" customWidth="1"/>
  </x:cols>
  <x:sheetData>
    <x:row r="1" ht="30" customHeight="1">
      <x:c r="A1" s="3" t="str">
        <x:v>Change Log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6" t="str">
        <x:v>История существенных изменений параметров и гипотез</x:v>
      </x:c>
      <x:c r="B2" s="6"/>
      <x:c r="C2" s="6"/>
      <x:c r="D2" s="6"/>
      <x:c r="E2" s="6"/>
      <x:c r="F2" s="6"/>
      <x:c r="G2" s="6"/>
      <x:c r="H2" s="6"/>
      <x:c r="I2" s="6"/>
    </x:row>
    <x:row r="3" ht="32" customHeight="1">
      <x:c r="A3" s="10" t="str">
        <x:v>Каждый утверждённый balance pass создаёт новую запись и повышает ConfigVersion. Мелкие редакционные правки можно объединять.</x:v>
      </x:c>
      <x:c r="B3" s="10"/>
      <x:c r="C3" s="10"/>
      <x:c r="D3" s="10"/>
      <x:c r="E3" s="10"/>
      <x:c r="F3" s="10"/>
      <x:c r="G3" s="10"/>
      <x:c r="H3" s="10"/>
      <x:c r="I3" s="10"/>
    </x:row>
    <x:row r="5" ht="44" customHeight="1">
      <x:c r="A5" s="21" t="str">
        <x:v>Change ID</x:v>
      </x:c>
      <x:c r="B5" s="22" t="str">
        <x:v>Version</x:v>
      </x:c>
      <x:c r="C5" s="22" t="str">
        <x:v>Date</x:v>
      </x:c>
      <x:c r="D5" s="22" t="str">
        <x:v>Status</x:v>
      </x:c>
      <x:c r="E5" s="22" t="str">
        <x:v>Owner</x:v>
      </x:c>
      <x:c r="F5" s="22" t="str">
        <x:v>Sheets</x:v>
      </x:c>
      <x:c r="G5" s="22" t="str">
        <x:v>Decision</x:v>
      </x:c>
      <x:c r="H5" s="22" t="str">
        <x:v>Reason</x:v>
      </x:c>
      <x:c r="I5" s="23" t="str">
        <x:v>Related Hypothesis</x:v>
      </x:c>
    </x:row>
    <x:row r="6" ht="36" customHeight="1">
      <x:c r="A6" s="108" t="str">
        <x:v>CHG-0001</x:v>
      </x:c>
      <x:c r="B6" s="109" t="str">
        <x:v>v0.1</x:v>
      </x:c>
      <x:c r="C6" s="111" t="n">
        <x:v>46232</x:v>
      </x:c>
      <x:c r="D6" s="109" t="str">
        <x:v>Draft</x:v>
      </x:c>
      <x:c r="E6" s="109" t="str">
        <x:v>Game Designer / Founder / Product Owner</x:v>
      </x:c>
      <x:c r="F6" s="109" t="str">
        <x:v>All</x:v>
      </x:c>
      <x:c r="G6" s="113" t="str">
        <x:v>Создан стартовый Combat Balance Workbook по CDS v0.1.</x:v>
      </x:c>
      <x:c r="H6" s="113" t="str">
        <x:v>Дать Combat Lab единый источник всех числовых параметров и тестовых ожиданий.</x:v>
      </x:c>
      <x:c r="I6" s="113" t="str">
        <x:v>HYP-01; HYP-02; HYP-03; HYP-04; DATA-01</x:v>
      </x:c>
    </x:row>
  </x:sheetData>
  <x:mergeCells>
    <x:mergeCell ref="A1:I1"/>
    <x:mergeCell ref="A2:I2"/>
    <x:mergeCell ref="A3:I3"/>
  </x:mergeCells>
  <x:dataValidations count="1">
    <x:dataValidation type="list" sqref="D6">
      <x:formula1>"Draft,Review,Approved,Deprecated"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cfb5dcc0f546d3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6" hidden="0" customWidth="1"/>
    <x:col min="3" max="3" width="32" hidden="0" customWidth="1"/>
    <x:col min="4" max="4" width="38" hidden="0" customWidth="1"/>
    <x:col min="5" max="5" width="12" hidden="0" customWidth="1"/>
    <x:col min="6" max="6" width="22" hidden="0" customWidth="1"/>
    <x:col min="7" max="7" width="16" hidden="0" customWidth="1"/>
    <x:col min="8" max="8" width="20" hidden="0" customWidth="1"/>
    <x:col min="9" max="9" width="12" hidden="0" customWidth="1"/>
    <x:col min="10" max="10" width="10" hidden="0" customWidth="1"/>
    <x:col min="11" max="11" width="13" hidden="0" customWidth="1"/>
    <x:col min="12" max="12" width="12" hidden="0" customWidth="1"/>
    <x:col min="13" max="13" width="44" hidden="0" customWidth="1"/>
  </x:cols>
  <x:sheetData>
    <x:row r="1" ht="30" customHeight="1">
      <x:c r="A1" s="3" t="str">
        <x:v>JSON Export Map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2" customHeight="1">
      <x:c r="A2" s="6" t="str">
        <x:v>Живая нормализованная карта source cell → canonical JSON property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32" customHeight="1">
      <x:c r="A3" s="10" t="str">
        <x:v>Экспортёр сортирует строки по SortOrder, группирует Namespace/ObjectId, приводит Live Value по ValueType и отклоняет любой Validation=ERROR. Live Value обновляется формулами при редактировании источника.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</x:row>
    <x:row r="5" ht="44" customHeight="1">
      <x:c r="A5" s="21" t="str">
        <x:v>Sort Order</x:v>
      </x:c>
      <x:c r="B5" s="22" t="str">
        <x:v>Namespace</x:v>
      </x:c>
      <x:c r="C5" s="22" t="str">
        <x:v>Object ID</x:v>
      </x:c>
      <x:c r="D5" s="22" t="str">
        <x:v>Property Path</x:v>
      </x:c>
      <x:c r="E5" s="22" t="str">
        <x:v>Value Type</x:v>
      </x:c>
      <x:c r="F5" s="22" t="str">
        <x:v>Live Value</x:v>
      </x:c>
      <x:c r="G5" s="22" t="str">
        <x:v>Unit</x:v>
      </x:c>
      <x:c r="H5" s="22" t="str">
        <x:v>Source Sheet</x:v>
      </x:c>
      <x:c r="I5" s="22" t="str">
        <x:v>Source Cell</x:v>
      </x:c>
      <x:c r="J5" s="22" t="str">
        <x:v>Required</x:v>
      </x:c>
      <x:c r="K5" s="22" t="str">
        <x:v>Include Runtime</x:v>
      </x:c>
      <x:c r="L5" s="22" t="str">
        <x:v>Validation</x:v>
      </x:c>
      <x:c r="M5" s="23" t="str">
        <x:v>Notes RU</x:v>
      </x:c>
    </x:row>
    <x:row r="6" ht="36" customHeight="1">
      <x:c r="A6" s="117" t="n">
        <x:v>1</x:v>
      </x:c>
      <x:c r="B6" s="34" t="str">
        <x:v>global</x:v>
      </x:c>
      <x:c r="C6" s="34" t="str">
        <x:v>root</x:v>
      </x:c>
      <x:c r="D6" s="34" t="str">
        <x:v>global.sim.schema_version</x:v>
      </x:c>
      <x:c r="E6" s="37" t="str">
        <x:v>string</x:v>
      </x:c>
      <x:c r="F6" s="55" t="str">
        <x:f>'Global Config'!D6</x:f>
        <x:v>combat.balance/0.1</x:v>
      </x:c>
      <x:c r="G6" s="37" t="str">
        <x:v>id</x:v>
      </x:c>
      <x:c r="H6" s="34" t="str">
        <x:v>Global Config</x:v>
      </x:c>
      <x:c r="I6" s="34" t="str">
        <x:v>D6</x:v>
      </x:c>
      <x:c r="J6" s="84" t="b">
        <x:v>1</x:v>
      </x:c>
      <x:c r="K6" s="84" t="b">
        <x:v>1</x:v>
      </x:c>
      <x:c r="L6" s="55" t="str">
        <x:f>'Global Config'!K6</x:f>
        <x:v>OK</x:v>
      </x:c>
      <x:c r="M6" s="43" t="str">
        <x:v>Версия схемы баланса</x:v>
      </x:c>
    </x:row>
    <x:row r="7" ht="36" customHeight="1">
      <x:c r="A7" s="118" t="n">
        <x:v>2</x:v>
      </x:c>
      <x:c r="B7" s="35" t="str">
        <x:v>global</x:v>
      </x:c>
      <x:c r="C7" s="35" t="str">
        <x:v>root</x:v>
      </x:c>
      <x:c r="D7" s="35" t="str">
        <x:v>global.sim.config_version</x:v>
      </x:c>
      <x:c r="E7" s="38" t="str">
        <x:v>string</x:v>
      </x:c>
      <x:c r="F7" s="56" t="str">
        <x:f>'Global Config'!D7</x:f>
        <x:v>v0.1</x:v>
      </x:c>
      <x:c r="G7" s="38" t="str">
        <x:v>id</x:v>
      </x:c>
      <x:c r="H7" s="35" t="str">
        <x:v>Global Config</x:v>
      </x:c>
      <x:c r="I7" s="35" t="str">
        <x:v>D7</x:v>
      </x:c>
      <x:c r="J7" s="85" t="b">
        <x:v>1</x:v>
      </x:c>
      <x:c r="K7" s="85" t="b">
        <x:v>1</x:v>
      </x:c>
      <x:c r="L7" s="56" t="str">
        <x:f>'Global Config'!K7</x:f>
        <x:v>OK</x:v>
      </x:c>
      <x:c r="M7" s="44" t="str">
        <x:v>Версия набора параметров</x:v>
      </x:c>
    </x:row>
    <x:row r="8" ht="36" customHeight="1">
      <x:c r="A8" s="118" t="n">
        <x:v>3</x:v>
      </x:c>
      <x:c r="B8" s="35" t="str">
        <x:v>global</x:v>
      </x:c>
      <x:c r="C8" s="35" t="str">
        <x:v>root</x:v>
      </x:c>
      <x:c r="D8" s="35" t="str">
        <x:v>global.sim.rng_version</x:v>
      </x:c>
      <x:c r="E8" s="38" t="str">
        <x:v>string</x:v>
      </x:c>
      <x:c r="F8" s="56" t="str">
        <x:f>'Global Config'!D8</x:f>
        <x:v>pcg32/1</x:v>
      </x:c>
      <x:c r="G8" s="38" t="str">
        <x:v>id</x:v>
      </x:c>
      <x:c r="H8" s="35" t="str">
        <x:v>Global Config</x:v>
      </x:c>
      <x:c r="I8" s="35" t="str">
        <x:v>D8</x:v>
      </x:c>
      <x:c r="J8" s="85" t="b">
        <x:v>1</x:v>
      </x:c>
      <x:c r="K8" s="85" t="b">
        <x:v>1</x:v>
      </x:c>
      <x:c r="L8" s="56" t="str">
        <x:f>'Global Config'!K8</x:f>
        <x:v>OK</x:v>
      </x:c>
      <x:c r="M8" s="44" t="str">
        <x:v>Версия алгоритма RNG</x:v>
      </x:c>
    </x:row>
    <x:row r="9" ht="36" customHeight="1">
      <x:c r="A9" s="118" t="n">
        <x:v>4</x:v>
      </x:c>
      <x:c r="B9" s="35" t="str">
        <x:v>global</x:v>
      </x:c>
      <x:c r="C9" s="35" t="str">
        <x:v>root</x:v>
      </x:c>
      <x:c r="D9" s="35" t="str">
        <x:v>global.sim.ordering_version</x:v>
      </x:c>
      <x:c r="E9" s="38" t="str">
        <x:v>string</x:v>
      </x:c>
      <x:c r="F9" s="56" t="str">
        <x:f>'Global Config'!D9</x:f>
        <x:v>tick-pipeline/1</x:v>
      </x:c>
      <x:c r="G9" s="38" t="str">
        <x:v>id</x:v>
      </x:c>
      <x:c r="H9" s="35" t="str">
        <x:v>Global Config</x:v>
      </x:c>
      <x:c r="I9" s="35" t="str">
        <x:v>D9</x:v>
      </x:c>
      <x:c r="J9" s="85" t="b">
        <x:v>1</x:v>
      </x:c>
      <x:c r="K9" s="85" t="b">
        <x:v>1</x:v>
      </x:c>
      <x:c r="L9" s="56" t="str">
        <x:f>'Global Config'!K9</x:f>
        <x:v>OK</x:v>
      </x:c>
      <x:c r="M9" s="44" t="str">
        <x:v>Версия порядка тика</x:v>
      </x:c>
    </x:row>
    <x:row r="10" ht="36" customHeight="1">
      <x:c r="A10" s="118" t="n">
        <x:v>5</x:v>
      </x:c>
      <x:c r="B10" s="35" t="str">
        <x:v>global</x:v>
      </x:c>
      <x:c r="C10" s="35" t="str">
        <x:v>root</x:v>
      </x:c>
      <x:c r="D10" s="35" t="str">
        <x:v>global.sim.tick_ms</x:v>
      </x:c>
      <x:c r="E10" s="38" t="str">
        <x:v>int</x:v>
      </x:c>
      <x:c r="F10" s="56" t="n">
        <x:f>'Global Config'!D10</x:f>
        <x:v>100</x:v>
      </x:c>
      <x:c r="G10" s="38" t="str">
        <x:v>ms</x:v>
      </x:c>
      <x:c r="H10" s="35" t="str">
        <x:v>Global Config</x:v>
      </x:c>
      <x:c r="I10" s="35" t="str">
        <x:v>D10</x:v>
      </x:c>
      <x:c r="J10" s="85" t="b">
        <x:v>1</x:v>
      </x:c>
      <x:c r="K10" s="85" t="b">
        <x:v>1</x:v>
      </x:c>
      <x:c r="L10" s="56" t="str">
        <x:f>'Global Config'!K10</x:f>
        <x:v>OK</x:v>
      </x:c>
      <x:c r="M10" s="44" t="str">
        <x:v>Длительность одного тика</x:v>
      </x:c>
    </x:row>
    <x:row r="11" ht="36" customHeight="1">
      <x:c r="A11" s="118" t="n">
        <x:v>6</x:v>
      </x:c>
      <x:c r="B11" s="35" t="str">
        <x:v>global</x:v>
      </x:c>
      <x:c r="C11" s="35" t="str">
        <x:v>root</x:v>
      </x:c>
      <x:c r="D11" s="35" t="str">
        <x:v>battle.time_limit_ticks</x:v>
      </x:c>
      <x:c r="E11" s="38" t="str">
        <x:v>int</x:v>
      </x:c>
      <x:c r="F11" s="56" t="n">
        <x:f>'Global Config'!D11</x:f>
        <x:v>600</x:v>
      </x:c>
      <x:c r="G11" s="38" t="str">
        <x:v>ticks</x:v>
      </x:c>
      <x:c r="H11" s="35" t="str">
        <x:v>Global Config</x:v>
      </x:c>
      <x:c r="I11" s="35" t="str">
        <x:v>D11</x:v>
      </x:c>
      <x:c r="J11" s="85" t="b">
        <x:v>1</x:v>
      </x:c>
      <x:c r="K11" s="85" t="b">
        <x:v>1</x:v>
      </x:c>
      <x:c r="L11" s="56" t="str">
        <x:f>'Global Config'!K11</x:f>
        <x:v>OK</x:v>
      </x:c>
      <x:c r="M11" s="44" t="str">
        <x:v>Лимит боя</x:v>
      </x:c>
    </x:row>
    <x:row r="12" ht="36" customHeight="1">
      <x:c r="A12" s="118" t="n">
        <x:v>7</x:v>
      </x:c>
      <x:c r="B12" s="35" t="str">
        <x:v>global</x:v>
      </x:c>
      <x:c r="C12" s="35" t="str">
        <x:v>root</x:v>
      </x:c>
      <x:c r="D12" s="35" t="str">
        <x:v>global.sim.fp_scale</x:v>
      </x:c>
      <x:c r="E12" s="38" t="str">
        <x:v>int</x:v>
      </x:c>
      <x:c r="F12" s="56" t="n">
        <x:f>'Global Config'!D12</x:f>
        <x:v>1000</x:v>
      </x:c>
      <x:c r="G12" s="38" t="str">
        <x:v>fp</x:v>
      </x:c>
      <x:c r="H12" s="35" t="str">
        <x:v>Global Config</x:v>
      </x:c>
      <x:c r="I12" s="35" t="str">
        <x:v>D12</x:v>
      </x:c>
      <x:c r="J12" s="85" t="b">
        <x:v>1</x:v>
      </x:c>
      <x:c r="K12" s="85" t="b">
        <x:v>1</x:v>
      </x:c>
      <x:c r="L12" s="56" t="str">
        <x:f>'Global Config'!K12</x:f>
        <x:v>OK</x:v>
      </x:c>
      <x:c r="M12" s="44" t="str">
        <x:v>Масштаб fixed-point</x:v>
      </x:c>
    </x:row>
    <x:row r="13" ht="36" customHeight="1">
      <x:c r="A13" s="118" t="n">
        <x:v>8</x:v>
      </x:c>
      <x:c r="B13" s="35" t="str">
        <x:v>global</x:v>
      </x:c>
      <x:c r="C13" s="35" t="str">
        <x:v>root</x:v>
      </x:c>
      <x:c r="D13" s="35" t="str">
        <x:v>global.sim.probability_min</x:v>
      </x:c>
      <x:c r="E13" s="38" t="str">
        <x:v>fp</x:v>
      </x:c>
      <x:c r="F13" s="56" t="n">
        <x:f>'Global Config'!D13</x:f>
        <x:v>0</x:v>
      </x:c>
      <x:c r="G13" s="38" t="str">
        <x:v>fp</x:v>
      </x:c>
      <x:c r="H13" s="35" t="str">
        <x:v>Global Config</x:v>
      </x:c>
      <x:c r="I13" s="35" t="str">
        <x:v>D13</x:v>
      </x:c>
      <x:c r="J13" s="85" t="b">
        <x:v>1</x:v>
      </x:c>
      <x:c r="K13" s="85" t="b">
        <x:v>1</x:v>
      </x:c>
      <x:c r="L13" s="56" t="str">
        <x:f>'Global Config'!K13</x:f>
        <x:v>OK</x:v>
      </x:c>
      <x:c r="M13" s="44" t="str">
        <x:v>Минимум вероятности</x:v>
      </x:c>
    </x:row>
    <x:row r="14" ht="36" customHeight="1">
      <x:c r="A14" s="118" t="n">
        <x:v>9</x:v>
      </x:c>
      <x:c r="B14" s="35" t="str">
        <x:v>global</x:v>
      </x:c>
      <x:c r="C14" s="35" t="str">
        <x:v>root</x:v>
      </x:c>
      <x:c r="D14" s="35" t="str">
        <x:v>global.sim.probability_max</x:v>
      </x:c>
      <x:c r="E14" s="38" t="str">
        <x:v>fp</x:v>
      </x:c>
      <x:c r="F14" s="56" t="n">
        <x:f>'Global Config'!D14</x:f>
        <x:v>1000</x:v>
      </x:c>
      <x:c r="G14" s="38" t="str">
        <x:v>fp</x:v>
      </x:c>
      <x:c r="H14" s="35" t="str">
        <x:v>Global Config</x:v>
      </x:c>
      <x:c r="I14" s="35" t="str">
        <x:v>D14</x:v>
      </x:c>
      <x:c r="J14" s="85" t="b">
        <x:v>1</x:v>
      </x:c>
      <x:c r="K14" s="85" t="b">
        <x:v>1</x:v>
      </x:c>
      <x:c r="L14" s="56" t="str">
        <x:f>'Global Config'!K14</x:f>
        <x:v>OK</x:v>
      </x:c>
      <x:c r="M14" s="44" t="str">
        <x:v>Максимум вероятности</x:v>
      </x:c>
    </x:row>
    <x:row r="15" ht="36" customHeight="1">
      <x:c r="A15" s="118" t="n">
        <x:v>10</x:v>
      </x:c>
      <x:c r="B15" s="35" t="str">
        <x:v>global</x:v>
      </x:c>
      <x:c r="C15" s="35" t="str">
        <x:v>root</x:v>
      </x:c>
      <x:c r="D15" s="35" t="str">
        <x:v>global.sim.multiplier_min</x:v>
      </x:c>
      <x:c r="E15" s="38" t="str">
        <x:v>fp</x:v>
      </x:c>
      <x:c r="F15" s="56" t="n">
        <x:f>'Global Config'!D15</x:f>
        <x:v>250</x:v>
      </x:c>
      <x:c r="G15" s="38" t="str">
        <x:v>fp</x:v>
      </x:c>
      <x:c r="H15" s="35" t="str">
        <x:v>Global Config</x:v>
      </x:c>
      <x:c r="I15" s="35" t="str">
        <x:v>D15</x:v>
      </x:c>
      <x:c r="J15" s="85" t="b">
        <x:v>1</x:v>
      </x:c>
      <x:c r="K15" s="85" t="b">
        <x:v>1</x:v>
      </x:c>
      <x:c r="L15" s="56" t="str">
        <x:f>'Global Config'!K15</x:f>
        <x:v>OK</x:v>
      </x:c>
      <x:c r="M15" s="44" t="str">
        <x:v>Минимальный множитель веса</x:v>
      </x:c>
    </x:row>
    <x:row r="16" ht="36" customHeight="1">
      <x:c r="A16" s="118" t="n">
        <x:v>11</x:v>
      </x:c>
      <x:c r="B16" s="35" t="str">
        <x:v>global</x:v>
      </x:c>
      <x:c r="C16" s="35" t="str">
        <x:v>root</x:v>
      </x:c>
      <x:c r="D16" s="35" t="str">
        <x:v>global.sim.multiplier_max</x:v>
      </x:c>
      <x:c r="E16" s="38" t="str">
        <x:v>fp</x:v>
      </x:c>
      <x:c r="F16" s="56" t="n">
        <x:f>'Global Config'!D16</x:f>
        <x:v>3000</x:v>
      </x:c>
      <x:c r="G16" s="38" t="str">
        <x:v>fp</x:v>
      </x:c>
      <x:c r="H16" s="35" t="str">
        <x:v>Global Config</x:v>
      </x:c>
      <x:c r="I16" s="35" t="str">
        <x:v>D16</x:v>
      </x:c>
      <x:c r="J16" s="85" t="b">
        <x:v>1</x:v>
      </x:c>
      <x:c r="K16" s="85" t="b">
        <x:v>1</x:v>
      </x:c>
      <x:c r="L16" s="56" t="str">
        <x:f>'Global Config'!K16</x:f>
        <x:v>OK</x:v>
      </x:c>
      <x:c r="M16" s="44" t="str">
        <x:v>Максимальный множитель веса</x:v>
      </x:c>
    </x:row>
    <x:row r="17" ht="36" customHeight="1">
      <x:c r="A17" s="118" t="n">
        <x:v>12</x:v>
      </x:c>
      <x:c r="B17" s="35" t="str">
        <x:v>global</x:v>
      </x:c>
      <x:c r="C17" s="35" t="str">
        <x:v>root</x:v>
      </x:c>
      <x:c r="D17" s="35" t="str">
        <x:v>global.sim.decision_weight_max</x:v>
      </x:c>
      <x:c r="E17" s="38" t="str">
        <x:v>int</x:v>
      </x:c>
      <x:c r="F17" s="56" t="n">
        <x:f>'Global Config'!D17</x:f>
        <x:v>100000000</x:v>
      </x:c>
      <x:c r="G17" s="38" t="str">
        <x:v>weight</x:v>
      </x:c>
      <x:c r="H17" s="35" t="str">
        <x:v>Global Config</x:v>
      </x:c>
      <x:c r="I17" s="35" t="str">
        <x:v>D17</x:v>
      </x:c>
      <x:c r="J17" s="85" t="b">
        <x:v>1</x:v>
      </x:c>
      <x:c r="K17" s="85" t="b">
        <x:v>1</x:v>
      </x:c>
      <x:c r="L17" s="56" t="str">
        <x:f>'Global Config'!K17</x:f>
        <x:v>OK</x:v>
      </x:c>
      <x:c r="M17" s="44" t="str">
        <x:v>Максимальный итоговый вес</x:v>
      </x:c>
    </x:row>
    <x:row r="18" ht="36" customHeight="1">
      <x:c r="A18" s="118" t="n">
        <x:v>13</x:v>
      </x:c>
      <x:c r="B18" s="35" t="str">
        <x:v>global</x:v>
      </x:c>
      <x:c r="C18" s="35" t="str">
        <x:v>root</x:v>
      </x:c>
      <x:c r="D18" s="35" t="str">
        <x:v>global.arena.min_position</x:v>
      </x:c>
      <x:c r="E18" s="38" t="str">
        <x:v>int</x:v>
      </x:c>
      <x:c r="F18" s="56" t="n">
        <x:f>'Global Config'!D18</x:f>
        <x:v>0</x:v>
      </x:c>
      <x:c r="G18" s="38" t="str">
        <x:v>position</x:v>
      </x:c>
      <x:c r="H18" s="35" t="str">
        <x:v>Global Config</x:v>
      </x:c>
      <x:c r="I18" s="35" t="str">
        <x:v>D18</x:v>
      </x:c>
      <x:c r="J18" s="85" t="b">
        <x:v>1</x:v>
      </x:c>
      <x:c r="K18" s="85" t="b">
        <x:v>1</x:v>
      </x:c>
      <x:c r="L18" s="56" t="str">
        <x:f>'Global Config'!K18</x:f>
        <x:v>OK</x:v>
      </x:c>
      <x:c r="M18" s="44" t="str">
        <x:v>Левая граница арены</x:v>
      </x:c>
    </x:row>
    <x:row r="19" ht="36" customHeight="1">
      <x:c r="A19" s="118" t="n">
        <x:v>14</x:v>
      </x:c>
      <x:c r="B19" s="35" t="str">
        <x:v>global</x:v>
      </x:c>
      <x:c r="C19" s="35" t="str">
        <x:v>root</x:v>
      </x:c>
      <x:c r="D19" s="35" t="str">
        <x:v>global.arena.max_position</x:v>
      </x:c>
      <x:c r="E19" s="38" t="str">
        <x:v>int</x:v>
      </x:c>
      <x:c r="F19" s="56" t="n">
        <x:f>'Global Config'!D19</x:f>
        <x:v>10000</x:v>
      </x:c>
      <x:c r="G19" s="38" t="str">
        <x:v>position</x:v>
      </x:c>
      <x:c r="H19" s="35" t="str">
        <x:v>Global Config</x:v>
      </x:c>
      <x:c r="I19" s="35" t="str">
        <x:v>D19</x:v>
      </x:c>
      <x:c r="J19" s="85" t="b">
        <x:v>1</x:v>
      </x:c>
      <x:c r="K19" s="85" t="b">
        <x:v>1</x:v>
      </x:c>
      <x:c r="L19" s="56" t="str">
        <x:f>'Global Config'!K19</x:f>
        <x:v>OK</x:v>
      </x:c>
      <x:c r="M19" s="44" t="str">
        <x:v>Правая граница арены</x:v>
      </x:c>
    </x:row>
    <x:row r="20" ht="36" customHeight="1">
      <x:c r="A20" s="118" t="n">
        <x:v>15</x:v>
      </x:c>
      <x:c r="B20" s="35" t="str">
        <x:v>global</x:v>
      </x:c>
      <x:c r="C20" s="35" t="str">
        <x:v>root</x:v>
      </x:c>
      <x:c r="D20" s="35" t="str">
        <x:v>global.arena.start_position_a</x:v>
      </x:c>
      <x:c r="E20" s="38" t="str">
        <x:v>int</x:v>
      </x:c>
      <x:c r="F20" s="56" t="n">
        <x:f>'Global Config'!D20</x:f>
        <x:v>2000</x:v>
      </x:c>
      <x:c r="G20" s="38" t="str">
        <x:v>position</x:v>
      </x:c>
      <x:c r="H20" s="35" t="str">
        <x:v>Global Config</x:v>
      </x:c>
      <x:c r="I20" s="35" t="str">
        <x:v>D20</x:v>
      </x:c>
      <x:c r="J20" s="85" t="b">
        <x:v>1</x:v>
      </x:c>
      <x:c r="K20" s="85" t="b">
        <x:v>1</x:v>
      </x:c>
      <x:c r="L20" s="56" t="str">
        <x:f>'Global Config'!K20</x:f>
        <x:v>OK</x:v>
      </x:c>
      <x:c r="M20" s="44" t="str">
        <x:v>Стартовая позиция A</x:v>
      </x:c>
    </x:row>
    <x:row r="21" ht="36" customHeight="1">
      <x:c r="A21" s="118" t="n">
        <x:v>16</x:v>
      </x:c>
      <x:c r="B21" s="35" t="str">
        <x:v>global</x:v>
      </x:c>
      <x:c r="C21" s="35" t="str">
        <x:v>root</x:v>
      </x:c>
      <x:c r="D21" s="35" t="str">
        <x:v>global.arena.start_position_b</x:v>
      </x:c>
      <x:c r="E21" s="38" t="str">
        <x:v>int</x:v>
      </x:c>
      <x:c r="F21" s="56" t="n">
        <x:f>'Global Config'!D21</x:f>
        <x:v>8000</x:v>
      </x:c>
      <x:c r="G21" s="38" t="str">
        <x:v>position</x:v>
      </x:c>
      <x:c r="H21" s="35" t="str">
        <x:v>Global Config</x:v>
      </x:c>
      <x:c r="I21" s="35" t="str">
        <x:v>D21</x:v>
      </x:c>
      <x:c r="J21" s="85" t="b">
        <x:v>1</x:v>
      </x:c>
      <x:c r="K21" s="85" t="b">
        <x:v>1</x:v>
      </x:c>
      <x:c r="L21" s="56" t="str">
        <x:f>'Global Config'!K21</x:f>
        <x:v>OK</x:v>
      </x:c>
      <x:c r="M21" s="44" t="str">
        <x:v>Стартовая позиция B</x:v>
      </x:c>
    </x:row>
    <x:row r="22" ht="36" customHeight="1">
      <x:c r="A22" s="118" t="n">
        <x:v>17</x:v>
      </x:c>
      <x:c r="B22" s="35" t="str">
        <x:v>global</x:v>
      </x:c>
      <x:c r="C22" s="35" t="str">
        <x:v>root</x:v>
      </x:c>
      <x:c r="D22" s="35" t="str">
        <x:v>global.arena.wall_zone_size</x:v>
      </x:c>
      <x:c r="E22" s="38" t="str">
        <x:v>int</x:v>
      </x:c>
      <x:c r="F22" s="56" t="n">
        <x:f>'Global Config'!D22</x:f>
        <x:v>1200</x:v>
      </x:c>
      <x:c r="G22" s="38" t="str">
        <x:v>position</x:v>
      </x:c>
      <x:c r="H22" s="35" t="str">
        <x:v>Global Config</x:v>
      </x:c>
      <x:c r="I22" s="35" t="str">
        <x:v>D22</x:v>
      </x:c>
      <x:c r="J22" s="85" t="b">
        <x:v>1</x:v>
      </x:c>
      <x:c r="K22" s="85" t="b">
        <x:v>1</x:v>
      </x:c>
      <x:c r="L22" s="56" t="str">
        <x:f>'Global Config'!K22</x:f>
        <x:v>OK</x:v>
      </x:c>
      <x:c r="M22" s="44" t="str">
        <x:v>Ширина зоны стены</x:v>
      </x:c>
    </x:row>
    <x:row r="23" ht="36" customHeight="1">
      <x:c r="A23" s="118" t="n">
        <x:v>18</x:v>
      </x:c>
      <x:c r="B23" s="35" t="str">
        <x:v>global</x:v>
      </x:c>
      <x:c r="C23" s="35" t="str">
        <x:v>root</x:v>
      </x:c>
      <x:c r="D23" s="35" t="str">
        <x:v>global.damage.armor_k</x:v>
      </x:c>
      <x:c r="E23" s="38" t="str">
        <x:v>int</x:v>
      </x:c>
      <x:c r="F23" s="56" t="n">
        <x:f>'Global Config'!D23</x:f>
        <x:v>200</x:v>
      </x:c>
      <x:c r="G23" s="38" t="str">
        <x:v>rating</x:v>
      </x:c>
      <x:c r="H23" s="35" t="str">
        <x:v>Global Config</x:v>
      </x:c>
      <x:c r="I23" s="35" t="str">
        <x:v>D23</x:v>
      </x:c>
      <x:c r="J23" s="85" t="b">
        <x:v>1</x:v>
      </x:c>
      <x:c r="K23" s="85" t="b">
        <x:v>1</x:v>
      </x:c>
      <x:c r="L23" s="56" t="str">
        <x:f>'Global Config'!K23</x:f>
        <x:v>OK</x:v>
      </x:c>
      <x:c r="M23" s="44" t="str">
        <x:v>Константа нелинейной брони</x:v>
      </x:c>
    </x:row>
    <x:row r="24" ht="36" customHeight="1">
      <x:c r="A24" s="118" t="n">
        <x:v>19</x:v>
      </x:c>
      <x:c r="B24" s="35" t="str">
        <x:v>global</x:v>
      </x:c>
      <x:c r="C24" s="35" t="str">
        <x:v>root</x:v>
      </x:c>
      <x:c r="D24" s="35" t="str">
        <x:v>global.damage.floor</x:v>
      </x:c>
      <x:c r="E24" s="38" t="str">
        <x:v>int</x:v>
      </x:c>
      <x:c r="F24" s="56" t="n">
        <x:f>'Global Config'!D24</x:f>
        <x:v>1</x:v>
      </x:c>
      <x:c r="G24" s="38" t="str">
        <x:v>hp</x:v>
      </x:c>
      <x:c r="H24" s="35" t="str">
        <x:v>Global Config</x:v>
      </x:c>
      <x:c r="I24" s="35" t="str">
        <x:v>D24</x:v>
      </x:c>
      <x:c r="J24" s="85" t="b">
        <x:v>1</x:v>
      </x:c>
      <x:c r="K24" s="85" t="b">
        <x:v>1</x:v>
      </x:c>
      <x:c r="L24" s="56" t="str">
        <x:f>'Global Config'!K24</x:f>
        <x:v>OK</x:v>
      </x:c>
      <x:c r="M24" s="44" t="str">
        <x:v>Общий нижний clamp урона</x:v>
      </x:c>
    </x:row>
    <x:row r="25" ht="36" customHeight="1">
      <x:c r="A25" s="118" t="n">
        <x:v>20</x:v>
      </x:c>
      <x:c r="B25" s="35" t="str">
        <x:v>global</x:v>
      </x:c>
      <x:c r="C25" s="35" t="str">
        <x:v>root</x:v>
      </x:c>
      <x:c r="D25" s="35" t="str">
        <x:v>global.damage.cap</x:v>
      </x:c>
      <x:c r="E25" s="38" t="str">
        <x:v>int</x:v>
      </x:c>
      <x:c r="F25" s="56" t="n">
        <x:f>'Global Config'!D25</x:f>
        <x:v>600</x:v>
      </x:c>
      <x:c r="G25" s="38" t="str">
        <x:v>hp</x:v>
      </x:c>
      <x:c r="H25" s="35" t="str">
        <x:v>Global Config</x:v>
      </x:c>
      <x:c r="I25" s="35" t="str">
        <x:v>D25</x:v>
      </x:c>
      <x:c r="J25" s="85" t="b">
        <x:v>1</x:v>
      </x:c>
      <x:c r="K25" s="85" t="b">
        <x:v>1</x:v>
      </x:c>
      <x:c r="L25" s="56" t="str">
        <x:f>'Global Config'!K25</x:f>
        <x:v>OK</x:v>
      </x:c>
      <x:c r="M25" s="44" t="str">
        <x:v>Общий верхний clamp урона</x:v>
      </x:c>
    </x:row>
    <x:row r="26" ht="36" customHeight="1">
      <x:c r="A26" s="118" t="n">
        <x:v>21</x:v>
      </x:c>
      <x:c r="B26" s="35" t="str">
        <x:v>global</x:v>
      </x:c>
      <x:c r="C26" s="35" t="str">
        <x:v>root</x:v>
      </x:c>
      <x:c r="D26" s="35" t="str">
        <x:v>global.damage.block_slope</x:v>
      </x:c>
      <x:c r="E26" s="38" t="str">
        <x:v>fp</x:v>
      </x:c>
      <x:c r="F26" s="56" t="n">
        <x:f>'Global Config'!D26</x:f>
        <x:v>3</x:v>
      </x:c>
      <x:c r="G26" s="38" t="str">
        <x:v>fp/rating</x:v>
      </x:c>
      <x:c r="H26" s="35" t="str">
        <x:v>Global Config</x:v>
      </x:c>
      <x:c r="I26" s="35" t="str">
        <x:v>D26</x:v>
      </x:c>
      <x:c r="J26" s="85" t="b">
        <x:v>1</x:v>
      </x:c>
      <x:c r="K26" s="85" t="b">
        <x:v>1</x:v>
      </x:c>
      <x:c r="L26" s="56" t="str">
        <x:f>'Global Config'!K26</x:f>
        <x:v>OK</x:v>
      </x:c>
      <x:c r="M26" s="44" t="str">
        <x:v>Наклон Guard против GuardBreak</x:v>
      </x:c>
    </x:row>
    <x:row r="27" ht="36" customHeight="1">
      <x:c r="A27" s="118" t="n">
        <x:v>22</x:v>
      </x:c>
      <x:c r="B27" s="35" t="str">
        <x:v>global</x:v>
      </x:c>
      <x:c r="C27" s="35" t="str">
        <x:v>root</x:v>
      </x:c>
      <x:c r="D27" s="35" t="str">
        <x:v>global.damage.block_min</x:v>
      </x:c>
      <x:c r="E27" s="38" t="str">
        <x:v>fp</x:v>
      </x:c>
      <x:c r="F27" s="56" t="n">
        <x:f>'Global Config'!D27</x:f>
        <x:v>100</x:v>
      </x:c>
      <x:c r="G27" s="38" t="str">
        <x:v>fp</x:v>
      </x:c>
      <x:c r="H27" s="35" t="str">
        <x:v>Global Config</x:v>
      </x:c>
      <x:c r="I27" s="35" t="str">
        <x:v>D27</x:v>
      </x:c>
      <x:c r="J27" s="85" t="b">
        <x:v>1</x:v>
      </x:c>
      <x:c r="K27" s="85" t="b">
        <x:v>1</x:v>
      </x:c>
      <x:c r="L27" s="56" t="str">
        <x:f>'Global Config'!K27</x:f>
        <x:v>OK</x:v>
      </x:c>
      <x:c r="M27" s="44" t="str">
        <x:v>Минимальный шанс Block</x:v>
      </x:c>
    </x:row>
    <x:row r="28" ht="36" customHeight="1">
      <x:c r="A28" s="118" t="n">
        <x:v>23</x:v>
      </x:c>
      <x:c r="B28" s="35" t="str">
        <x:v>global</x:v>
      </x:c>
      <x:c r="C28" s="35" t="str">
        <x:v>root</x:v>
      </x:c>
      <x:c r="D28" s="35" t="str">
        <x:v>global.damage.block_max</x:v>
      </x:c>
      <x:c r="E28" s="38" t="str">
        <x:v>fp</x:v>
      </x:c>
      <x:c r="F28" s="56" t="n">
        <x:f>'Global Config'!D28</x:f>
        <x:v>900</x:v>
      </x:c>
      <x:c r="G28" s="38" t="str">
        <x:v>fp</x:v>
      </x:c>
      <x:c r="H28" s="35" t="str">
        <x:v>Global Config</x:v>
      </x:c>
      <x:c r="I28" s="35" t="str">
        <x:v>D28</x:v>
      </x:c>
      <x:c r="J28" s="85" t="b">
        <x:v>1</x:v>
      </x:c>
      <x:c r="K28" s="85" t="b">
        <x:v>1</x:v>
      </x:c>
      <x:c r="L28" s="56" t="str">
        <x:f>'Global Config'!K28</x:f>
        <x:v>OK</x:v>
      </x:c>
      <x:c r="M28" s="44" t="str">
        <x:v>Максимальный шанс Block</x:v>
      </x:c>
    </x:row>
    <x:row r="29" ht="36" customHeight="1">
      <x:c r="A29" s="118" t="n">
        <x:v>24</x:v>
      </x:c>
      <x:c r="B29" s="35" t="str">
        <x:v>global</x:v>
      </x:c>
      <x:c r="C29" s="35" t="str">
        <x:v>root</x:v>
      </x:c>
      <x:c r="D29" s="35" t="str">
        <x:v>global.damage.dodge_slope</x:v>
      </x:c>
      <x:c r="E29" s="38" t="str">
        <x:v>fp</x:v>
      </x:c>
      <x:c r="F29" s="56" t="n">
        <x:f>'Global Config'!D29</x:f>
        <x:v>3</x:v>
      </x:c>
      <x:c r="G29" s="38" t="str">
        <x:v>fp/rating</x:v>
      </x:c>
      <x:c r="H29" s="35" t="str">
        <x:v>Global Config</x:v>
      </x:c>
      <x:c r="I29" s="35" t="str">
        <x:v>D29</x:v>
      </x:c>
      <x:c r="J29" s="85" t="b">
        <x:v>1</x:v>
      </x:c>
      <x:c r="K29" s="85" t="b">
        <x:v>1</x:v>
      </x:c>
      <x:c r="L29" s="56" t="str">
        <x:f>'Global Config'!K29</x:f>
        <x:v>OK</x:v>
      </x:c>
      <x:c r="M29" s="44" t="str">
        <x:v>Наклон Evasion против Precision</x:v>
      </x:c>
    </x:row>
    <x:row r="30" ht="36" customHeight="1">
      <x:c r="A30" s="118" t="n">
        <x:v>25</x:v>
      </x:c>
      <x:c r="B30" s="35" t="str">
        <x:v>global</x:v>
      </x:c>
      <x:c r="C30" s="35" t="str">
        <x:v>root</x:v>
      </x:c>
      <x:c r="D30" s="35" t="str">
        <x:v>global.damage.dodge_min</x:v>
      </x:c>
      <x:c r="E30" s="38" t="str">
        <x:v>fp</x:v>
      </x:c>
      <x:c r="F30" s="56" t="n">
        <x:f>'Global Config'!D30</x:f>
        <x:v>50</x:v>
      </x:c>
      <x:c r="G30" s="38" t="str">
        <x:v>fp</x:v>
      </x:c>
      <x:c r="H30" s="35" t="str">
        <x:v>Global Config</x:v>
      </x:c>
      <x:c r="I30" s="35" t="str">
        <x:v>D30</x:v>
      </x:c>
      <x:c r="J30" s="85" t="b">
        <x:v>1</x:v>
      </x:c>
      <x:c r="K30" s="85" t="b">
        <x:v>1</x:v>
      </x:c>
      <x:c r="L30" s="56" t="str">
        <x:f>'Global Config'!K30</x:f>
        <x:v>OK</x:v>
      </x:c>
      <x:c r="M30" s="44" t="str">
        <x:v>Минимальный шанс Dodge</x:v>
      </x:c>
    </x:row>
    <x:row r="31" ht="36" customHeight="1">
      <x:c r="A31" s="118" t="n">
        <x:v>26</x:v>
      </x:c>
      <x:c r="B31" s="35" t="str">
        <x:v>global</x:v>
      </x:c>
      <x:c r="C31" s="35" t="str">
        <x:v>root</x:v>
      </x:c>
      <x:c r="D31" s="35" t="str">
        <x:v>global.damage.dodge_max</x:v>
      </x:c>
      <x:c r="E31" s="38" t="str">
        <x:v>fp</x:v>
      </x:c>
      <x:c r="F31" s="56" t="n">
        <x:f>'Global Config'!D31</x:f>
        <x:v>850</x:v>
      </x:c>
      <x:c r="G31" s="38" t="str">
        <x:v>fp</x:v>
      </x:c>
      <x:c r="H31" s="35" t="str">
        <x:v>Global Config</x:v>
      </x:c>
      <x:c r="I31" s="35" t="str">
        <x:v>D31</x:v>
      </x:c>
      <x:c r="J31" s="85" t="b">
        <x:v>1</x:v>
      </x:c>
      <x:c r="K31" s="85" t="b">
        <x:v>1</x:v>
      </x:c>
      <x:c r="L31" s="56" t="str">
        <x:f>'Global Config'!K31</x:f>
        <x:v>OK</x:v>
      </x:c>
      <x:c r="M31" s="44" t="str">
        <x:v>Максимальный шанс Dodge</x:v>
      </x:c>
    </x:row>
    <x:row r="32" ht="36" customHeight="1">
      <x:c r="A32" s="118" t="n">
        <x:v>27</x:v>
      </x:c>
      <x:c r="B32" s="35" t="str">
        <x:v>global</x:v>
      </x:c>
      <x:c r="C32" s="35" t="str">
        <x:v>root</x:v>
      </x:c>
      <x:c r="D32" s="35" t="str">
        <x:v>global.damage.speed_baseline</x:v>
      </x:c>
      <x:c r="E32" s="38" t="str">
        <x:v>int</x:v>
      </x:c>
      <x:c r="F32" s="56" t="n">
        <x:f>'Global Config'!D32</x:f>
        <x:v>100</x:v>
      </x:c>
      <x:c r="G32" s="38" t="str">
        <x:v>rating</x:v>
      </x:c>
      <x:c r="H32" s="35" t="str">
        <x:v>Global Config</x:v>
      </x:c>
      <x:c r="I32" s="35" t="str">
        <x:v>D32</x:v>
      </x:c>
      <x:c r="J32" s="85" t="b">
        <x:v>1</x:v>
      </x:c>
      <x:c r="K32" s="85" t="b">
        <x:v>1</x:v>
      </x:c>
      <x:c r="L32" s="56" t="str">
        <x:f>'Global Config'!K32</x:f>
        <x:v>OK</x:v>
      </x:c>
      <x:c r="M32" s="44" t="str">
        <x:v>Базовый ActionSpeed</x:v>
      </x:c>
    </x:row>
    <x:row r="33" ht="36" customHeight="1">
      <x:c r="A33" s="118" t="n">
        <x:v>28</x:v>
      </x:c>
      <x:c r="B33" s="35" t="str">
        <x:v>global</x:v>
      </x:c>
      <x:c r="C33" s="35" t="str">
        <x:v>root</x:v>
      </x:c>
      <x:c r="D33" s="35" t="str">
        <x:v>global.damage.speed_slope</x:v>
      </x:c>
      <x:c r="E33" s="38" t="str">
        <x:v>fp</x:v>
      </x:c>
      <x:c r="F33" s="56" t="n">
        <x:f>'Global Config'!D33</x:f>
        <x:v>5</x:v>
      </x:c>
      <x:c r="G33" s="38" t="str">
        <x:v>fp/rating</x:v>
      </x:c>
      <x:c r="H33" s="35" t="str">
        <x:v>Global Config</x:v>
      </x:c>
      <x:c r="I33" s="35" t="str">
        <x:v>D33</x:v>
      </x:c>
      <x:c r="J33" s="85" t="b">
        <x:v>1</x:v>
      </x:c>
      <x:c r="K33" s="85" t="b">
        <x:v>1</x:v>
      </x:c>
      <x:c r="L33" s="56" t="str">
        <x:f>'Global Config'!K33</x:f>
        <x:v>OK</x:v>
      </x:c>
      <x:c r="M33" s="44" t="str">
        <x:v>Влияние ActionSpeed</x:v>
      </x:c>
    </x:row>
    <x:row r="34" ht="36" customHeight="1">
      <x:c r="A34" s="118" t="n">
        <x:v>29</x:v>
      </x:c>
      <x:c r="B34" s="35" t="str">
        <x:v>global</x:v>
      </x:c>
      <x:c r="C34" s="35" t="str">
        <x:v>root</x:v>
      </x:c>
      <x:c r="D34" s="35" t="str">
        <x:v>global.damage.speed_min</x:v>
      </x:c>
      <x:c r="E34" s="38" t="str">
        <x:v>fp</x:v>
      </x:c>
      <x:c r="F34" s="56" t="n">
        <x:f>'Global Config'!D34</x:f>
        <x:v>600</x:v>
      </x:c>
      <x:c r="G34" s="38" t="str">
        <x:v>fp</x:v>
      </x:c>
      <x:c r="H34" s="35" t="str">
        <x:v>Global Config</x:v>
      </x:c>
      <x:c r="I34" s="35" t="str">
        <x:v>D34</x:v>
      </x:c>
      <x:c r="J34" s="85" t="b">
        <x:v>1</x:v>
      </x:c>
      <x:c r="K34" s="85" t="b">
        <x:v>1</x:v>
      </x:c>
      <x:c r="L34" s="56" t="str">
        <x:f>'Global Config'!K34</x:f>
        <x:v>OK</x:v>
      </x:c>
      <x:c r="M34" s="44" t="str">
        <x:v>Минимальный speed multiplier</x:v>
      </x:c>
    </x:row>
    <x:row r="35" ht="36" customHeight="1">
      <x:c r="A35" s="118" t="n">
        <x:v>30</x:v>
      </x:c>
      <x:c r="B35" s="35" t="str">
        <x:v>global</x:v>
      </x:c>
      <x:c r="C35" s="35" t="str">
        <x:v>root</x:v>
      </x:c>
      <x:c r="D35" s="35" t="str">
        <x:v>global.damage.speed_max</x:v>
      </x:c>
      <x:c r="E35" s="38" t="str">
        <x:v>fp</x:v>
      </x:c>
      <x:c r="F35" s="56" t="n">
        <x:f>'Global Config'!D35</x:f>
        <x:v>1500</x:v>
      </x:c>
      <x:c r="G35" s="38" t="str">
        <x:v>fp</x:v>
      </x:c>
      <x:c r="H35" s="35" t="str">
        <x:v>Global Config</x:v>
      </x:c>
      <x:c r="I35" s="35" t="str">
        <x:v>D35</x:v>
      </x:c>
      <x:c r="J35" s="85" t="b">
        <x:v>1</x:v>
      </x:c>
      <x:c r="K35" s="85" t="b">
        <x:v>1</x:v>
      </x:c>
      <x:c r="L35" s="56" t="str">
        <x:f>'Global Config'!K35</x:f>
        <x:v>OK</x:v>
      </x:c>
      <x:c r="M35" s="44" t="str">
        <x:v>Максимальный speed multiplier</x:v>
      </x:c>
    </x:row>
    <x:row r="36" ht="36" customHeight="1">
      <x:c r="A36" s="118" t="n">
        <x:v>31</x:v>
      </x:c>
      <x:c r="B36" s="35" t="str">
        <x:v>global</x:v>
      </x:c>
      <x:c r="C36" s="35" t="str">
        <x:v>root</x:v>
      </x:c>
      <x:c r="D36" s="35" t="str">
        <x:v>analysis.benchmark_armor</x:v>
      </x:c>
      <x:c r="E36" s="38" t="str">
        <x:v>int</x:v>
      </x:c>
      <x:c r="F36" s="56" t="n">
        <x:f>'Global Config'!D36</x:f>
        <x:v>100</x:v>
      </x:c>
      <x:c r="G36" s="38" t="str">
        <x:v>rating</x:v>
      </x:c>
      <x:c r="H36" s="35" t="str">
        <x:v>Global Config</x:v>
      </x:c>
      <x:c r="I36" s="35" t="str">
        <x:v>D36</x:v>
      </x:c>
      <x:c r="J36" s="85" t="b">
        <x:v>1</x:v>
      </x:c>
      <x:c r="K36" s="85" t="b">
        <x:v>1</x:v>
      </x:c>
      <x:c r="L36" s="56" t="str">
        <x:f>'Global Config'!K36</x:f>
        <x:v>OK</x:v>
      </x:c>
      <x:c r="M36" s="44" t="str">
        <x:v>Броня для сравнительного урона</x:v>
      </x:c>
    </x:row>
    <x:row r="37" ht="36" customHeight="1">
      <x:c r="A37" s="118" t="n">
        <x:v>32</x:v>
      </x:c>
      <x:c r="B37" s="35" t="str">
        <x:v>global</x:v>
      </x:c>
      <x:c r="C37" s="35" t="str">
        <x:v>root</x:v>
      </x:c>
      <x:c r="D37" s="35" t="str">
        <x:v>global.control.control_k</x:v>
      </x:c>
      <x:c r="E37" s="38" t="str">
        <x:v>int</x:v>
      </x:c>
      <x:c r="F37" s="56" t="n">
        <x:f>'Global Config'!D37</x:f>
        <x:v>150</x:v>
      </x:c>
      <x:c r="G37" s="38" t="str">
        <x:v>rating</x:v>
      </x:c>
      <x:c r="H37" s="35" t="str">
        <x:v>Global Config</x:v>
      </x:c>
      <x:c r="I37" s="35" t="str">
        <x:v>D37</x:v>
      </x:c>
      <x:c r="J37" s="85" t="b">
        <x:v>1</x:v>
      </x:c>
      <x:c r="K37" s="85" t="b">
        <x:v>1</x:v>
      </x:c>
      <x:c r="L37" s="56" t="str">
        <x:f>'Global Config'!K37</x:f>
        <x:v>OK</x:v>
      </x:c>
      <x:c r="M37" s="44" t="str">
        <x:v>Константа контроля</x:v>
      </x:c>
    </x:row>
    <x:row r="38" ht="36" customHeight="1">
      <x:c r="A38" s="118" t="n">
        <x:v>33</x:v>
      </x:c>
      <x:c r="B38" s="35" t="str">
        <x:v>global</x:v>
      </x:c>
      <x:c r="C38" s="35" t="str">
        <x:v>root</x:v>
      </x:c>
      <x:c r="D38" s="35" t="str">
        <x:v>global.control.force_k</x:v>
      </x:c>
      <x:c r="E38" s="38" t="str">
        <x:v>int</x:v>
      </x:c>
      <x:c r="F38" s="56" t="n">
        <x:f>'Global Config'!D38</x:f>
        <x:v>120</x:v>
      </x:c>
      <x:c r="G38" s="38" t="str">
        <x:v>rating</x:v>
      </x:c>
      <x:c r="H38" s="35" t="str">
        <x:v>Global Config</x:v>
      </x:c>
      <x:c r="I38" s="35" t="str">
        <x:v>D38</x:v>
      </x:c>
      <x:c r="J38" s="85" t="b">
        <x:v>1</x:v>
      </x:c>
      <x:c r="K38" s="85" t="b">
        <x:v>1</x:v>
      </x:c>
      <x:c r="L38" s="56" t="str">
        <x:f>'Global Config'!K38</x:f>
        <x:v>OK</x:v>
      </x:c>
      <x:c r="M38" s="44" t="str">
        <x:v>Константа массы и силы</x:v>
      </x:c>
    </x:row>
    <x:row r="39" ht="36" customHeight="1">
      <x:c r="A39" s="118" t="n">
        <x:v>34</x:v>
      </x:c>
      <x:c r="B39" s="35" t="str">
        <x:v>global</x:v>
      </x:c>
      <x:c r="C39" s="35" t="str">
        <x:v>root</x:v>
      </x:c>
      <x:c r="D39" s="35" t="str">
        <x:v>global.control.stun_min_ticks</x:v>
      </x:c>
      <x:c r="E39" s="38" t="str">
        <x:v>int</x:v>
      </x:c>
      <x:c r="F39" s="56" t="n">
        <x:f>'Global Config'!D39</x:f>
        <x:v>3</x:v>
      </x:c>
      <x:c r="G39" s="38" t="str">
        <x:v>ticks</x:v>
      </x:c>
      <x:c r="H39" s="35" t="str">
        <x:v>Global Config</x:v>
      </x:c>
      <x:c r="I39" s="35" t="str">
        <x:v>D39</x:v>
      </x:c>
      <x:c r="J39" s="85" t="b">
        <x:v>1</x:v>
      </x:c>
      <x:c r="K39" s="85" t="b">
        <x:v>1</x:v>
      </x:c>
      <x:c r="L39" s="56" t="str">
        <x:f>'Global Config'!K39</x:f>
        <x:v>OK</x:v>
      </x:c>
      <x:c r="M39" s="44" t="str">
        <x:v>Минимальное оглушение</x:v>
      </x:c>
    </x:row>
    <x:row r="40" ht="36" customHeight="1">
      <x:c r="A40" s="118" t="n">
        <x:v>35</x:v>
      </x:c>
      <x:c r="B40" s="35" t="str">
        <x:v>global</x:v>
      </x:c>
      <x:c r="C40" s="35" t="str">
        <x:v>root</x:v>
      </x:c>
      <x:c r="D40" s="35" t="str">
        <x:v>global.control.stun_max_ticks</x:v>
      </x:c>
      <x:c r="E40" s="38" t="str">
        <x:v>int</x:v>
      </x:c>
      <x:c r="F40" s="56" t="n">
        <x:f>'Global Config'!D40</x:f>
        <x:v>20</x:v>
      </x:c>
      <x:c r="G40" s="38" t="str">
        <x:v>ticks</x:v>
      </x:c>
      <x:c r="H40" s="35" t="str">
        <x:v>Global Config</x:v>
      </x:c>
      <x:c r="I40" s="35" t="str">
        <x:v>D40</x:v>
      </x:c>
      <x:c r="J40" s="85" t="b">
        <x:v>1</x:v>
      </x:c>
      <x:c r="K40" s="85" t="b">
        <x:v>1</x:v>
      </x:c>
      <x:c r="L40" s="56" t="str">
        <x:f>'Global Config'!K40</x:f>
        <x:v>OK</x:v>
      </x:c>
      <x:c r="M40" s="44" t="str">
        <x:v>Максимальное оглушение</x:v>
      </x:c>
    </x:row>
    <x:row r="41" ht="36" customHeight="1">
      <x:c r="A41" s="118" t="n">
        <x:v>36</x:v>
      </x:c>
      <x:c r="B41" s="35" t="str">
        <x:v>global</x:v>
      </x:c>
      <x:c r="C41" s="35" t="str">
        <x:v>root</x:v>
      </x:c>
      <x:c r="D41" s="35" t="str">
        <x:v>global.control.fatigue_threshold</x:v>
      </x:c>
      <x:c r="E41" s="38" t="str">
        <x:v>int</x:v>
      </x:c>
      <x:c r="F41" s="56" t="n">
        <x:f>'Global Config'!D41</x:f>
        <x:v>3</x:v>
      </x:c>
      <x:c r="G41" s="38" t="str">
        <x:v>stacks</x:v>
      </x:c>
      <x:c r="H41" s="35" t="str">
        <x:v>Global Config</x:v>
      </x:c>
      <x:c r="I41" s="35" t="str">
        <x:v>D41</x:v>
      </x:c>
      <x:c r="J41" s="85" t="b">
        <x:v>1</x:v>
      </x:c>
      <x:c r="K41" s="85" t="b">
        <x:v>1</x:v>
      </x:c>
      <x:c r="L41" s="56" t="str">
        <x:f>'Global Config'!K41</x:f>
        <x:v>OK</x:v>
      </x:c>
      <x:c r="M41" s="44" t="str">
        <x:v>Стаки до immunity</x:v>
      </x:c>
    </x:row>
    <x:row r="42" ht="36" customHeight="1">
      <x:c r="A42" s="118" t="n">
        <x:v>37</x:v>
      </x:c>
      <x:c r="B42" s="35" t="str">
        <x:v>global</x:v>
      </x:c>
      <x:c r="C42" s="35" t="str">
        <x:v>root</x:v>
      </x:c>
      <x:c r="D42" s="35" t="str">
        <x:v>global.control.fatigue_decay_ticks</x:v>
      </x:c>
      <x:c r="E42" s="38" t="str">
        <x:v>int</x:v>
      </x:c>
      <x:c r="F42" s="56" t="n">
        <x:f>'Global Config'!D42</x:f>
        <x:v>100</x:v>
      </x:c>
      <x:c r="G42" s="38" t="str">
        <x:v>ticks</x:v>
      </x:c>
      <x:c r="H42" s="35" t="str">
        <x:v>Global Config</x:v>
      </x:c>
      <x:c r="I42" s="35" t="str">
        <x:v>D42</x:v>
      </x:c>
      <x:c r="J42" s="85" t="b">
        <x:v>1</x:v>
      </x:c>
      <x:c r="K42" s="85" t="b">
        <x:v>1</x:v>
      </x:c>
      <x:c r="L42" s="56" t="str">
        <x:f>'Global Config'!K42</x:f>
        <x:v>OK</x:v>
      </x:c>
      <x:c r="M42" s="44" t="str">
        <x:v>Время сброса fatigue</x:v>
      </x:c>
    </x:row>
    <x:row r="43" ht="36" customHeight="1">
      <x:c r="A43" s="118" t="n">
        <x:v>38</x:v>
      </x:c>
      <x:c r="B43" s="35" t="str">
        <x:v>global</x:v>
      </x:c>
      <x:c r="C43" s="35" t="str">
        <x:v>root</x:v>
      </x:c>
      <x:c r="D43" s="35" t="str">
        <x:v>global.control.immunity_ticks</x:v>
      </x:c>
      <x:c r="E43" s="38" t="str">
        <x:v>int</x:v>
      </x:c>
      <x:c r="F43" s="56" t="n">
        <x:f>'Global Config'!D43</x:f>
        <x:v>25</x:v>
      </x:c>
      <x:c r="G43" s="38" t="str">
        <x:v>ticks</x:v>
      </x:c>
      <x:c r="H43" s="35" t="str">
        <x:v>Global Config</x:v>
      </x:c>
      <x:c r="I43" s="35" t="str">
        <x:v>D43</x:v>
      </x:c>
      <x:c r="J43" s="85" t="b">
        <x:v>1</x:v>
      </x:c>
      <x:c r="K43" s="85" t="b">
        <x:v>1</x:v>
      </x:c>
      <x:c r="L43" s="56" t="str">
        <x:f>'Global Config'!K43</x:f>
        <x:v>OK</x:v>
      </x:c>
      <x:c r="M43" s="44" t="str">
        <x:v>Окно ControlImmunity</x:v>
      </x:c>
    </x:row>
    <x:row r="44" ht="36" customHeight="1">
      <x:c r="A44" s="118" t="n">
        <x:v>39</x:v>
      </x:c>
      <x:c r="B44" s="35" t="str">
        <x:v>global</x:v>
      </x:c>
      <x:c r="C44" s="35" t="str">
        <x:v>root</x:v>
      </x:c>
      <x:c r="D44" s="35" t="str">
        <x:v>global.control.grab_lockout_ticks</x:v>
      </x:c>
      <x:c r="E44" s="38" t="str">
        <x:v>int</x:v>
      </x:c>
      <x:c r="F44" s="56" t="n">
        <x:f>'Global Config'!D44</x:f>
        <x:v>20</x:v>
      </x:c>
      <x:c r="G44" s="38" t="str">
        <x:v>ticks</x:v>
      </x:c>
      <x:c r="H44" s="35" t="str">
        <x:v>Global Config</x:v>
      </x:c>
      <x:c r="I44" s="35" t="str">
        <x:v>D44</x:v>
      </x:c>
      <x:c r="J44" s="85" t="b">
        <x:v>1</x:v>
      </x:c>
      <x:c r="K44" s="85" t="b">
        <x:v>1</x:v>
      </x:c>
      <x:c r="L44" s="56" t="str">
        <x:f>'Global Config'!K44</x:f>
        <x:v>OK</x:v>
      </x:c>
      <x:c r="M44" s="44" t="str">
        <x:v>Запрет повторного grab</x:v>
      </x:c>
    </x:row>
    <x:row r="45" ht="36" customHeight="1">
      <x:c r="A45" s="118" t="n">
        <x:v>40</x:v>
      </x:c>
      <x:c r="B45" s="35" t="str">
        <x:v>global</x:v>
      </x:c>
      <x:c r="C45" s="35" t="str">
        <x:v>root</x:v>
      </x:c>
      <x:c r="D45" s="35" t="str">
        <x:v>global.control.wakeup_immunity_ticks</x:v>
      </x:c>
      <x:c r="E45" s="38" t="str">
        <x:v>int</x:v>
      </x:c>
      <x:c r="F45" s="56" t="n">
        <x:f>'Global Config'!D45</x:f>
        <x:v>25</x:v>
      </x:c>
      <x:c r="G45" s="38" t="str">
        <x:v>ticks</x:v>
      </x:c>
      <x:c r="H45" s="35" t="str">
        <x:v>Global Config</x:v>
      </x:c>
      <x:c r="I45" s="35" t="str">
        <x:v>D45</x:v>
      </x:c>
      <x:c r="J45" s="85" t="b">
        <x:v>1</x:v>
      </x:c>
      <x:c r="K45" s="85" t="b">
        <x:v>1</x:v>
      </x:c>
      <x:c r="L45" s="56" t="str">
        <x:f>'Global Config'!K45</x:f>
        <x:v>OK</x:v>
      </x:c>
      <x:c r="M45" s="44" t="str">
        <x:v>Защита после KnockedDown</x:v>
      </x:c>
    </x:row>
    <x:row r="46" ht="36" customHeight="1">
      <x:c r="A46" s="118" t="n">
        <x:v>41</x:v>
      </x:c>
      <x:c r="B46" s="35" t="str">
        <x:v>global</x:v>
      </x:c>
      <x:c r="C46" s="35" t="str">
        <x:v>root</x:v>
      </x:c>
      <x:c r="D46" s="35" t="str">
        <x:v>global.control.max_hold_ticks</x:v>
      </x:c>
      <x:c r="E46" s="38" t="str">
        <x:v>int</x:v>
      </x:c>
      <x:c r="F46" s="56" t="n">
        <x:f>'Global Config'!D46</x:f>
        <x:v>12</x:v>
      </x:c>
      <x:c r="G46" s="38" t="str">
        <x:v>ticks</x:v>
      </x:c>
      <x:c r="H46" s="35" t="str">
        <x:v>Global Config</x:v>
      </x:c>
      <x:c r="I46" s="35" t="str">
        <x:v>D46</x:v>
      </x:c>
      <x:c r="J46" s="85" t="b">
        <x:v>1</x:v>
      </x:c>
      <x:c r="K46" s="85" t="b">
        <x:v>1</x:v>
      </x:c>
      <x:c r="L46" s="56" t="str">
        <x:f>'Global Config'!K46</x:f>
        <x:v>OK</x:v>
      </x:c>
      <x:c r="M46" s="44" t="str">
        <x:v>Глобальный предел захвата</x:v>
      </x:c>
    </x:row>
    <x:row r="47" ht="36" customHeight="1">
      <x:c r="A47" s="118" t="n">
        <x:v>42</x:v>
      </x:c>
      <x:c r="B47" s="35" t="str">
        <x:v>global</x:v>
      </x:c>
      <x:c r="C47" s="35" t="str">
        <x:v>root</x:v>
      </x:c>
      <x:c r="D47" s="35" t="str">
        <x:v>global.ai.repeat_same_action_fp</x:v>
      </x:c>
      <x:c r="E47" s="38" t="str">
        <x:v>fp</x:v>
      </x:c>
      <x:c r="F47" s="56" t="n">
        <x:f>'Global Config'!D47</x:f>
        <x:v>550</x:v>
      </x:c>
      <x:c r="G47" s="38" t="str">
        <x:v>fp</x:v>
      </x:c>
      <x:c r="H47" s="35" t="str">
        <x:v>Global Config</x:v>
      </x:c>
      <x:c r="I47" s="35" t="str">
        <x:v>D47</x:v>
      </x:c>
      <x:c r="J47" s="85" t="b">
        <x:v>1</x:v>
      </x:c>
      <x:c r="K47" s="85" t="b">
        <x:v>1</x:v>
      </x:c>
      <x:c r="L47" s="56" t="str">
        <x:f>'Global Config'!K47</x:f>
        <x:v>OK</x:v>
      </x:c>
      <x:c r="M47" s="44" t="str">
        <x:v>Штраф повтора ActionId</x:v>
      </x:c>
    </x:row>
    <x:row r="48" ht="36" customHeight="1">
      <x:c r="A48" s="118" t="n">
        <x:v>43</x:v>
      </x:c>
      <x:c r="B48" s="35" t="str">
        <x:v>global</x:v>
      </x:c>
      <x:c r="C48" s="35" t="str">
        <x:v>root</x:v>
      </x:c>
      <x:c r="D48" s="35" t="str">
        <x:v>global.ai.repeat_same_category_fp</x:v>
      </x:c>
      <x:c r="E48" s="38" t="str">
        <x:v>fp</x:v>
      </x:c>
      <x:c r="F48" s="56" t="n">
        <x:f>'Global Config'!D48</x:f>
        <x:v>800</x:v>
      </x:c>
      <x:c r="G48" s="38" t="str">
        <x:v>fp</x:v>
      </x:c>
      <x:c r="H48" s="35" t="str">
        <x:v>Global Config</x:v>
      </x:c>
      <x:c r="I48" s="35" t="str">
        <x:v>D48</x:v>
      </x:c>
      <x:c r="J48" s="85" t="b">
        <x:v>1</x:v>
      </x:c>
      <x:c r="K48" s="85" t="b">
        <x:v>1</x:v>
      </x:c>
      <x:c r="L48" s="56" t="str">
        <x:f>'Global Config'!K48</x:f>
        <x:v>OK</x:v>
      </x:c>
      <x:c r="M48" s="44" t="str">
        <x:v>Штраф повтора категории</x:v>
      </x:c>
    </x:row>
    <x:row r="49" ht="36" customHeight="1">
      <x:c r="A49" s="118" t="n">
        <x:v>44</x:v>
      </x:c>
      <x:c r="B49" s="35" t="str">
        <x:v>global</x:v>
      </x:c>
      <x:c r="C49" s="35" t="str">
        <x:v>root</x:v>
      </x:c>
      <x:c r="D49" s="35" t="str">
        <x:v>global.ai.opportunity_growth_fp</x:v>
      </x:c>
      <x:c r="E49" s="38" t="str">
        <x:v>fp</x:v>
      </x:c>
      <x:c r="F49" s="56" t="n">
        <x:f>'Global Config'!D49</x:f>
        <x:v>250</x:v>
      </x:c>
      <x:c r="G49" s="38" t="str">
        <x:v>fp/eligible miss</x:v>
      </x:c>
      <x:c r="H49" s="35" t="str">
        <x:v>Global Config</x:v>
      </x:c>
      <x:c r="I49" s="35" t="str">
        <x:v>D49</x:v>
      </x:c>
      <x:c r="J49" s="85" t="b">
        <x:v>1</x:v>
      </x:c>
      <x:c r="K49" s="85" t="b">
        <x:v>1</x:v>
      </x:c>
      <x:c r="L49" s="56" t="str">
        <x:f>'Global Config'!K49</x:f>
        <x:v>OK</x:v>
      </x:c>
      <x:c r="M49" s="44" t="str">
        <x:v>Рост signature opportunity</x:v>
      </x:c>
    </x:row>
    <x:row r="50" ht="36" customHeight="1">
      <x:c r="A50" s="118" t="n">
        <x:v>45</x:v>
      </x:c>
      <x:c r="B50" s="35" t="str">
        <x:v>global</x:v>
      </x:c>
      <x:c r="C50" s="35" t="str">
        <x:v>root</x:v>
      </x:c>
      <x:c r="D50" s="35" t="str">
        <x:v>global.ai.opportunity_cap_fp</x:v>
      </x:c>
      <x:c r="E50" s="38" t="str">
        <x:v>fp</x:v>
      </x:c>
      <x:c r="F50" s="56" t="n">
        <x:f>'Global Config'!D50</x:f>
        <x:v>2500</x:v>
      </x:c>
      <x:c r="G50" s="38" t="str">
        <x:v>fp</x:v>
      </x:c>
      <x:c r="H50" s="35" t="str">
        <x:v>Global Config</x:v>
      </x:c>
      <x:c r="I50" s="35" t="str">
        <x:v>D50</x:v>
      </x:c>
      <x:c r="J50" s="85" t="b">
        <x:v>1</x:v>
      </x:c>
      <x:c r="K50" s="85" t="b">
        <x:v>1</x:v>
      </x:c>
      <x:c r="L50" s="56" t="str">
        <x:f>'Global Config'!K50</x:f>
        <x:v>OK</x:v>
      </x:c>
      <x:c r="M50" s="44" t="str">
        <x:v>Предел opportunity multiplier</x:v>
      </x:c>
    </x:row>
    <x:row r="51" ht="36" customHeight="1">
      <x:c r="A51" s="118" t="n">
        <x:v>46</x:v>
      </x:c>
      <x:c r="B51" s="35" t="str">
        <x:v>global</x:v>
      </x:c>
      <x:c r="C51" s="35" t="str">
        <x:v>root</x:v>
      </x:c>
      <x:c r="D51" s="35" t="str">
        <x:v>global.ai.hard_opportunity_misses</x:v>
      </x:c>
      <x:c r="E51" s="38" t="str">
        <x:v>int</x:v>
      </x:c>
      <x:c r="F51" s="56" t="n">
        <x:f>'Global Config'!D51</x:f>
        <x:v>4</x:v>
      </x:c>
      <x:c r="G51" s="38" t="str">
        <x:v>count</x:v>
      </x:c>
      <x:c r="H51" s="35" t="str">
        <x:v>Global Config</x:v>
      </x:c>
      <x:c r="I51" s="35" t="str">
        <x:v>D51</x:v>
      </x:c>
      <x:c r="J51" s="85" t="b">
        <x:v>1</x:v>
      </x:c>
      <x:c r="K51" s="85" t="b">
        <x:v>1</x:v>
      </x:c>
      <x:c r="L51" s="56" t="str">
        <x:f>'Global Config'!K51</x:f>
        <x:v>OK</x:v>
      </x:c>
      <x:c r="M51" s="44" t="str">
        <x:v>Eligible misses до hard opportunity</x:v>
      </x:c>
    </x:row>
    <x:row r="52" ht="36" customHeight="1">
      <x:c r="A52" s="118" t="n">
        <x:v>47</x:v>
      </x:c>
      <x:c r="B52" s="35" t="str">
        <x:v>global</x:v>
      </x:c>
      <x:c r="C52" s="35" t="str">
        <x:v>root</x:v>
      </x:c>
      <x:c r="D52" s="35" t="str">
        <x:v>global.ai.default_perception_delay_ticks</x:v>
      </x:c>
      <x:c r="E52" s="38" t="str">
        <x:v>int</x:v>
      </x:c>
      <x:c r="F52" s="56" t="n">
        <x:f>'Global Config'!D52</x:f>
        <x:v>5</x:v>
      </x:c>
      <x:c r="G52" s="38" t="str">
        <x:v>ticks</x:v>
      </x:c>
      <x:c r="H52" s="35" t="str">
        <x:v>Global Config</x:v>
      </x:c>
      <x:c r="I52" s="35" t="str">
        <x:v>D52</x:v>
      </x:c>
      <x:c r="J52" s="85" t="b">
        <x:v>1</x:v>
      </x:c>
      <x:c r="K52" s="85" t="b">
        <x:v>1</x:v>
      </x:c>
      <x:c r="L52" s="56" t="str">
        <x:f>'Global Config'!K52</x:f>
        <x:v>OK</x:v>
      </x:c>
      <x:c r="M52" s="44" t="str">
        <x:v>Базовая задержка распознавания</x:v>
      </x:c>
    </x:row>
    <x:row r="53" ht="36" customHeight="1">
      <x:c r="A53" s="118" t="n">
        <x:v>48</x:v>
      </x:c>
      <x:c r="B53" s="35" t="str">
        <x:v>global</x:v>
      </x:c>
      <x:c r="C53" s="35" t="str">
        <x:v>root</x:v>
      </x:c>
      <x:c r="D53" s="35" t="str">
        <x:v>state.idle.energy_regen_fp</x:v>
      </x:c>
      <x:c r="E53" s="38" t="str">
        <x:v>fp</x:v>
      </x:c>
      <x:c r="F53" s="56" t="n">
        <x:f>'Global Config'!D53</x:f>
        <x:v>1000</x:v>
      </x:c>
      <x:c r="G53" s="38" t="str">
        <x:v>fp</x:v>
      </x:c>
      <x:c r="H53" s="35" t="str">
        <x:v>Global Config</x:v>
      </x:c>
      <x:c r="I53" s="35" t="str">
        <x:v>D53</x:v>
      </x:c>
      <x:c r="J53" s="85" t="b">
        <x:v>1</x:v>
      </x:c>
      <x:c r="K53" s="85" t="b">
        <x:v>1</x:v>
      </x:c>
      <x:c r="L53" s="56" t="str">
        <x:f>'Global Config'!K53</x:f>
        <x:v>OK</x:v>
      </x:c>
      <x:c r="M53" s="44" t="str">
        <x:v>Регенерация в Idle</x:v>
      </x:c>
    </x:row>
    <x:row r="54" ht="36" customHeight="1">
      <x:c r="A54" s="118" t="n">
        <x:v>49</x:v>
      </x:c>
      <x:c r="B54" s="35" t="str">
        <x:v>global</x:v>
      </x:c>
      <x:c r="C54" s="35" t="str">
        <x:v>root</x:v>
      </x:c>
      <x:c r="D54" s="35" t="str">
        <x:v>state.prepare.energy_regen_fp</x:v>
      </x:c>
      <x:c r="E54" s="38" t="str">
        <x:v>fp</x:v>
      </x:c>
      <x:c r="F54" s="56" t="n">
        <x:f>'Global Config'!D54</x:f>
        <x:v>750</x:v>
      </x:c>
      <x:c r="G54" s="38" t="str">
        <x:v>fp</x:v>
      </x:c>
      <x:c r="H54" s="35" t="str">
        <x:v>Global Config</x:v>
      </x:c>
      <x:c r="I54" s="35" t="str">
        <x:v>D54</x:v>
      </x:c>
      <x:c r="J54" s="85" t="b">
        <x:v>1</x:v>
      </x:c>
      <x:c r="K54" s="85" t="b">
        <x:v>1</x:v>
      </x:c>
      <x:c r="L54" s="56" t="str">
        <x:f>'Global Config'!K54</x:f>
        <x:v>OK</x:v>
      </x:c>
      <x:c r="M54" s="44" t="str">
        <x:v>Регенерация в Prepare</x:v>
      </x:c>
    </x:row>
    <x:row r="55" ht="36" customHeight="1">
      <x:c r="A55" s="118" t="n">
        <x:v>50</x:v>
      </x:c>
      <x:c r="B55" s="35" t="str">
        <x:v>global</x:v>
      </x:c>
      <x:c r="C55" s="35" t="str">
        <x:v>root</x:v>
      </x:c>
      <x:c r="D55" s="35" t="str">
        <x:v>state.active.energy_regen_fp</x:v>
      </x:c>
      <x:c r="E55" s="38" t="str">
        <x:v>fp</x:v>
      </x:c>
      <x:c r="F55" s="56" t="n">
        <x:f>'Global Config'!D55</x:f>
        <x:v>400</x:v>
      </x:c>
      <x:c r="G55" s="38" t="str">
        <x:v>fp</x:v>
      </x:c>
      <x:c r="H55" s="35" t="str">
        <x:v>Global Config</x:v>
      </x:c>
      <x:c r="I55" s="35" t="str">
        <x:v>D55</x:v>
      </x:c>
      <x:c r="J55" s="85" t="b">
        <x:v>1</x:v>
      </x:c>
      <x:c r="K55" s="85" t="b">
        <x:v>1</x:v>
      </x:c>
      <x:c r="L55" s="56" t="str">
        <x:f>'Global Config'!K55</x:f>
        <x:v>OK</x:v>
      </x:c>
      <x:c r="M55" s="44" t="str">
        <x:v>Регенерация в Active</x:v>
      </x:c>
    </x:row>
    <x:row r="56" ht="36" customHeight="1">
      <x:c r="A56" s="118" t="n">
        <x:v>51</x:v>
      </x:c>
      <x:c r="B56" s="35" t="str">
        <x:v>global</x:v>
      </x:c>
      <x:c r="C56" s="35" t="str">
        <x:v>root</x:v>
      </x:c>
      <x:c r="D56" s="35" t="str">
        <x:v>state.recovery.energy_regen_fp</x:v>
      </x:c>
      <x:c r="E56" s="38" t="str">
        <x:v>fp</x:v>
      </x:c>
      <x:c r="F56" s="56" t="n">
        <x:f>'Global Config'!D56</x:f>
        <x:v>1100</x:v>
      </x:c>
      <x:c r="G56" s="38" t="str">
        <x:v>fp</x:v>
      </x:c>
      <x:c r="H56" s="35" t="str">
        <x:v>Global Config</x:v>
      </x:c>
      <x:c r="I56" s="35" t="str">
        <x:v>D56</x:v>
      </x:c>
      <x:c r="J56" s="85" t="b">
        <x:v>1</x:v>
      </x:c>
      <x:c r="K56" s="85" t="b">
        <x:v>1</x:v>
      </x:c>
      <x:c r="L56" s="56" t="str">
        <x:f>'Global Config'!K56</x:f>
        <x:v>OK</x:v>
      </x:c>
      <x:c r="M56" s="44" t="str">
        <x:v>Регенерация в Recovery</x:v>
      </x:c>
    </x:row>
    <x:row r="57" ht="36" customHeight="1">
      <x:c r="A57" s="118" t="n">
        <x:v>52</x:v>
      </x:c>
      <x:c r="B57" s="35" t="str">
        <x:v>global</x:v>
      </x:c>
      <x:c r="C57" s="35" t="str">
        <x:v>root</x:v>
      </x:c>
      <x:c r="D57" s="35" t="str">
        <x:v>state.block.energy_regen_fp</x:v>
      </x:c>
      <x:c r="E57" s="38" t="str">
        <x:v>fp</x:v>
      </x:c>
      <x:c r="F57" s="56" t="n">
        <x:f>'Global Config'!D57</x:f>
        <x:v>600</x:v>
      </x:c>
      <x:c r="G57" s="38" t="str">
        <x:v>fp</x:v>
      </x:c>
      <x:c r="H57" s="35" t="str">
        <x:v>Global Config</x:v>
      </x:c>
      <x:c r="I57" s="35" t="str">
        <x:v>D57</x:v>
      </x:c>
      <x:c r="J57" s="85" t="b">
        <x:v>1</x:v>
      </x:c>
      <x:c r="K57" s="85" t="b">
        <x:v>1</x:v>
      </x:c>
      <x:c r="L57" s="56" t="str">
        <x:f>'Global Config'!K57</x:f>
        <x:v>OK</x:v>
      </x:c>
      <x:c r="M57" s="44" t="str">
        <x:v>Регенерация в Block</x:v>
      </x:c>
    </x:row>
    <x:row r="58" ht="36" customHeight="1">
      <x:c r="A58" s="118" t="n">
        <x:v>53</x:v>
      </x:c>
      <x:c r="B58" s="35" t="str">
        <x:v>global</x:v>
      </x:c>
      <x:c r="C58" s="35" t="str">
        <x:v>root</x:v>
      </x:c>
      <x:c r="D58" s="35" t="str">
        <x:v>state.dodge.energy_regen_fp</x:v>
      </x:c>
      <x:c r="E58" s="38" t="str">
        <x:v>fp</x:v>
      </x:c>
      <x:c r="F58" s="56" t="n">
        <x:f>'Global Config'!D58</x:f>
        <x:v>600</x:v>
      </x:c>
      <x:c r="G58" s="38" t="str">
        <x:v>fp</x:v>
      </x:c>
      <x:c r="H58" s="35" t="str">
        <x:v>Global Config</x:v>
      </x:c>
      <x:c r="I58" s="35" t="str">
        <x:v>D58</x:v>
      </x:c>
      <x:c r="J58" s="85" t="b">
        <x:v>1</x:v>
      </x:c>
      <x:c r="K58" s="85" t="b">
        <x:v>1</x:v>
      </x:c>
      <x:c r="L58" s="56" t="str">
        <x:f>'Global Config'!K58</x:f>
        <x:v>OK</x:v>
      </x:c>
      <x:c r="M58" s="44" t="str">
        <x:v>Регенерация в Dodge</x:v>
      </x:c>
    </x:row>
    <x:row r="59" ht="36" customHeight="1">
      <x:c r="A59" s="118" t="n">
        <x:v>54</x:v>
      </x:c>
      <x:c r="B59" s="35" t="str">
        <x:v>global</x:v>
      </x:c>
      <x:c r="C59" s="35" t="str">
        <x:v>root</x:v>
      </x:c>
      <x:c r="D59" s="35" t="str">
        <x:v>state.stunned.energy_regen_fp</x:v>
      </x:c>
      <x:c r="E59" s="38" t="str">
        <x:v>fp</x:v>
      </x:c>
      <x:c r="F59" s="56" t="n">
        <x:f>'Global Config'!D59</x:f>
        <x:v>250</x:v>
      </x:c>
      <x:c r="G59" s="38" t="str">
        <x:v>fp</x:v>
      </x:c>
      <x:c r="H59" s="35" t="str">
        <x:v>Global Config</x:v>
      </x:c>
      <x:c r="I59" s="35" t="str">
        <x:v>D59</x:v>
      </x:c>
      <x:c r="J59" s="85" t="b">
        <x:v>1</x:v>
      </x:c>
      <x:c r="K59" s="85" t="b">
        <x:v>1</x:v>
      </x:c>
      <x:c r="L59" s="56" t="str">
        <x:f>'Global Config'!K59</x:f>
        <x:v>OK</x:v>
      </x:c>
      <x:c r="M59" s="44" t="str">
        <x:v>Регенерация в Stunned</x:v>
      </x:c>
    </x:row>
    <x:row r="60" ht="36" customHeight="1">
      <x:c r="A60" s="118" t="n">
        <x:v>55</x:v>
      </x:c>
      <x:c r="B60" s="35" t="str">
        <x:v>global</x:v>
      </x:c>
      <x:c r="C60" s="35" t="str">
        <x:v>root</x:v>
      </x:c>
      <x:c r="D60" s="35" t="str">
        <x:v>state.knocked_down.energy_regen_fp</x:v>
      </x:c>
      <x:c r="E60" s="38" t="str">
        <x:v>fp</x:v>
      </x:c>
      <x:c r="F60" s="56" t="n">
        <x:f>'Global Config'!D60</x:f>
        <x:v>0</x:v>
      </x:c>
      <x:c r="G60" s="38" t="str">
        <x:v>fp</x:v>
      </x:c>
      <x:c r="H60" s="35" t="str">
        <x:v>Global Config</x:v>
      </x:c>
      <x:c r="I60" s="35" t="str">
        <x:v>D60</x:v>
      </x:c>
      <x:c r="J60" s="85" t="b">
        <x:v>1</x:v>
      </x:c>
      <x:c r="K60" s="85" t="b">
        <x:v>1</x:v>
      </x:c>
      <x:c r="L60" s="56" t="str">
        <x:f>'Global Config'!K60</x:f>
        <x:v>OK</x:v>
      </x:c>
      <x:c r="M60" s="44" t="str">
        <x:v>Регенерация в KnockedDown</x:v>
      </x:c>
    </x:row>
    <x:row r="61" ht="36" customHeight="1">
      <x:c r="A61" s="118" t="n">
        <x:v>56</x:v>
      </x:c>
      <x:c r="B61" s="35" t="str">
        <x:v>global</x:v>
      </x:c>
      <x:c r="C61" s="35" t="str">
        <x:v>root</x:v>
      </x:c>
      <x:c r="D61" s="35" t="str">
        <x:v>state.grabbed.energy_regen_fp</x:v>
      </x:c>
      <x:c r="E61" s="38" t="str">
        <x:v>fp</x:v>
      </x:c>
      <x:c r="F61" s="56" t="n">
        <x:f>'Global Config'!D61</x:f>
        <x:v>0</x:v>
      </x:c>
      <x:c r="G61" s="38" t="str">
        <x:v>fp</x:v>
      </x:c>
      <x:c r="H61" s="35" t="str">
        <x:v>Global Config</x:v>
      </x:c>
      <x:c r="I61" s="35" t="str">
        <x:v>D61</x:v>
      </x:c>
      <x:c r="J61" s="85" t="b">
        <x:v>1</x:v>
      </x:c>
      <x:c r="K61" s="85" t="b">
        <x:v>1</x:v>
      </x:c>
      <x:c r="L61" s="56" t="str">
        <x:f>'Global Config'!K61</x:f>
        <x:v>OK</x:v>
      </x:c>
      <x:c r="M61" s="44" t="str">
        <x:v>Регенерация в Grabbed</x:v>
      </x:c>
    </x:row>
    <x:row r="62" ht="36" customHeight="1">
      <x:c r="A62" s="118" t="n">
        <x:v>57</x:v>
      </x:c>
      <x:c r="B62" s="35" t="str">
        <x:v>global</x:v>
      </x:c>
      <x:c r="C62" s="35" t="str">
        <x:v>root</x:v>
      </x:c>
      <x:c r="D62" s="35" t="str">
        <x:v>fighter.bear.rage_per_damage_fp</x:v>
      </x:c>
      <x:c r="E62" s="38" t="str">
        <x:v>fp</x:v>
      </x:c>
      <x:c r="F62" s="56" t="n">
        <x:f>'Global Config'!D62</x:f>
        <x:v>350</x:v>
      </x:c>
      <x:c r="G62" s="38" t="str">
        <x:v>fp</x:v>
      </x:c>
      <x:c r="H62" s="35" t="str">
        <x:v>Global Config</x:v>
      </x:c>
      <x:c r="I62" s="35" t="str">
        <x:v>D62</x:v>
      </x:c>
      <x:c r="J62" s="85" t="b">
        <x:v>1</x:v>
      </x:c>
      <x:c r="K62" s="85" t="b">
        <x:v>1</x:v>
      </x:c>
      <x:c r="L62" s="56" t="str">
        <x:f>'Global Config'!K62</x:f>
        <x:v>OK</x:v>
      </x:c>
      <x:c r="M62" s="44" t="str">
        <x:v>Ярость за полученный урон</x:v>
      </x:c>
    </x:row>
    <x:row r="63" ht="36" customHeight="1">
      <x:c r="A63" s="118" t="n">
        <x:v>58</x:v>
      </x:c>
      <x:c r="B63" s="35" t="str">
        <x:v>global</x:v>
      </x:c>
      <x:c r="C63" s="35" t="str">
        <x:v>root</x:v>
      </x:c>
      <x:c r="D63" s="35" t="str">
        <x:v>fighter.bear.rage_per_heavy</x:v>
      </x:c>
      <x:c r="E63" s="38" t="str">
        <x:v>int</x:v>
      </x:c>
      <x:c r="F63" s="56" t="n">
        <x:f>'Global Config'!D63</x:f>
        <x:v>80</x:v>
      </x:c>
      <x:c r="G63" s="38" t="str">
        <x:v>resource</x:v>
      </x:c>
      <x:c r="H63" s="35" t="str">
        <x:v>Global Config</x:v>
      </x:c>
      <x:c r="I63" s="35" t="str">
        <x:v>D63</x:v>
      </x:c>
      <x:c r="J63" s="85" t="b">
        <x:v>1</x:v>
      </x:c>
      <x:c r="K63" s="85" t="b">
        <x:v>1</x:v>
      </x:c>
      <x:c r="L63" s="56" t="str">
        <x:f>'Global Config'!K63</x:f>
        <x:v>OK</x:v>
      </x:c>
      <x:c r="M63" s="44" t="str">
        <x:v>Ярость за heavy hit</x:v>
      </x:c>
    </x:row>
    <x:row r="64" ht="36" customHeight="1">
      <x:c r="A64" s="118" t="n">
        <x:v>59</x:v>
      </x:c>
      <x:c r="B64" s="35" t="str">
        <x:v>global</x:v>
      </x:c>
      <x:c r="C64" s="35" t="str">
        <x:v>root</x:v>
      </x:c>
      <x:c r="D64" s="35" t="str">
        <x:v>fighter.bear.rage_per_blocked_heavy</x:v>
      </x:c>
      <x:c r="E64" s="38" t="str">
        <x:v>int</x:v>
      </x:c>
      <x:c r="F64" s="56" t="n">
        <x:f>'Global Config'!D64</x:f>
        <x:v>40</x:v>
      </x:c>
      <x:c r="G64" s="38" t="str">
        <x:v>resource</x:v>
      </x:c>
      <x:c r="H64" s="35" t="str">
        <x:v>Global Config</x:v>
      </x:c>
      <x:c r="I64" s="35" t="str">
        <x:v>D64</x:v>
      </x:c>
      <x:c r="J64" s="85" t="b">
        <x:v>1</x:v>
      </x:c>
      <x:c r="K64" s="85" t="b">
        <x:v>1</x:v>
      </x:c>
      <x:c r="L64" s="56" t="str">
        <x:f>'Global Config'!K64</x:f>
        <x:v>OK</x:v>
      </x:c>
      <x:c r="M64" s="44" t="str">
        <x:v>Ярость за blocked heavy</x:v>
      </x:c>
    </x:row>
    <x:row r="65" ht="36" customHeight="1">
      <x:c r="A65" s="118" t="n">
        <x:v>60</x:v>
      </x:c>
      <x:c r="B65" s="35" t="str">
        <x:v>global</x:v>
      </x:c>
      <x:c r="C65" s="35" t="str">
        <x:v>root</x:v>
      </x:c>
      <x:c r="D65" s="35" t="str">
        <x:v>fighter.bear.low_health_threshold_fp</x:v>
      </x:c>
      <x:c r="E65" s="38" t="str">
        <x:v>fp</x:v>
      </x:c>
      <x:c r="F65" s="56" t="n">
        <x:f>'Global Config'!D65</x:f>
        <x:v>350</x:v>
      </x:c>
      <x:c r="G65" s="38" t="str">
        <x:v>fp</x:v>
      </x:c>
      <x:c r="H65" s="35" t="str">
        <x:v>Global Config</x:v>
      </x:c>
      <x:c r="I65" s="35" t="str">
        <x:v>D65</x:v>
      </x:c>
      <x:c r="J65" s="85" t="b">
        <x:v>1</x:v>
      </x:c>
      <x:c r="K65" s="85" t="b">
        <x:v>1</x:v>
      </x:c>
      <x:c r="L65" s="56" t="str">
        <x:f>'Global Config'!K65</x:f>
        <x:v>OK</x:v>
      </x:c>
      <x:c r="M65" s="44" t="str">
        <x:v>Порог low health</x:v>
      </x:c>
    </x:row>
    <x:row r="66" ht="36" customHeight="1">
      <x:c r="A66" s="118" t="n">
        <x:v>61</x:v>
      </x:c>
      <x:c r="B66" s="35" t="str">
        <x:v>global</x:v>
      </x:c>
      <x:c r="C66" s="35" t="str">
        <x:v>root</x:v>
      </x:c>
      <x:c r="D66" s="35" t="str">
        <x:v>fighter.bear.low_health_rage_multiplier_fp</x:v>
      </x:c>
      <x:c r="E66" s="38" t="str">
        <x:v>fp</x:v>
      </x:c>
      <x:c r="F66" s="56" t="n">
        <x:f>'Global Config'!D66</x:f>
        <x:v>1500</x:v>
      </x:c>
      <x:c r="G66" s="38" t="str">
        <x:v>fp</x:v>
      </x:c>
      <x:c r="H66" s="35" t="str">
        <x:v>Global Config</x:v>
      </x:c>
      <x:c r="I66" s="35" t="str">
        <x:v>D66</x:v>
      </x:c>
      <x:c r="J66" s="85" t="b">
        <x:v>1</x:v>
      </x:c>
      <x:c r="K66" s="85" t="b">
        <x:v>1</x:v>
      </x:c>
      <x:c r="L66" s="56" t="str">
        <x:f>'Global Config'!K66</x:f>
        <x:v>OK</x:v>
      </x:c>
      <x:c r="M66" s="44" t="str">
        <x:v>Множитель ярости при low health</x:v>
      </x:c>
    </x:row>
    <x:row r="67" ht="36" customHeight="1">
      <x:c r="A67" s="118" t="n">
        <x:v>62</x:v>
      </x:c>
      <x:c r="B67" s="35" t="str">
        <x:v>global</x:v>
      </x:c>
      <x:c r="C67" s="35" t="str">
        <x:v>root</x:v>
      </x:c>
      <x:c r="D67" s="35" t="str">
        <x:v>fighter.bear.rage_tier_1</x:v>
      </x:c>
      <x:c r="E67" s="38" t="str">
        <x:v>int</x:v>
      </x:c>
      <x:c r="F67" s="56" t="n">
        <x:f>'Global Config'!D67</x:f>
        <x:v>250</x:v>
      </x:c>
      <x:c r="G67" s="38" t="str">
        <x:v>resource</x:v>
      </x:c>
      <x:c r="H67" s="35" t="str">
        <x:v>Global Config</x:v>
      </x:c>
      <x:c r="I67" s="35" t="str">
        <x:v>D67</x:v>
      </x:c>
      <x:c r="J67" s="85" t="b">
        <x:v>1</x:v>
      </x:c>
      <x:c r="K67" s="85" t="b">
        <x:v>1</x:v>
      </x:c>
      <x:c r="L67" s="56" t="str">
        <x:f>'Global Config'!K67</x:f>
        <x:v>OK</x:v>
      </x:c>
      <x:c r="M67" s="44" t="str">
        <x:v>Порог Rage I</x:v>
      </x:c>
    </x:row>
    <x:row r="68" ht="36" customHeight="1">
      <x:c r="A68" s="118" t="n">
        <x:v>63</x:v>
      </x:c>
      <x:c r="B68" s="35" t="str">
        <x:v>global</x:v>
      </x:c>
      <x:c r="C68" s="35" t="str">
        <x:v>root</x:v>
      </x:c>
      <x:c r="D68" s="35" t="str">
        <x:v>fighter.bear.rage_tier_2</x:v>
      </x:c>
      <x:c r="E68" s="38" t="str">
        <x:v>int</x:v>
      </x:c>
      <x:c r="F68" s="56" t="n">
        <x:f>'Global Config'!D68</x:f>
        <x:v>550</x:v>
      </x:c>
      <x:c r="G68" s="38" t="str">
        <x:v>resource</x:v>
      </x:c>
      <x:c r="H68" s="35" t="str">
        <x:v>Global Config</x:v>
      </x:c>
      <x:c r="I68" s="35" t="str">
        <x:v>D68</x:v>
      </x:c>
      <x:c r="J68" s="85" t="b">
        <x:v>1</x:v>
      </x:c>
      <x:c r="K68" s="85" t="b">
        <x:v>1</x:v>
      </x:c>
      <x:c r="L68" s="56" t="str">
        <x:f>'Global Config'!K68</x:f>
        <x:v>OK</x:v>
      </x:c>
      <x:c r="M68" s="44" t="str">
        <x:v>Порог Rage II</x:v>
      </x:c>
    </x:row>
    <x:row r="69" ht="36" customHeight="1">
      <x:c r="A69" s="118" t="n">
        <x:v>64</x:v>
      </x:c>
      <x:c r="B69" s="35" t="str">
        <x:v>global</x:v>
      </x:c>
      <x:c r="C69" s="35" t="str">
        <x:v>root</x:v>
      </x:c>
      <x:c r="D69" s="35" t="str">
        <x:v>fighter.bear.rage_tier_3</x:v>
      </x:c>
      <x:c r="E69" s="38" t="str">
        <x:v>int</x:v>
      </x:c>
      <x:c r="F69" s="56" t="n">
        <x:f>'Global Config'!D69</x:f>
        <x:v>800</x:v>
      </x:c>
      <x:c r="G69" s="38" t="str">
        <x:v>resource</x:v>
      </x:c>
      <x:c r="H69" s="35" t="str">
        <x:v>Global Config</x:v>
      </x:c>
      <x:c r="I69" s="35" t="str">
        <x:v>D69</x:v>
      </x:c>
      <x:c r="J69" s="85" t="b">
        <x:v>1</x:v>
      </x:c>
      <x:c r="K69" s="85" t="b">
        <x:v>1</x:v>
      </x:c>
      <x:c r="L69" s="56" t="str">
        <x:f>'Global Config'!K69</x:f>
        <x:v>OK</x:v>
      </x:c>
      <x:c r="M69" s="44" t="str">
        <x:v>Порог Rage III</x:v>
      </x:c>
    </x:row>
    <x:row r="70" ht="36" customHeight="1">
      <x:c r="A70" s="118" t="n">
        <x:v>65</x:v>
      </x:c>
      <x:c r="B70" s="35" t="str">
        <x:v>global</x:v>
      </x:c>
      <x:c r="C70" s="35" t="str">
        <x:v>root</x:v>
      </x:c>
      <x:c r="D70" s="35" t="str">
        <x:v>fighter.kangaroo.tempo_per_unit_fp</x:v>
      </x:c>
      <x:c r="E70" s="38" t="str">
        <x:v>fp</x:v>
      </x:c>
      <x:c r="F70" s="56" t="n">
        <x:f>'Global Config'!D70</x:f>
        <x:v>100</x:v>
      </x:c>
      <x:c r="G70" s="38" t="str">
        <x:v>fp/position</x:v>
      </x:c>
      <x:c r="H70" s="35" t="str">
        <x:v>Global Config</x:v>
      </x:c>
      <x:c r="I70" s="35" t="str">
        <x:v>D70</x:v>
      </x:c>
      <x:c r="J70" s="85" t="b">
        <x:v>1</x:v>
      </x:c>
      <x:c r="K70" s="85" t="b">
        <x:v>1</x:v>
      </x:c>
      <x:c r="L70" s="56" t="str">
        <x:f>'Global Config'!K70</x:f>
        <x:v>OK</x:v>
      </x:c>
      <x:c r="M70" s="44" t="str">
        <x:v>Темп за добровольное движение</x:v>
      </x:c>
    </x:row>
    <x:row r="71" ht="36" customHeight="1">
      <x:c r="A71" s="118" t="n">
        <x:v>66</x:v>
      </x:c>
      <x:c r="B71" s="35" t="str">
        <x:v>global</x:v>
      </x:c>
      <x:c r="C71" s="35" t="str">
        <x:v>root</x:v>
      </x:c>
      <x:c r="D71" s="35" t="str">
        <x:v>fighter.kangaroo.dodge_bonus</x:v>
      </x:c>
      <x:c r="E71" s="38" t="str">
        <x:v>int</x:v>
      </x:c>
      <x:c r="F71" s="56" t="n">
        <x:f>'Global Config'!D71</x:f>
        <x:v>180</x:v>
      </x:c>
      <x:c r="G71" s="38" t="str">
        <x:v>resource</x:v>
      </x:c>
      <x:c r="H71" s="35" t="str">
        <x:v>Global Config</x:v>
      </x:c>
      <x:c r="I71" s="35" t="str">
        <x:v>D71</x:v>
      </x:c>
      <x:c r="J71" s="85" t="b">
        <x:v>1</x:v>
      </x:c>
      <x:c r="K71" s="85" t="b">
        <x:v>1</x:v>
      </x:c>
      <x:c r="L71" s="56" t="str">
        <x:f>'Global Config'!K71</x:f>
        <x:v>OK</x:v>
      </x:c>
      <x:c r="M71" s="44" t="str">
        <x:v>Темп за успешный Dodge</x:v>
      </x:c>
    </x:row>
    <x:row r="72" ht="36" customHeight="1">
      <x:c r="A72" s="118" t="n">
        <x:v>67</x:v>
      </x:c>
      <x:c r="B72" s="35" t="str">
        <x:v>global</x:v>
      </x:c>
      <x:c r="C72" s="35" t="str">
        <x:v>root</x:v>
      </x:c>
      <x:c r="D72" s="35" t="str">
        <x:v>fighter.kangaroo.rhythm_bonus</x:v>
      </x:c>
      <x:c r="E72" s="38" t="str">
        <x:v>int</x:v>
      </x:c>
      <x:c r="F72" s="56" t="n">
        <x:f>'Global Config'!D72</x:f>
        <x:v>100</x:v>
      </x:c>
      <x:c r="G72" s="38" t="str">
        <x:v>resource</x:v>
      </x:c>
      <x:c r="H72" s="35" t="str">
        <x:v>Global Config</x:v>
      </x:c>
      <x:c r="I72" s="35" t="str">
        <x:v>D72</x:v>
      </x:c>
      <x:c r="J72" s="85" t="b">
        <x:v>1</x:v>
      </x:c>
      <x:c r="K72" s="85" t="b">
        <x:v>1</x:v>
      </x:c>
      <x:c r="L72" s="56" t="str">
        <x:f>'Global Config'!K72</x:f>
        <x:v>OK</x:v>
      </x:c>
      <x:c r="M72" s="44" t="str">
        <x:v>Темп за новую категорию</x:v>
      </x:c>
    </x:row>
    <x:row r="73" ht="36" customHeight="1">
      <x:c r="A73" s="118" t="n">
        <x:v>68</x:v>
      </x:c>
      <x:c r="B73" s="35" t="str">
        <x:v>global</x:v>
      </x:c>
      <x:c r="C73" s="35" t="str">
        <x:v>root</x:v>
      </x:c>
      <x:c r="D73" s="35" t="str">
        <x:v>fighter.kangaroo.decay_grace_ticks</x:v>
      </x:c>
      <x:c r="E73" s="38" t="str">
        <x:v>int</x:v>
      </x:c>
      <x:c r="F73" s="56" t="n">
        <x:f>'Global Config'!D73</x:f>
        <x:v>20</x:v>
      </x:c>
      <x:c r="G73" s="38" t="str">
        <x:v>ticks</x:v>
      </x:c>
      <x:c r="H73" s="35" t="str">
        <x:v>Global Config</x:v>
      </x:c>
      <x:c r="I73" s="35" t="str">
        <x:v>D73</x:v>
      </x:c>
      <x:c r="J73" s="85" t="b">
        <x:v>1</x:v>
      </x:c>
      <x:c r="K73" s="85" t="b">
        <x:v>1</x:v>
      </x:c>
      <x:c r="L73" s="56" t="str">
        <x:f>'Global Config'!K73</x:f>
        <x:v>OK</x:v>
      </x:c>
      <x:c r="M73" s="44" t="str">
        <x:v>Пауза до распада темпа</x:v>
      </x:c>
    </x:row>
    <x:row r="74" ht="36" customHeight="1">
      <x:c r="A74" s="118" t="n">
        <x:v>69</x:v>
      </x:c>
      <x:c r="B74" s="35" t="str">
        <x:v>global</x:v>
      </x:c>
      <x:c r="C74" s="35" t="str">
        <x:v>root</x:v>
      </x:c>
      <x:c r="D74" s="35" t="str">
        <x:v>fighter.kangaroo.idle_decay_per_tick</x:v>
      </x:c>
      <x:c r="E74" s="38" t="str">
        <x:v>int</x:v>
      </x:c>
      <x:c r="F74" s="56" t="n">
        <x:f>'Global Config'!D74</x:f>
        <x:v>20</x:v>
      </x:c>
      <x:c r="G74" s="38" t="str">
        <x:v>resource/tick</x:v>
      </x:c>
      <x:c r="H74" s="35" t="str">
        <x:v>Global Config</x:v>
      </x:c>
      <x:c r="I74" s="35" t="str">
        <x:v>D74</x:v>
      </x:c>
      <x:c r="J74" s="85" t="b">
        <x:v>1</x:v>
      </x:c>
      <x:c r="K74" s="85" t="b">
        <x:v>1</x:v>
      </x:c>
      <x:c r="L74" s="56" t="str">
        <x:f>'Global Config'!K74</x:f>
        <x:v>OK</x:v>
      </x:c>
      <x:c r="M74" s="44" t="str">
        <x:v>Распад темпа после grace</x:v>
      </x:c>
    </x:row>
    <x:row r="75" ht="36" customHeight="1">
      <x:c r="A75" s="118" t="n">
        <x:v>70</x:v>
      </x:c>
      <x:c r="B75" s="35" t="str">
        <x:v>global</x:v>
      </x:c>
      <x:c r="C75" s="35" t="str">
        <x:v>root</x:v>
      </x:c>
      <x:c r="D75" s="35" t="str">
        <x:v>fighter.kangaroo.break_loss</x:v>
      </x:c>
      <x:c r="E75" s="38" t="str">
        <x:v>int</x:v>
      </x:c>
      <x:c r="F75" s="56" t="n">
        <x:f>'Global Config'!D75</x:f>
        <x:v>300</x:v>
      </x:c>
      <x:c r="G75" s="38" t="str">
        <x:v>resource</x:v>
      </x:c>
      <x:c r="H75" s="35" t="str">
        <x:v>Global Config</x:v>
      </x:c>
      <x:c r="I75" s="35" t="str">
        <x:v>D75</x:v>
      </x:c>
      <x:c r="J75" s="85" t="b">
        <x:v>1</x:v>
      </x:c>
      <x:c r="K75" s="85" t="b">
        <x:v>1</x:v>
      </x:c>
      <x:c r="L75" s="56" t="str">
        <x:f>'Global Config'!K75</x:f>
        <x:v>OK</x:v>
      </x:c>
      <x:c r="M75" s="44" t="str">
        <x:v>Потеря от interrupt/hard control</x:v>
      </x:c>
    </x:row>
    <x:row r="76" ht="36" customHeight="1">
      <x:c r="A76" s="118" t="n">
        <x:v>71</x:v>
      </x:c>
      <x:c r="B76" s="35" t="str">
        <x:v>global</x:v>
      </x:c>
      <x:c r="C76" s="35" t="str">
        <x:v>root</x:v>
      </x:c>
      <x:c r="D76" s="35" t="str">
        <x:v>fighter.kangaroo.tempo_tier_1</x:v>
      </x:c>
      <x:c r="E76" s="38" t="str">
        <x:v>int</x:v>
      </x:c>
      <x:c r="F76" s="56" t="n">
        <x:f>'Global Config'!D76</x:f>
        <x:v>250</x:v>
      </x:c>
      <x:c r="G76" s="38" t="str">
        <x:v>resource</x:v>
      </x:c>
      <x:c r="H76" s="35" t="str">
        <x:v>Global Config</x:v>
      </x:c>
      <x:c r="I76" s="35" t="str">
        <x:v>D76</x:v>
      </x:c>
      <x:c r="J76" s="85" t="b">
        <x:v>1</x:v>
      </x:c>
      <x:c r="K76" s="85" t="b">
        <x:v>1</x:v>
      </x:c>
      <x:c r="L76" s="56" t="str">
        <x:f>'Global Config'!K76</x:f>
        <x:v>OK</x:v>
      </x:c>
      <x:c r="M76" s="44" t="str">
        <x:v>Порог Tempo I</x:v>
      </x:c>
    </x:row>
    <x:row r="77" ht="36" customHeight="1">
      <x:c r="A77" s="118" t="n">
        <x:v>72</x:v>
      </x:c>
      <x:c r="B77" s="35" t="str">
        <x:v>global</x:v>
      </x:c>
      <x:c r="C77" s="35" t="str">
        <x:v>root</x:v>
      </x:c>
      <x:c r="D77" s="35" t="str">
        <x:v>fighter.kangaroo.tempo_tier_2</x:v>
      </x:c>
      <x:c r="E77" s="38" t="str">
        <x:v>int</x:v>
      </x:c>
      <x:c r="F77" s="56" t="n">
        <x:f>'Global Config'!D77</x:f>
        <x:v>550</x:v>
      </x:c>
      <x:c r="G77" s="38" t="str">
        <x:v>resource</x:v>
      </x:c>
      <x:c r="H77" s="35" t="str">
        <x:v>Global Config</x:v>
      </x:c>
      <x:c r="I77" s="35" t="str">
        <x:v>D77</x:v>
      </x:c>
      <x:c r="J77" s="85" t="b">
        <x:v>1</x:v>
      </x:c>
      <x:c r="K77" s="85" t="b">
        <x:v>1</x:v>
      </x:c>
      <x:c r="L77" s="56" t="str">
        <x:f>'Global Config'!K77</x:f>
        <x:v>OK</x:v>
      </x:c>
      <x:c r="M77" s="44" t="str">
        <x:v>Порог Tempo II</x:v>
      </x:c>
    </x:row>
    <x:row r="78" ht="36" customHeight="1">
      <x:c r="A78" s="118" t="n">
        <x:v>73</x:v>
      </x:c>
      <x:c r="B78" s="35" t="str">
        <x:v>global</x:v>
      </x:c>
      <x:c r="C78" s="35" t="str">
        <x:v>root</x:v>
      </x:c>
      <x:c r="D78" s="35" t="str">
        <x:v>fighter.kangaroo.tempo_tier_3</x:v>
      </x:c>
      <x:c r="E78" s="38" t="str">
        <x:v>int</x:v>
      </x:c>
      <x:c r="F78" s="56" t="n">
        <x:f>'Global Config'!D78</x:f>
        <x:v>800</x:v>
      </x:c>
      <x:c r="G78" s="38" t="str">
        <x:v>resource</x:v>
      </x:c>
      <x:c r="H78" s="35" t="str">
        <x:v>Global Config</x:v>
      </x:c>
      <x:c r="I78" s="35" t="str">
        <x:v>D78</x:v>
      </x:c>
      <x:c r="J78" s="85" t="b">
        <x:v>1</x:v>
      </x:c>
      <x:c r="K78" s="85" t="b">
        <x:v>1</x:v>
      </x:c>
      <x:c r="L78" s="56" t="str">
        <x:f>'Global Config'!K78</x:f>
        <x:v>OK</x:v>
      </x:c>
      <x:c r="M78" s="44" t="str">
        <x:v>Порог Tempo III</x:v>
      </x:c>
    </x:row>
    <x:row r="79" ht="36" customHeight="1">
      <x:c r="A79" s="118" t="n">
        <x:v>74</x:v>
      </x:c>
      <x:c r="B79" s="35" t="str">
        <x:v>global</x:v>
      </x:c>
      <x:c r="C79" s="35" t="str">
        <x:v>root</x:v>
      </x:c>
      <x:c r="D79" s="35" t="str">
        <x:v>fighter.gorilla.grip_per_block</x:v>
      </x:c>
      <x:c r="E79" s="38" t="str">
        <x:v>int</x:v>
      </x:c>
      <x:c r="F79" s="56" t="n">
        <x:f>'Global Config'!D79</x:f>
        <x:v>150</x:v>
      </x:c>
      <x:c r="G79" s="38" t="str">
        <x:v>resource</x:v>
      </x:c>
      <x:c r="H79" s="35" t="str">
        <x:v>Global Config</x:v>
      </x:c>
      <x:c r="I79" s="35" t="str">
        <x:v>D79</x:v>
      </x:c>
      <x:c r="J79" s="85" t="b">
        <x:v>1</x:v>
      </x:c>
      <x:c r="K79" s="85" t="b">
        <x:v>1</x:v>
      </x:c>
      <x:c r="L79" s="56" t="str">
        <x:f>'Global Config'!K79</x:f>
        <x:v>OK</x:v>
      </x:c>
      <x:c r="M79" s="44" t="str">
        <x:v>Хватка за успешный Block</x:v>
      </x:c>
    </x:row>
    <x:row r="80" ht="36" customHeight="1">
      <x:c r="A80" s="118" t="n">
        <x:v>75</x:v>
      </x:c>
      <x:c r="B80" s="35" t="str">
        <x:v>global</x:v>
      </x:c>
      <x:c r="C80" s="35" t="str">
        <x:v>root</x:v>
      </x:c>
      <x:c r="D80" s="35" t="str">
        <x:v>fighter.gorilla.grip_per_shove</x:v>
      </x:c>
      <x:c r="E80" s="38" t="str">
        <x:v>int</x:v>
      </x:c>
      <x:c r="F80" s="56" t="n">
        <x:f>'Global Config'!D80</x:f>
        <x:v>120</x:v>
      </x:c>
      <x:c r="G80" s="38" t="str">
        <x:v>resource</x:v>
      </x:c>
      <x:c r="H80" s="35" t="str">
        <x:v>Global Config</x:v>
      </x:c>
      <x:c r="I80" s="35" t="str">
        <x:v>D80</x:v>
      </x:c>
      <x:c r="J80" s="85" t="b">
        <x:v>1</x:v>
      </x:c>
      <x:c r="K80" s="85" t="b">
        <x:v>1</x:v>
      </x:c>
      <x:c r="L80" s="56" t="str">
        <x:f>'Global Config'!K80</x:f>
        <x:v>OK</x:v>
      </x:c>
      <x:c r="M80" s="44" t="str">
        <x:v>Хватка за Driving Shove</x:v>
      </x:c>
    </x:row>
    <x:row r="81" ht="36" customHeight="1">
      <x:c r="A81" s="118" t="n">
        <x:v>76</x:v>
      </x:c>
      <x:c r="B81" s="35" t="str">
        <x:v>global</x:v>
      </x:c>
      <x:c r="C81" s="35" t="str">
        <x:v>root</x:v>
      </x:c>
      <x:c r="D81" s="35" t="str">
        <x:v>fighter.gorilla.grip_per_grab</x:v>
      </x:c>
      <x:c r="E81" s="38" t="str">
        <x:v>int</x:v>
      </x:c>
      <x:c r="F81" s="56" t="n">
        <x:f>'Global Config'!D81</x:f>
        <x:v>180</x:v>
      </x:c>
      <x:c r="G81" s="38" t="str">
        <x:v>resource</x:v>
      </x:c>
      <x:c r="H81" s="35" t="str">
        <x:v>Global Config</x:v>
      </x:c>
      <x:c r="I81" s="35" t="str">
        <x:v>D81</x:v>
      </x:c>
      <x:c r="J81" s="85" t="b">
        <x:v>1</x:v>
      </x:c>
      <x:c r="K81" s="85" t="b">
        <x:v>1</x:v>
      </x:c>
      <x:c r="L81" s="56" t="str">
        <x:f>'Global Config'!K81</x:f>
        <x:v>OK</x:v>
      </x:c>
      <x:c r="M81" s="44" t="str">
        <x:v>Хватка за resolved grab</x:v>
      </x:c>
    </x:row>
    <x:row r="82" ht="36" customHeight="1">
      <x:c r="A82" s="118" t="n">
        <x:v>77</x:v>
      </x:c>
      <x:c r="B82" s="35" t="str">
        <x:v>global</x:v>
      </x:c>
      <x:c r="C82" s="35" t="str">
        <x:v>root</x:v>
      </x:c>
      <x:c r="D82" s="35" t="str">
        <x:v>fighter.gorilla.grip_per_wall_tick</x:v>
      </x:c>
      <x:c r="E82" s="38" t="str">
        <x:v>int</x:v>
      </x:c>
      <x:c r="F82" s="56" t="n">
        <x:f>'Global Config'!D82</x:f>
        <x:v>20</x:v>
      </x:c>
      <x:c r="G82" s="38" t="str">
        <x:v>resource</x:v>
      </x:c>
      <x:c r="H82" s="35" t="str">
        <x:v>Global Config</x:v>
      </x:c>
      <x:c r="I82" s="35" t="str">
        <x:v>D82</x:v>
      </x:c>
      <x:c r="J82" s="85" t="b">
        <x:v>1</x:v>
      </x:c>
      <x:c r="K82" s="85" t="b">
        <x:v>1</x:v>
      </x:c>
      <x:c r="L82" s="56" t="str">
        <x:f>'Global Config'!K82</x:f>
        <x:v>OK</x:v>
      </x:c>
      <x:c r="M82" s="44" t="str">
        <x:v>Хватка за wall pressure tick</x:v>
      </x:c>
    </x:row>
    <x:row r="83" ht="36" customHeight="1">
      <x:c r="A83" s="118" t="n">
        <x:v>78</x:v>
      </x:c>
      <x:c r="B83" s="35" t="str">
        <x:v>global</x:v>
      </x:c>
      <x:c r="C83" s="35" t="str">
        <x:v>root</x:v>
      </x:c>
      <x:c r="D83" s="35" t="str">
        <x:v>fighter.gorilla.wall_tick_interval</x:v>
      </x:c>
      <x:c r="E83" s="38" t="str">
        <x:v>int</x:v>
      </x:c>
      <x:c r="F83" s="56" t="n">
        <x:f>'Global Config'!D83</x:f>
        <x:v>5</x:v>
      </x:c>
      <x:c r="G83" s="38" t="str">
        <x:v>ticks</x:v>
      </x:c>
      <x:c r="H83" s="35" t="str">
        <x:v>Global Config</x:v>
      </x:c>
      <x:c r="I83" s="35" t="str">
        <x:v>D83</x:v>
      </x:c>
      <x:c r="J83" s="85" t="b">
        <x:v>1</x:v>
      </x:c>
      <x:c r="K83" s="85" t="b">
        <x:v>1</x:v>
      </x:c>
      <x:c r="L83" s="56" t="str">
        <x:f>'Global Config'!K83</x:f>
        <x:v>OK</x:v>
      </x:c>
      <x:c r="M83" s="44" t="str">
        <x:v>Интервал wall pressure</x:v>
      </x:c>
    </x:row>
    <x:row r="84" ht="36" customHeight="1">
      <x:c r="A84" s="118" t="n">
        <x:v>79</x:v>
      </x:c>
      <x:c r="B84" s="35" t="str">
        <x:v>global</x:v>
      </x:c>
      <x:c r="C84" s="35" t="str">
        <x:v>root</x:v>
      </x:c>
      <x:c r="D84" s="35" t="str">
        <x:v>fighter.gorilla.disengage_grace_ticks</x:v>
      </x:c>
      <x:c r="E84" s="38" t="str">
        <x:v>int</x:v>
      </x:c>
      <x:c r="F84" s="56" t="n">
        <x:f>'Global Config'!D84</x:f>
        <x:v>20</x:v>
      </x:c>
      <x:c r="G84" s="38" t="str">
        <x:v>ticks</x:v>
      </x:c>
      <x:c r="H84" s="35" t="str">
        <x:v>Global Config</x:v>
      </x:c>
      <x:c r="I84" s="35" t="str">
        <x:v>D84</x:v>
      </x:c>
      <x:c r="J84" s="85" t="b">
        <x:v>1</x:v>
      </x:c>
      <x:c r="K84" s="85" t="b">
        <x:v>1</x:v>
      </x:c>
      <x:c r="L84" s="56" t="str">
        <x:f>'Global Config'!K84</x:f>
        <x:v>OK</x:v>
      </x:c>
      <x:c r="M84" s="44" t="str">
        <x:v>Пауза до потери хватки</x:v>
      </x:c>
    </x:row>
    <x:row r="85" ht="36" customHeight="1">
      <x:c r="A85" s="118" t="n">
        <x:v>80</x:v>
      </x:c>
      <x:c r="B85" s="35" t="str">
        <x:v>global</x:v>
      </x:c>
      <x:c r="C85" s="35" t="str">
        <x:v>root</x:v>
      </x:c>
      <x:c r="D85" s="35" t="str">
        <x:v>fighter.gorilla.disengage_loss_per_tick</x:v>
      </x:c>
      <x:c r="E85" s="38" t="str">
        <x:v>int</x:v>
      </x:c>
      <x:c r="F85" s="56" t="n">
        <x:f>'Global Config'!D85</x:f>
        <x:v>15</x:v>
      </x:c>
      <x:c r="G85" s="38" t="str">
        <x:v>resource/tick</x:v>
      </x:c>
      <x:c r="H85" s="35" t="str">
        <x:v>Global Config</x:v>
      </x:c>
      <x:c r="I85" s="35" t="str">
        <x:v>D85</x:v>
      </x:c>
      <x:c r="J85" s="85" t="b">
        <x:v>1</x:v>
      </x:c>
      <x:c r="K85" s="85" t="b">
        <x:v>1</x:v>
      </x:c>
      <x:c r="L85" s="56" t="str">
        <x:f>'Global Config'!K85</x:f>
        <x:v>OK</x:v>
      </x:c>
      <x:c r="M85" s="44" t="str">
        <x:v>Потеря хватки вне engagement</x:v>
      </x:c>
    </x:row>
    <x:row r="86" ht="36" customHeight="1">
      <x:c r="A86" s="118" t="n">
        <x:v>81</x:v>
      </x:c>
      <x:c r="B86" s="35" t="str">
        <x:v>global</x:v>
      </x:c>
      <x:c r="C86" s="35" t="str">
        <x:v>root</x:v>
      </x:c>
      <x:c r="D86" s="35" t="str">
        <x:v>fighter.gorilla.hard_control_loss</x:v>
      </x:c>
      <x:c r="E86" s="38" t="str">
        <x:v>int</x:v>
      </x:c>
      <x:c r="F86" s="56" t="n">
        <x:f>'Global Config'!D86</x:f>
        <x:v>250</x:v>
      </x:c>
      <x:c r="G86" s="38" t="str">
        <x:v>resource</x:v>
      </x:c>
      <x:c r="H86" s="35" t="str">
        <x:v>Global Config</x:v>
      </x:c>
      <x:c r="I86" s="35" t="str">
        <x:v>D86</x:v>
      </x:c>
      <x:c r="J86" s="85" t="b">
        <x:v>1</x:v>
      </x:c>
      <x:c r="K86" s="85" t="b">
        <x:v>1</x:v>
      </x:c>
      <x:c r="L86" s="56" t="str">
        <x:f>'Global Config'!K86</x:f>
        <x:v>OK</x:v>
      </x:c>
      <x:c r="M86" s="44" t="str">
        <x:v>Потеря от собственного hard control</x:v>
      </x:c>
    </x:row>
    <x:row r="87" ht="36" customHeight="1">
      <x:c r="A87" s="118" t="n">
        <x:v>82</x:v>
      </x:c>
      <x:c r="B87" s="35" t="str">
        <x:v>global</x:v>
      </x:c>
      <x:c r="C87" s="35" t="str">
        <x:v>root</x:v>
      </x:c>
      <x:c r="D87" s="35" t="str">
        <x:v>fighter.gorilla.grip_tier_1</x:v>
      </x:c>
      <x:c r="E87" s="38" t="str">
        <x:v>int</x:v>
      </x:c>
      <x:c r="F87" s="56" t="n">
        <x:f>'Global Config'!D87</x:f>
        <x:v>250</x:v>
      </x:c>
      <x:c r="G87" s="38" t="str">
        <x:v>resource</x:v>
      </x:c>
      <x:c r="H87" s="35" t="str">
        <x:v>Global Config</x:v>
      </x:c>
      <x:c r="I87" s="35" t="str">
        <x:v>D87</x:v>
      </x:c>
      <x:c r="J87" s="85" t="b">
        <x:v>1</x:v>
      </x:c>
      <x:c r="K87" s="85" t="b">
        <x:v>1</x:v>
      </x:c>
      <x:c r="L87" s="56" t="str">
        <x:f>'Global Config'!K87</x:f>
        <x:v>OK</x:v>
      </x:c>
      <x:c r="M87" s="44" t="str">
        <x:v>Порог Grip I</x:v>
      </x:c>
    </x:row>
    <x:row r="88" ht="36" customHeight="1">
      <x:c r="A88" s="118" t="n">
        <x:v>83</x:v>
      </x:c>
      <x:c r="B88" s="35" t="str">
        <x:v>global</x:v>
      </x:c>
      <x:c r="C88" s="35" t="str">
        <x:v>root</x:v>
      </x:c>
      <x:c r="D88" s="35" t="str">
        <x:v>fighter.gorilla.grip_tier_2</x:v>
      </x:c>
      <x:c r="E88" s="38" t="str">
        <x:v>int</x:v>
      </x:c>
      <x:c r="F88" s="56" t="n">
        <x:f>'Global Config'!D88</x:f>
        <x:v>550</x:v>
      </x:c>
      <x:c r="G88" s="38" t="str">
        <x:v>resource</x:v>
      </x:c>
      <x:c r="H88" s="35" t="str">
        <x:v>Global Config</x:v>
      </x:c>
      <x:c r="I88" s="35" t="str">
        <x:v>D88</x:v>
      </x:c>
      <x:c r="J88" s="85" t="b">
        <x:v>1</x:v>
      </x:c>
      <x:c r="K88" s="85" t="b">
        <x:v>1</x:v>
      </x:c>
      <x:c r="L88" s="56" t="str">
        <x:f>'Global Config'!K88</x:f>
        <x:v>OK</x:v>
      </x:c>
      <x:c r="M88" s="44" t="str">
        <x:v>Порог Grip II</x:v>
      </x:c>
    </x:row>
    <x:row r="89" ht="36" customHeight="1">
      <x:c r="A89" s="118" t="n">
        <x:v>84</x:v>
      </x:c>
      <x:c r="B89" s="35" t="str">
        <x:v>global</x:v>
      </x:c>
      <x:c r="C89" s="35" t="str">
        <x:v>root</x:v>
      </x:c>
      <x:c r="D89" s="35" t="str">
        <x:v>fighter.gorilla.grip_tier_3</x:v>
      </x:c>
      <x:c r="E89" s="38" t="str">
        <x:v>int</x:v>
      </x:c>
      <x:c r="F89" s="56" t="n">
        <x:f>'Global Config'!D89</x:f>
        <x:v>800</x:v>
      </x:c>
      <x:c r="G89" s="38" t="str">
        <x:v>resource</x:v>
      </x:c>
      <x:c r="H89" s="35" t="str">
        <x:v>Global Config</x:v>
      </x:c>
      <x:c r="I89" s="35" t="str">
        <x:v>D89</x:v>
      </x:c>
      <x:c r="J89" s="85" t="b">
        <x:v>1</x:v>
      </x:c>
      <x:c r="K89" s="85" t="b">
        <x:v>1</x:v>
      </x:c>
      <x:c r="L89" s="56" t="str">
        <x:f>'Global Config'!K89</x:f>
        <x:v>OK</x:v>
      </x:c>
      <x:c r="M89" s="44" t="str">
        <x:v>Порог Grip III</x:v>
      </x:c>
    </x:row>
    <x:row r="90" ht="36" customHeight="1">
      <x:c r="A90" s="118" t="n">
        <x:v>85</x:v>
      </x:c>
      <x:c r="B90" s="35" t="str">
        <x:v>fighter</x:v>
      </x:c>
      <x:c r="C90" s="35" t="str">
        <x:v>bear</x:v>
      </x:c>
      <x:c r="D90" s="35" t="str">
        <x:v>animal_id</x:v>
      </x:c>
      <x:c r="E90" s="38" t="str">
        <x:v>string</x:v>
      </x:c>
      <x:c r="F90" s="56" t="str">
        <x:f>'Fighter Stats'!A6</x:f>
        <x:v>bear</x:v>
      </x:c>
      <x:c r="G90" s="38" t="str"/>
      <x:c r="H90" s="35" t="str">
        <x:v>Fighter Stats</x:v>
      </x:c>
      <x:c r="I90" s="35" t="str">
        <x:v>A6</x:v>
      </x:c>
      <x:c r="J90" s="85" t="b">
        <x:v>1</x:v>
      </x:c>
      <x:c r="K90" s="85" t="b">
        <x:v>1</x:v>
      </x:c>
      <x:c r="L90" s="56" t="str">
        <x:f>'Fighter Stats'!AA6</x:f>
        <x:v>OK</x:v>
      </x:c>
      <x:c r="M90" s="44" t="str">
        <x:v>Источник Fighter Stats.Animal ID</x:v>
      </x:c>
    </x:row>
    <x:row r="91" ht="36" customHeight="1">
      <x:c r="A91" s="118" t="n">
        <x:v>86</x:v>
      </x:c>
      <x:c r="B91" s="35" t="str">
        <x:v>fighter</x:v>
      </x:c>
      <x:c r="C91" s="35" t="str">
        <x:v>bear</x:v>
      </x:c>
      <x:c r="D91" s="35" t="str">
        <x:v>resource_id</x:v>
      </x:c>
      <x:c r="E91" s="38" t="str">
        <x:v>string</x:v>
      </x:c>
      <x:c r="F91" s="56" t="str">
        <x:f>'Fighter Stats'!C6</x:f>
        <x:v>rage</x:v>
      </x:c>
      <x:c r="G91" s="38" t="str"/>
      <x:c r="H91" s="35" t="str">
        <x:v>Fighter Stats</x:v>
      </x:c>
      <x:c r="I91" s="35" t="str">
        <x:v>C6</x:v>
      </x:c>
      <x:c r="J91" s="85" t="b">
        <x:v>1</x:v>
      </x:c>
      <x:c r="K91" s="85" t="b">
        <x:v>1</x:v>
      </x:c>
      <x:c r="L91" s="56" t="str">
        <x:f>'Fighter Stats'!AA6</x:f>
        <x:v>OK</x:v>
      </x:c>
      <x:c r="M91" s="44" t="str">
        <x:v>Источник Fighter Stats.Resource ID</x:v>
      </x:c>
    </x:row>
    <x:row r="92" ht="36" customHeight="1">
      <x:c r="A92" s="118" t="n">
        <x:v>87</x:v>
      </x:c>
      <x:c r="B92" s="35" t="str">
        <x:v>fighter</x:v>
      </x:c>
      <x:c r="C92" s="35" t="str">
        <x:v>bear</x:v>
      </x:c>
      <x:c r="D92" s="35" t="str">
        <x:v>max_health</x:v>
      </x:c>
      <x:c r="E92" s="38" t="str">
        <x:v>int</x:v>
      </x:c>
      <x:c r="F92" s="56" t="n">
        <x:f>'Fighter Stats'!D6</x:f>
        <x:v>1650</x:v>
      </x:c>
      <x:c r="G92" s="38" t="str"/>
      <x:c r="H92" s="35" t="str">
        <x:v>Fighter Stats</x:v>
      </x:c>
      <x:c r="I92" s="35" t="str">
        <x:v>D6</x:v>
      </x:c>
      <x:c r="J92" s="85" t="b">
        <x:v>1</x:v>
      </x:c>
      <x:c r="K92" s="85" t="b">
        <x:v>1</x:v>
      </x:c>
      <x:c r="L92" s="56" t="str">
        <x:f>'Fighter Stats'!AA6</x:f>
        <x:v>OK</x:v>
      </x:c>
      <x:c r="M92" s="44" t="str">
        <x:v>Источник Fighter Stats.Max Health</x:v>
      </x:c>
    </x:row>
    <x:row r="93" ht="36" customHeight="1">
      <x:c r="A93" s="118" t="n">
        <x:v>88</x:v>
      </x:c>
      <x:c r="B93" s="35" t="str">
        <x:v>fighter</x:v>
      </x:c>
      <x:c r="C93" s="35" t="str">
        <x:v>bear</x:v>
      </x:c>
      <x:c r="D93" s="35" t="str">
        <x:v>power</x:v>
      </x:c>
      <x:c r="E93" s="38" t="str">
        <x:v>int</x:v>
      </x:c>
      <x:c r="F93" s="56" t="n">
        <x:f>'Fighter Stats'!E6</x:f>
        <x:v>130</x:v>
      </x:c>
      <x:c r="G93" s="38" t="str"/>
      <x:c r="H93" s="35" t="str">
        <x:v>Fighter Stats</x:v>
      </x:c>
      <x:c r="I93" s="35" t="str">
        <x:v>E6</x:v>
      </x:c>
      <x:c r="J93" s="85" t="b">
        <x:v>1</x:v>
      </x:c>
      <x:c r="K93" s="85" t="b">
        <x:v>1</x:v>
      </x:c>
      <x:c r="L93" s="56" t="str">
        <x:f>'Fighter Stats'!AA6</x:f>
        <x:v>OK</x:v>
      </x:c>
      <x:c r="M93" s="44" t="str">
        <x:v>Источник Fighter Stats.Power</x:v>
      </x:c>
    </x:row>
    <x:row r="94" ht="36" customHeight="1">
      <x:c r="A94" s="118" t="n">
        <x:v>89</x:v>
      </x:c>
      <x:c r="B94" s="35" t="str">
        <x:v>fighter</x:v>
      </x:c>
      <x:c r="C94" s="35" t="str">
        <x:v>bear</x:v>
      </x:c>
      <x:c r="D94" s="35" t="str">
        <x:v>armor</x:v>
      </x:c>
      <x:c r="E94" s="38" t="str">
        <x:v>int</x:v>
      </x:c>
      <x:c r="F94" s="56" t="n">
        <x:f>'Fighter Stats'!F6</x:f>
        <x:v>75</x:v>
      </x:c>
      <x:c r="G94" s="38" t="str"/>
      <x:c r="H94" s="35" t="str">
        <x:v>Fighter Stats</x:v>
      </x:c>
      <x:c r="I94" s="35" t="str">
        <x:v>F6</x:v>
      </x:c>
      <x:c r="J94" s="85" t="b">
        <x:v>1</x:v>
      </x:c>
      <x:c r="K94" s="85" t="b">
        <x:v>1</x:v>
      </x:c>
      <x:c r="L94" s="56" t="str">
        <x:f>'Fighter Stats'!AA6</x:f>
        <x:v>OK</x:v>
      </x:c>
      <x:c r="M94" s="44" t="str">
        <x:v>Источник Fighter Stats.Armor</x:v>
      </x:c>
    </x:row>
    <x:row r="95" ht="36" customHeight="1">
      <x:c r="A95" s="118" t="n">
        <x:v>90</x:v>
      </x:c>
      <x:c r="B95" s="35" t="str">
        <x:v>fighter</x:v>
      </x:c>
      <x:c r="C95" s="35" t="str">
        <x:v>bear</x:v>
      </x:c>
      <x:c r="D95" s="35" t="str">
        <x:v>precision</x:v>
      </x:c>
      <x:c r="E95" s="38" t="str">
        <x:v>int</x:v>
      </x:c>
      <x:c r="F95" s="56" t="n">
        <x:f>'Fighter Stats'!G6</x:f>
        <x:v>95</x:v>
      </x:c>
      <x:c r="G95" s="38" t="str"/>
      <x:c r="H95" s="35" t="str">
        <x:v>Fighter Stats</x:v>
      </x:c>
      <x:c r="I95" s="35" t="str">
        <x:v>G6</x:v>
      </x:c>
      <x:c r="J95" s="85" t="b">
        <x:v>1</x:v>
      </x:c>
      <x:c r="K95" s="85" t="b">
        <x:v>1</x:v>
      </x:c>
      <x:c r="L95" s="56" t="str">
        <x:f>'Fighter Stats'!AA6</x:f>
        <x:v>OK</x:v>
      </x:c>
      <x:c r="M95" s="44" t="str">
        <x:v>Источник Fighter Stats.Precision</x:v>
      </x:c>
    </x:row>
    <x:row r="96" ht="36" customHeight="1">
      <x:c r="A96" s="118" t="n">
        <x:v>91</x:v>
      </x:c>
      <x:c r="B96" s="35" t="str">
        <x:v>fighter</x:v>
      </x:c>
      <x:c r="C96" s="35" t="str">
        <x:v>bear</x:v>
      </x:c>
      <x:c r="D96" s="35" t="str">
        <x:v>evasion</x:v>
      </x:c>
      <x:c r="E96" s="38" t="str">
        <x:v>int</x:v>
      </x:c>
      <x:c r="F96" s="56" t="n">
        <x:f>'Fighter Stats'!H6</x:f>
        <x:v>55</x:v>
      </x:c>
      <x:c r="G96" s="38" t="str"/>
      <x:c r="H96" s="35" t="str">
        <x:v>Fighter Stats</x:v>
      </x:c>
      <x:c r="I96" s="35" t="str">
        <x:v>H6</x:v>
      </x:c>
      <x:c r="J96" s="85" t="b">
        <x:v>1</x:v>
      </x:c>
      <x:c r="K96" s="85" t="b">
        <x:v>1</x:v>
      </x:c>
      <x:c r="L96" s="56" t="str">
        <x:f>'Fighter Stats'!AA6</x:f>
        <x:v>OK</x:v>
      </x:c>
      <x:c r="M96" s="44" t="str">
        <x:v>Источник Fighter Stats.Evasion</x:v>
      </x:c>
    </x:row>
    <x:row r="97" ht="36" customHeight="1">
      <x:c r="A97" s="118" t="n">
        <x:v>92</x:v>
      </x:c>
      <x:c r="B97" s="35" t="str">
        <x:v>fighter</x:v>
      </x:c>
      <x:c r="C97" s="35" t="str">
        <x:v>bear</x:v>
      </x:c>
      <x:c r="D97" s="35" t="str">
        <x:v>guard</x:v>
      </x:c>
      <x:c r="E97" s="38" t="str">
        <x:v>int</x:v>
      </x:c>
      <x:c r="F97" s="56" t="n">
        <x:f>'Fighter Stats'!I6</x:f>
        <x:v>105</x:v>
      </x:c>
      <x:c r="G97" s="38" t="str"/>
      <x:c r="H97" s="35" t="str">
        <x:v>Fighter Stats</x:v>
      </x:c>
      <x:c r="I97" s="35" t="str">
        <x:v>I6</x:v>
      </x:c>
      <x:c r="J97" s="85" t="b">
        <x:v>1</x:v>
      </x:c>
      <x:c r="K97" s="85" t="b">
        <x:v>1</x:v>
      </x:c>
      <x:c r="L97" s="56" t="str">
        <x:f>'Fighter Stats'!AA6</x:f>
        <x:v>OK</x:v>
      </x:c>
      <x:c r="M97" s="44" t="str">
        <x:v>Источник Fighter Stats.Guard</x:v>
      </x:c>
    </x:row>
    <x:row r="98" ht="36" customHeight="1">
      <x:c r="A98" s="118" t="n">
        <x:v>93</x:v>
      </x:c>
      <x:c r="B98" s="35" t="str">
        <x:v>fighter</x:v>
      </x:c>
      <x:c r="C98" s="35" t="str">
        <x:v>bear</x:v>
      </x:c>
      <x:c r="D98" s="35" t="str">
        <x:v>guard_break</x:v>
      </x:c>
      <x:c r="E98" s="38" t="str">
        <x:v>int</x:v>
      </x:c>
      <x:c r="F98" s="56" t="n">
        <x:f>'Fighter Stats'!J6</x:f>
        <x:v>120</x:v>
      </x:c>
      <x:c r="G98" s="38" t="str"/>
      <x:c r="H98" s="35" t="str">
        <x:v>Fighter Stats</x:v>
      </x:c>
      <x:c r="I98" s="35" t="str">
        <x:v>J6</x:v>
      </x:c>
      <x:c r="J98" s="85" t="b">
        <x:v>1</x:v>
      </x:c>
      <x:c r="K98" s="85" t="b">
        <x:v>1</x:v>
      </x:c>
      <x:c r="L98" s="56" t="str">
        <x:f>'Fighter Stats'!AA6</x:f>
        <x:v>OK</x:v>
      </x:c>
      <x:c r="M98" s="44" t="str">
        <x:v>Источник Fighter Stats.Guard Break</x:v>
      </x:c>
    </x:row>
    <x:row r="99" ht="36" customHeight="1">
      <x:c r="A99" s="118" t="n">
        <x:v>94</x:v>
      </x:c>
      <x:c r="B99" s="35" t="str">
        <x:v>fighter</x:v>
      </x:c>
      <x:c r="C99" s="35" t="str">
        <x:v>bear</x:v>
      </x:c>
      <x:c r="D99" s="35" t="str">
        <x:v>move_speed</x:v>
      </x:c>
      <x:c r="E99" s="38" t="str">
        <x:v>int</x:v>
      </x:c>
      <x:c r="F99" s="56" t="n">
        <x:f>'Fighter Stats'!K6</x:f>
        <x:v>70</x:v>
      </x:c>
      <x:c r="G99" s="38" t="str"/>
      <x:c r="H99" s="35" t="str">
        <x:v>Fighter Stats</x:v>
      </x:c>
      <x:c r="I99" s="35" t="str">
        <x:v>K6</x:v>
      </x:c>
      <x:c r="J99" s="85" t="b">
        <x:v>1</x:v>
      </x:c>
      <x:c r="K99" s="85" t="b">
        <x:v>1</x:v>
      </x:c>
      <x:c r="L99" s="56" t="str">
        <x:f>'Fighter Stats'!AA6</x:f>
        <x:v>OK</x:v>
      </x:c>
      <x:c r="M99" s="44" t="str">
        <x:v>Источник Fighter Stats.Move Speed</x:v>
      </x:c>
    </x:row>
    <x:row r="100" ht="36" customHeight="1">
      <x:c r="A100" s="118" t="n">
        <x:v>95</x:v>
      </x:c>
      <x:c r="B100" s="35" t="str">
        <x:v>fighter</x:v>
      </x:c>
      <x:c r="C100" s="35" t="str">
        <x:v>bear</x:v>
      </x:c>
      <x:c r="D100" s="35" t="str">
        <x:v>action_speed</x:v>
      </x:c>
      <x:c r="E100" s="38" t="str">
        <x:v>int</x:v>
      </x:c>
      <x:c r="F100" s="56" t="n">
        <x:f>'Fighter Stats'!L6</x:f>
        <x:v>85</x:v>
      </x:c>
      <x:c r="G100" s="38" t="str"/>
      <x:c r="H100" s="35" t="str">
        <x:v>Fighter Stats</x:v>
      </x:c>
      <x:c r="I100" s="35" t="str">
        <x:v>L6</x:v>
      </x:c>
      <x:c r="J100" s="85" t="b">
        <x:v>1</x:v>
      </x:c>
      <x:c r="K100" s="85" t="b">
        <x:v>1</x:v>
      </x:c>
      <x:c r="L100" s="56" t="str">
        <x:f>'Fighter Stats'!AA6</x:f>
        <x:v>OK</x:v>
      </x:c>
      <x:c r="M100" s="44" t="str">
        <x:v>Источник Fighter Stats.Action Speed</x:v>
      </x:c>
    </x:row>
    <x:row r="101" ht="36" customHeight="1">
      <x:c r="A101" s="118" t="n">
        <x:v>96</x:v>
      </x:c>
      <x:c r="B101" s="35" t="str">
        <x:v>fighter</x:v>
      </x:c>
      <x:c r="C101" s="35" t="str">
        <x:v>bear</x:v>
      </x:c>
      <x:c r="D101" s="35" t="str">
        <x:v>initiative</x:v>
      </x:c>
      <x:c r="E101" s="38" t="str">
        <x:v>int</x:v>
      </x:c>
      <x:c r="F101" s="56" t="n">
        <x:f>'Fighter Stats'!M6</x:f>
        <x:v>85</x:v>
      </x:c>
      <x:c r="G101" s="38" t="str"/>
      <x:c r="H101" s="35" t="str">
        <x:v>Fighter Stats</x:v>
      </x:c>
      <x:c r="I101" s="35" t="str">
        <x:v>M6</x:v>
      </x:c>
      <x:c r="J101" s="85" t="b">
        <x:v>1</x:v>
      </x:c>
      <x:c r="K101" s="85" t="b">
        <x:v>1</x:v>
      </x:c>
      <x:c r="L101" s="56" t="str">
        <x:f>'Fighter Stats'!AA6</x:f>
        <x:v>OK</x:v>
      </x:c>
      <x:c r="M101" s="44" t="str">
        <x:v>Источник Fighter Stats.Initiative</x:v>
      </x:c>
    </x:row>
    <x:row r="102" ht="36" customHeight="1">
      <x:c r="A102" s="118" t="n">
        <x:v>97</x:v>
      </x:c>
      <x:c r="B102" s="35" t="str">
        <x:v>fighter</x:v>
      </x:c>
      <x:c r="C102" s="35" t="str">
        <x:v>bear</x:v>
      </x:c>
      <x:c r="D102" s="35" t="str">
        <x:v>control_power</x:v>
      </x:c>
      <x:c r="E102" s="38" t="str">
        <x:v>int</x:v>
      </x:c>
      <x:c r="F102" s="56" t="n">
        <x:f>'Fighter Stats'!N6</x:f>
        <x:v>125</x:v>
      </x:c>
      <x:c r="G102" s="38" t="str"/>
      <x:c r="H102" s="35" t="str">
        <x:v>Fighter Stats</x:v>
      </x:c>
      <x:c r="I102" s="35" t="str">
        <x:v>N6</x:v>
      </x:c>
      <x:c r="J102" s="85" t="b">
        <x:v>1</x:v>
      </x:c>
      <x:c r="K102" s="85" t="b">
        <x:v>1</x:v>
      </x:c>
      <x:c r="L102" s="56" t="str">
        <x:f>'Fighter Stats'!AA6</x:f>
        <x:v>OK</x:v>
      </x:c>
      <x:c r="M102" s="44" t="str">
        <x:v>Источник Fighter Stats.Control Power</x:v>
      </x:c>
    </x:row>
    <x:row r="103" ht="36" customHeight="1">
      <x:c r="A103" s="118" t="n">
        <x:v>98</x:v>
      </x:c>
      <x:c r="B103" s="35" t="str">
        <x:v>fighter</x:v>
      </x:c>
      <x:c r="C103" s="35" t="str">
        <x:v>bear</x:v>
      </x:c>
      <x:c r="D103" s="35" t="str">
        <x:v>control_resistance</x:v>
      </x:c>
      <x:c r="E103" s="38" t="str">
        <x:v>int</x:v>
      </x:c>
      <x:c r="F103" s="56" t="n">
        <x:f>'Fighter Stats'!O6</x:f>
        <x:v>125</x:v>
      </x:c>
      <x:c r="G103" s="38" t="str"/>
      <x:c r="H103" s="35" t="str">
        <x:v>Fighter Stats</x:v>
      </x:c>
      <x:c r="I103" s="35" t="str">
        <x:v>O6</x:v>
      </x:c>
      <x:c r="J103" s="85" t="b">
        <x:v>1</x:v>
      </x:c>
      <x:c r="K103" s="85" t="b">
        <x:v>1</x:v>
      </x:c>
      <x:c r="L103" s="56" t="str">
        <x:f>'Fighter Stats'!AA6</x:f>
        <x:v>OK</x:v>
      </x:c>
      <x:c r="M103" s="44" t="str">
        <x:v>Источник Fighter Stats.Control Resistance</x:v>
      </x:c>
    </x:row>
    <x:row r="104" ht="36" customHeight="1">
      <x:c r="A104" s="118" t="n">
        <x:v>99</x:v>
      </x:c>
      <x:c r="B104" s="35" t="str">
        <x:v>fighter</x:v>
      </x:c>
      <x:c r="C104" s="35" t="str">
        <x:v>bear</x:v>
      </x:c>
      <x:c r="D104" s="35" t="str">
        <x:v>mass</x:v>
      </x:c>
      <x:c r="E104" s="38" t="str">
        <x:v>int</x:v>
      </x:c>
      <x:c r="F104" s="56" t="n">
        <x:f>'Fighter Stats'!P6</x:f>
        <x:v>130</x:v>
      </x:c>
      <x:c r="G104" s="38" t="str"/>
      <x:c r="H104" s="35" t="str">
        <x:v>Fighter Stats</x:v>
      </x:c>
      <x:c r="I104" s="35" t="str">
        <x:v>P6</x:v>
      </x:c>
      <x:c r="J104" s="85" t="b">
        <x:v>1</x:v>
      </x:c>
      <x:c r="K104" s="85" t="b">
        <x:v>1</x:v>
      </x:c>
      <x:c r="L104" s="56" t="str">
        <x:f>'Fighter Stats'!AA6</x:f>
        <x:v>OK</x:v>
      </x:c>
      <x:c r="M104" s="44" t="str">
        <x:v>Источник Fighter Stats.Mass</x:v>
      </x:c>
    </x:row>
    <x:row r="105" ht="36" customHeight="1">
      <x:c r="A105" s="118" t="n">
        <x:v>100</x:v>
      </x:c>
      <x:c r="B105" s="35" t="str">
        <x:v>fighter</x:v>
      </x:c>
      <x:c r="C105" s="35" t="str">
        <x:v>bear</x:v>
      </x:c>
      <x:c r="D105" s="35" t="str">
        <x:v>max_energy</x:v>
      </x:c>
      <x:c r="E105" s="38" t="str">
        <x:v>int</x:v>
      </x:c>
      <x:c r="F105" s="56" t="n">
        <x:f>'Fighter Stats'!Q6</x:f>
        <x:v>1000</x:v>
      </x:c>
      <x:c r="G105" s="38" t="str"/>
      <x:c r="H105" s="35" t="str">
        <x:v>Fighter Stats</x:v>
      </x:c>
      <x:c r="I105" s="35" t="str">
        <x:v>Q6</x:v>
      </x:c>
      <x:c r="J105" s="85" t="b">
        <x:v>1</x:v>
      </x:c>
      <x:c r="K105" s="85" t="b">
        <x:v>1</x:v>
      </x:c>
      <x:c r="L105" s="56" t="str">
        <x:f>'Fighter Stats'!AA6</x:f>
        <x:v>OK</x:v>
      </x:c>
      <x:c r="M105" s="44" t="str">
        <x:v>Источник Fighter Stats.Max Energy</x:v>
      </x:c>
    </x:row>
    <x:row r="106" ht="36" customHeight="1">
      <x:c r="A106" s="118" t="n">
        <x:v>101</x:v>
      </x:c>
      <x:c r="B106" s="35" t="str">
        <x:v>fighter</x:v>
      </x:c>
      <x:c r="C106" s="35" t="str">
        <x:v>bear</x:v>
      </x:c>
      <x:c r="D106" s="35" t="str">
        <x:v>energy_regen</x:v>
      </x:c>
      <x:c r="E106" s="38" t="str">
        <x:v>int</x:v>
      </x:c>
      <x:c r="F106" s="56" t="n">
        <x:f>'Fighter Stats'!R6</x:f>
        <x:v>12</x:v>
      </x:c>
      <x:c r="G106" s="38" t="str"/>
      <x:c r="H106" s="35" t="str">
        <x:v>Fighter Stats</x:v>
      </x:c>
      <x:c r="I106" s="35" t="str">
        <x:v>R6</x:v>
      </x:c>
      <x:c r="J106" s="85" t="b">
        <x:v>1</x:v>
      </x:c>
      <x:c r="K106" s="85" t="b">
        <x:v>1</x:v>
      </x:c>
      <x:c r="L106" s="56" t="str">
        <x:f>'Fighter Stats'!AA6</x:f>
        <x:v>OK</x:v>
      </x:c>
      <x:c r="M106" s="44" t="str">
        <x:v>Источник Fighter Stats.Energy Regen / tick</x:v>
      </x:c>
    </x:row>
    <x:row r="107" ht="36" customHeight="1">
      <x:c r="A107" s="118" t="n">
        <x:v>102</x:v>
      </x:c>
      <x:c r="B107" s="35" t="str">
        <x:v>fighter</x:v>
      </x:c>
      <x:c r="C107" s="35" t="str">
        <x:v>bear</x:v>
      </x:c>
      <x:c r="D107" s="35" t="str">
        <x:v>collision_radius</x:v>
      </x:c>
      <x:c r="E107" s="38" t="str">
        <x:v>int</x:v>
      </x:c>
      <x:c r="F107" s="56" t="n">
        <x:f>'Fighter Stats'!S6</x:f>
        <x:v>520</x:v>
      </x:c>
      <x:c r="G107" s="38" t="str"/>
      <x:c r="H107" s="35" t="str">
        <x:v>Fighter Stats</x:v>
      </x:c>
      <x:c r="I107" s="35" t="str">
        <x:v>S6</x:v>
      </x:c>
      <x:c r="J107" s="85" t="b">
        <x:v>1</x:v>
      </x:c>
      <x:c r="K107" s="85" t="b">
        <x:v>1</x:v>
      </x:c>
      <x:c r="L107" s="56" t="str">
        <x:f>'Fighter Stats'!AA6</x:f>
        <x:v>OK</x:v>
      </x:c>
      <x:c r="M107" s="44" t="str">
        <x:v>Источник Fighter Stats.Collision Radius</x:v>
      </x:c>
    </x:row>
    <x:row r="108" ht="36" customHeight="1">
      <x:c r="A108" s="118" t="n">
        <x:v>103</x:v>
      </x:c>
      <x:c r="B108" s="35" t="str">
        <x:v>fighter</x:v>
      </x:c>
      <x:c r="C108" s="35" t="str">
        <x:v>bear</x:v>
      </x:c>
      <x:c r="D108" s="35" t="str">
        <x:v>start_resource</x:v>
      </x:c>
      <x:c r="E108" s="38" t="str">
        <x:v>int</x:v>
      </x:c>
      <x:c r="F108" s="56" t="n">
        <x:f>'Fighter Stats'!T6</x:f>
        <x:v>0</x:v>
      </x:c>
      <x:c r="G108" s="38" t="str"/>
      <x:c r="H108" s="35" t="str">
        <x:v>Fighter Stats</x:v>
      </x:c>
      <x:c r="I108" s="35" t="str">
        <x:v>T6</x:v>
      </x:c>
      <x:c r="J108" s="85" t="b">
        <x:v>1</x:v>
      </x:c>
      <x:c r="K108" s="85" t="b">
        <x:v>1</x:v>
      </x:c>
      <x:c r="L108" s="56" t="str">
        <x:f>'Fighter Stats'!AA6</x:f>
        <x:v>OK</x:v>
      </x:c>
      <x:c r="M108" s="44" t="str">
        <x:v>Источник Fighter Stats.Start Resource</x:v>
      </x:c>
    </x:row>
    <x:row r="109" ht="36" customHeight="1">
      <x:c r="A109" s="118" t="n">
        <x:v>104</x:v>
      </x:c>
      <x:c r="B109" s="35" t="str">
        <x:v>fighter</x:v>
      </x:c>
      <x:c r="C109" s="35" t="str">
        <x:v>bear</x:v>
      </x:c>
      <x:c r="D109" s="35" t="str">
        <x:v>max_resource</x:v>
      </x:c>
      <x:c r="E109" s="38" t="str">
        <x:v>int</x:v>
      </x:c>
      <x:c r="F109" s="56" t="n">
        <x:f>'Fighter Stats'!U6</x:f>
        <x:v>1000</x:v>
      </x:c>
      <x:c r="G109" s="38" t="str"/>
      <x:c r="H109" s="35" t="str">
        <x:v>Fighter Stats</x:v>
      </x:c>
      <x:c r="I109" s="35" t="str">
        <x:v>U6</x:v>
      </x:c>
      <x:c r="J109" s="85" t="b">
        <x:v>1</x:v>
      </x:c>
      <x:c r="K109" s="85" t="b">
        <x:v>1</x:v>
      </x:c>
      <x:c r="L109" s="56" t="str">
        <x:f>'Fighter Stats'!AA6</x:f>
        <x:v>OK</x:v>
      </x:c>
      <x:c r="M109" s="44" t="str">
        <x:v>Источник Fighter Stats.Max Resource</x:v>
      </x:c>
    </x:row>
    <x:row r="110" ht="36" customHeight="1">
      <x:c r="A110" s="118" t="n">
        <x:v>105</x:v>
      </x:c>
      <x:c r="B110" s="35" t="str">
        <x:v>fighter</x:v>
      </x:c>
      <x:c r="C110" s="35" t="str">
        <x:v>bear</x:v>
      </x:c>
      <x:c r="D110" s="35" t="str">
        <x:v>stagger_threshold</x:v>
      </x:c>
      <x:c r="E110" s="38" t="str">
        <x:v>int</x:v>
      </x:c>
      <x:c r="F110" s="56" t="n">
        <x:f>'Fighter Stats'!V6</x:f>
        <x:v>260</x:v>
      </x:c>
      <x:c r="G110" s="38" t="str"/>
      <x:c r="H110" s="35" t="str">
        <x:v>Fighter Stats</x:v>
      </x:c>
      <x:c r="I110" s="35" t="str">
        <x:v>V6</x:v>
      </x:c>
      <x:c r="J110" s="85" t="b">
        <x:v>1</x:v>
      </x:c>
      <x:c r="K110" s="85" t="b">
        <x:v>1</x:v>
      </x:c>
      <x:c r="L110" s="56" t="str">
        <x:f>'Fighter Stats'!AA6</x:f>
        <x:v>OK</x:v>
      </x:c>
      <x:c r="M110" s="44" t="str">
        <x:v>Источник Fighter Stats.Stagger Threshold</x:v>
      </x:c>
    </x:row>
    <x:row r="111" ht="36" customHeight="1">
      <x:c r="A111" s="118" t="n">
        <x:v>106</x:v>
      </x:c>
      <x:c r="B111" s="35" t="str">
        <x:v>fighter</x:v>
      </x:c>
      <x:c r="C111" s="35" t="str">
        <x:v>kangaroo</x:v>
      </x:c>
      <x:c r="D111" s="35" t="str">
        <x:v>animal_id</x:v>
      </x:c>
      <x:c r="E111" s="38" t="str">
        <x:v>string</x:v>
      </x:c>
      <x:c r="F111" s="56" t="str">
        <x:f>'Fighter Stats'!A7</x:f>
        <x:v>kangaroo</x:v>
      </x:c>
      <x:c r="G111" s="38" t="str"/>
      <x:c r="H111" s="35" t="str">
        <x:v>Fighter Stats</x:v>
      </x:c>
      <x:c r="I111" s="35" t="str">
        <x:v>A7</x:v>
      </x:c>
      <x:c r="J111" s="85" t="b">
        <x:v>1</x:v>
      </x:c>
      <x:c r="K111" s="85" t="b">
        <x:v>1</x:v>
      </x:c>
      <x:c r="L111" s="56" t="str">
        <x:f>'Fighter Stats'!AA7</x:f>
        <x:v>OK</x:v>
      </x:c>
      <x:c r="M111" s="44" t="str">
        <x:v>Источник Fighter Stats.Animal ID</x:v>
      </x:c>
    </x:row>
    <x:row r="112" ht="36" customHeight="1">
      <x:c r="A112" s="118" t="n">
        <x:v>107</x:v>
      </x:c>
      <x:c r="B112" s="35" t="str">
        <x:v>fighter</x:v>
      </x:c>
      <x:c r="C112" s="35" t="str">
        <x:v>kangaroo</x:v>
      </x:c>
      <x:c r="D112" s="35" t="str">
        <x:v>resource_id</x:v>
      </x:c>
      <x:c r="E112" s="38" t="str">
        <x:v>string</x:v>
      </x:c>
      <x:c r="F112" s="56" t="str">
        <x:f>'Fighter Stats'!C7</x:f>
        <x:v>tempo</x:v>
      </x:c>
      <x:c r="G112" s="38" t="str"/>
      <x:c r="H112" s="35" t="str">
        <x:v>Fighter Stats</x:v>
      </x:c>
      <x:c r="I112" s="35" t="str">
        <x:v>C7</x:v>
      </x:c>
      <x:c r="J112" s="85" t="b">
        <x:v>1</x:v>
      </x:c>
      <x:c r="K112" s="85" t="b">
        <x:v>1</x:v>
      </x:c>
      <x:c r="L112" s="56" t="str">
        <x:f>'Fighter Stats'!AA7</x:f>
        <x:v>OK</x:v>
      </x:c>
      <x:c r="M112" s="44" t="str">
        <x:v>Источник Fighter Stats.Resource ID</x:v>
      </x:c>
    </x:row>
    <x:row r="113" ht="36" customHeight="1">
      <x:c r="A113" s="118" t="n">
        <x:v>108</x:v>
      </x:c>
      <x:c r="B113" s="35" t="str">
        <x:v>fighter</x:v>
      </x:c>
      <x:c r="C113" s="35" t="str">
        <x:v>kangaroo</x:v>
      </x:c>
      <x:c r="D113" s="35" t="str">
        <x:v>max_health</x:v>
      </x:c>
      <x:c r="E113" s="38" t="str">
        <x:v>int</x:v>
      </x:c>
      <x:c r="F113" s="56" t="n">
        <x:f>'Fighter Stats'!D7</x:f>
        <x:v>1150</x:v>
      </x:c>
      <x:c r="G113" s="38" t="str"/>
      <x:c r="H113" s="35" t="str">
        <x:v>Fighter Stats</x:v>
      </x:c>
      <x:c r="I113" s="35" t="str">
        <x:v>D7</x:v>
      </x:c>
      <x:c r="J113" s="85" t="b">
        <x:v>1</x:v>
      </x:c>
      <x:c r="K113" s="85" t="b">
        <x:v>1</x:v>
      </x:c>
      <x:c r="L113" s="56" t="str">
        <x:f>'Fighter Stats'!AA7</x:f>
        <x:v>OK</x:v>
      </x:c>
      <x:c r="M113" s="44" t="str">
        <x:v>Источник Fighter Stats.Max Health</x:v>
      </x:c>
    </x:row>
    <x:row r="114" ht="36" customHeight="1">
      <x:c r="A114" s="118" t="n">
        <x:v>109</x:v>
      </x:c>
      <x:c r="B114" s="35" t="str">
        <x:v>fighter</x:v>
      </x:c>
      <x:c r="C114" s="35" t="str">
        <x:v>kangaroo</x:v>
      </x:c>
      <x:c r="D114" s="35" t="str">
        <x:v>power</x:v>
      </x:c>
      <x:c r="E114" s="38" t="str">
        <x:v>int</x:v>
      </x:c>
      <x:c r="F114" s="56" t="n">
        <x:f>'Fighter Stats'!E7</x:f>
        <x:v>100</x:v>
      </x:c>
      <x:c r="G114" s="38" t="str"/>
      <x:c r="H114" s="35" t="str">
        <x:v>Fighter Stats</x:v>
      </x:c>
      <x:c r="I114" s="35" t="str">
        <x:v>E7</x:v>
      </x:c>
      <x:c r="J114" s="85" t="b">
        <x:v>1</x:v>
      </x:c>
      <x:c r="K114" s="85" t="b">
        <x:v>1</x:v>
      </x:c>
      <x:c r="L114" s="56" t="str">
        <x:f>'Fighter Stats'!AA7</x:f>
        <x:v>OK</x:v>
      </x:c>
      <x:c r="M114" s="44" t="str">
        <x:v>Источник Fighter Stats.Power</x:v>
      </x:c>
    </x:row>
    <x:row r="115" ht="36" customHeight="1">
      <x:c r="A115" s="118" t="n">
        <x:v>110</x:v>
      </x:c>
      <x:c r="B115" s="35" t="str">
        <x:v>fighter</x:v>
      </x:c>
      <x:c r="C115" s="35" t="str">
        <x:v>kangaroo</x:v>
      </x:c>
      <x:c r="D115" s="35" t="str">
        <x:v>armor</x:v>
      </x:c>
      <x:c r="E115" s="38" t="str">
        <x:v>int</x:v>
      </x:c>
      <x:c r="F115" s="56" t="n">
        <x:f>'Fighter Stats'!F7</x:f>
        <x:v>40</x:v>
      </x:c>
      <x:c r="G115" s="38" t="str"/>
      <x:c r="H115" s="35" t="str">
        <x:v>Fighter Stats</x:v>
      </x:c>
      <x:c r="I115" s="35" t="str">
        <x:v>F7</x:v>
      </x:c>
      <x:c r="J115" s="85" t="b">
        <x:v>1</x:v>
      </x:c>
      <x:c r="K115" s="85" t="b">
        <x:v>1</x:v>
      </x:c>
      <x:c r="L115" s="56" t="str">
        <x:f>'Fighter Stats'!AA7</x:f>
        <x:v>OK</x:v>
      </x:c>
      <x:c r="M115" s="44" t="str">
        <x:v>Источник Fighter Stats.Armor</x:v>
      </x:c>
    </x:row>
    <x:row r="116" ht="36" customHeight="1">
      <x:c r="A116" s="118" t="n">
        <x:v>111</x:v>
      </x:c>
      <x:c r="B116" s="35" t="str">
        <x:v>fighter</x:v>
      </x:c>
      <x:c r="C116" s="35" t="str">
        <x:v>kangaroo</x:v>
      </x:c>
      <x:c r="D116" s="35" t="str">
        <x:v>precision</x:v>
      </x:c>
      <x:c r="E116" s="38" t="str">
        <x:v>int</x:v>
      </x:c>
      <x:c r="F116" s="56" t="n">
        <x:f>'Fighter Stats'!G7</x:f>
        <x:v>125</x:v>
      </x:c>
      <x:c r="G116" s="38" t="str"/>
      <x:c r="H116" s="35" t="str">
        <x:v>Fighter Stats</x:v>
      </x:c>
      <x:c r="I116" s="35" t="str">
        <x:v>G7</x:v>
      </x:c>
      <x:c r="J116" s="85" t="b">
        <x:v>1</x:v>
      </x:c>
      <x:c r="K116" s="85" t="b">
        <x:v>1</x:v>
      </x:c>
      <x:c r="L116" s="56" t="str">
        <x:f>'Fighter Stats'!AA7</x:f>
        <x:v>OK</x:v>
      </x:c>
      <x:c r="M116" s="44" t="str">
        <x:v>Источник Fighter Stats.Precision</x:v>
      </x:c>
    </x:row>
    <x:row r="117" ht="36" customHeight="1">
      <x:c r="A117" s="118" t="n">
        <x:v>112</x:v>
      </x:c>
      <x:c r="B117" s="35" t="str">
        <x:v>fighter</x:v>
      </x:c>
      <x:c r="C117" s="35" t="str">
        <x:v>kangaroo</x:v>
      </x:c>
      <x:c r="D117" s="35" t="str">
        <x:v>evasion</x:v>
      </x:c>
      <x:c r="E117" s="38" t="str">
        <x:v>int</x:v>
      </x:c>
      <x:c r="F117" s="56" t="n">
        <x:f>'Fighter Stats'!H7</x:f>
        <x:v>135</x:v>
      </x:c>
      <x:c r="G117" s="38" t="str"/>
      <x:c r="H117" s="35" t="str">
        <x:v>Fighter Stats</x:v>
      </x:c>
      <x:c r="I117" s="35" t="str">
        <x:v>H7</x:v>
      </x:c>
      <x:c r="J117" s="85" t="b">
        <x:v>1</x:v>
      </x:c>
      <x:c r="K117" s="85" t="b">
        <x:v>1</x:v>
      </x:c>
      <x:c r="L117" s="56" t="str">
        <x:f>'Fighter Stats'!AA7</x:f>
        <x:v>OK</x:v>
      </x:c>
      <x:c r="M117" s="44" t="str">
        <x:v>Источник Fighter Stats.Evasion</x:v>
      </x:c>
    </x:row>
    <x:row r="118" ht="36" customHeight="1">
      <x:c r="A118" s="118" t="n">
        <x:v>113</x:v>
      </x:c>
      <x:c r="B118" s="35" t="str">
        <x:v>fighter</x:v>
      </x:c>
      <x:c r="C118" s="35" t="str">
        <x:v>kangaroo</x:v>
      </x:c>
      <x:c r="D118" s="35" t="str">
        <x:v>guard</x:v>
      </x:c>
      <x:c r="E118" s="38" t="str">
        <x:v>int</x:v>
      </x:c>
      <x:c r="F118" s="56" t="n">
        <x:f>'Fighter Stats'!I7</x:f>
        <x:v>65</x:v>
      </x:c>
      <x:c r="G118" s="38" t="str"/>
      <x:c r="H118" s="35" t="str">
        <x:v>Fighter Stats</x:v>
      </x:c>
      <x:c r="I118" s="35" t="str">
        <x:v>I7</x:v>
      </x:c>
      <x:c r="J118" s="85" t="b">
        <x:v>1</x:v>
      </x:c>
      <x:c r="K118" s="85" t="b">
        <x:v>1</x:v>
      </x:c>
      <x:c r="L118" s="56" t="str">
        <x:f>'Fighter Stats'!AA7</x:f>
        <x:v>OK</x:v>
      </x:c>
      <x:c r="M118" s="44" t="str">
        <x:v>Источник Fighter Stats.Guard</x:v>
      </x:c>
    </x:row>
    <x:row r="119" ht="36" customHeight="1">
      <x:c r="A119" s="118" t="n">
        <x:v>114</x:v>
      </x:c>
      <x:c r="B119" s="35" t="str">
        <x:v>fighter</x:v>
      </x:c>
      <x:c r="C119" s="35" t="str">
        <x:v>kangaroo</x:v>
      </x:c>
      <x:c r="D119" s="35" t="str">
        <x:v>guard_break</x:v>
      </x:c>
      <x:c r="E119" s="38" t="str">
        <x:v>int</x:v>
      </x:c>
      <x:c r="F119" s="56" t="n">
        <x:f>'Fighter Stats'!J7</x:f>
        <x:v>80</x:v>
      </x:c>
      <x:c r="G119" s="38" t="str"/>
      <x:c r="H119" s="35" t="str">
        <x:v>Fighter Stats</x:v>
      </x:c>
      <x:c r="I119" s="35" t="str">
        <x:v>J7</x:v>
      </x:c>
      <x:c r="J119" s="85" t="b">
        <x:v>1</x:v>
      </x:c>
      <x:c r="K119" s="85" t="b">
        <x:v>1</x:v>
      </x:c>
      <x:c r="L119" s="56" t="str">
        <x:f>'Fighter Stats'!AA7</x:f>
        <x:v>OK</x:v>
      </x:c>
      <x:c r="M119" s="44" t="str">
        <x:v>Источник Fighter Stats.Guard Break</x:v>
      </x:c>
    </x:row>
    <x:row r="120" ht="36" customHeight="1">
      <x:c r="A120" s="118" t="n">
        <x:v>115</x:v>
      </x:c>
      <x:c r="B120" s="35" t="str">
        <x:v>fighter</x:v>
      </x:c>
      <x:c r="C120" s="35" t="str">
        <x:v>kangaroo</x:v>
      </x:c>
      <x:c r="D120" s="35" t="str">
        <x:v>move_speed</x:v>
      </x:c>
      <x:c r="E120" s="38" t="str">
        <x:v>int</x:v>
      </x:c>
      <x:c r="F120" s="56" t="n">
        <x:f>'Fighter Stats'!K7</x:f>
        <x:v>135</x:v>
      </x:c>
      <x:c r="G120" s="38" t="str"/>
      <x:c r="H120" s="35" t="str">
        <x:v>Fighter Stats</x:v>
      </x:c>
      <x:c r="I120" s="35" t="str">
        <x:v>K7</x:v>
      </x:c>
      <x:c r="J120" s="85" t="b">
        <x:v>1</x:v>
      </x:c>
      <x:c r="K120" s="85" t="b">
        <x:v>1</x:v>
      </x:c>
      <x:c r="L120" s="56" t="str">
        <x:f>'Fighter Stats'!AA7</x:f>
        <x:v>OK</x:v>
      </x:c>
      <x:c r="M120" s="44" t="str">
        <x:v>Источник Fighter Stats.Move Speed</x:v>
      </x:c>
    </x:row>
    <x:row r="121" ht="36" customHeight="1">
      <x:c r="A121" s="118" t="n">
        <x:v>116</x:v>
      </x:c>
      <x:c r="B121" s="35" t="str">
        <x:v>fighter</x:v>
      </x:c>
      <x:c r="C121" s="35" t="str">
        <x:v>kangaroo</x:v>
      </x:c>
      <x:c r="D121" s="35" t="str">
        <x:v>action_speed</x:v>
      </x:c>
      <x:c r="E121" s="38" t="str">
        <x:v>int</x:v>
      </x:c>
      <x:c r="F121" s="56" t="n">
        <x:f>'Fighter Stats'!L7</x:f>
        <x:v>125</x:v>
      </x:c>
      <x:c r="G121" s="38" t="str"/>
      <x:c r="H121" s="35" t="str">
        <x:v>Fighter Stats</x:v>
      </x:c>
      <x:c r="I121" s="35" t="str">
        <x:v>L7</x:v>
      </x:c>
      <x:c r="J121" s="85" t="b">
        <x:v>1</x:v>
      </x:c>
      <x:c r="K121" s="85" t="b">
        <x:v>1</x:v>
      </x:c>
      <x:c r="L121" s="56" t="str">
        <x:f>'Fighter Stats'!AA7</x:f>
        <x:v>OK</x:v>
      </x:c>
      <x:c r="M121" s="44" t="str">
        <x:v>Источник Fighter Stats.Action Speed</x:v>
      </x:c>
    </x:row>
    <x:row r="122" ht="36" customHeight="1">
      <x:c r="A122" s="118" t="n">
        <x:v>117</x:v>
      </x:c>
      <x:c r="B122" s="35" t="str">
        <x:v>fighter</x:v>
      </x:c>
      <x:c r="C122" s="35" t="str">
        <x:v>kangaroo</x:v>
      </x:c>
      <x:c r="D122" s="35" t="str">
        <x:v>initiative</x:v>
      </x:c>
      <x:c r="E122" s="38" t="str">
        <x:v>int</x:v>
      </x:c>
      <x:c r="F122" s="56" t="n">
        <x:f>'Fighter Stats'!M7</x:f>
        <x:v>130</x:v>
      </x:c>
      <x:c r="G122" s="38" t="str"/>
      <x:c r="H122" s="35" t="str">
        <x:v>Fighter Stats</x:v>
      </x:c>
      <x:c r="I122" s="35" t="str">
        <x:v>M7</x:v>
      </x:c>
      <x:c r="J122" s="85" t="b">
        <x:v>1</x:v>
      </x:c>
      <x:c r="K122" s="85" t="b">
        <x:v>1</x:v>
      </x:c>
      <x:c r="L122" s="56" t="str">
        <x:f>'Fighter Stats'!AA7</x:f>
        <x:v>OK</x:v>
      </x:c>
      <x:c r="M122" s="44" t="str">
        <x:v>Источник Fighter Stats.Initiative</x:v>
      </x:c>
    </x:row>
    <x:row r="123" ht="36" customHeight="1">
      <x:c r="A123" s="118" t="n">
        <x:v>118</x:v>
      </x:c>
      <x:c r="B123" s="35" t="str">
        <x:v>fighter</x:v>
      </x:c>
      <x:c r="C123" s="35" t="str">
        <x:v>kangaroo</x:v>
      </x:c>
      <x:c r="D123" s="35" t="str">
        <x:v>control_power</x:v>
      </x:c>
      <x:c r="E123" s="38" t="str">
        <x:v>int</x:v>
      </x:c>
      <x:c r="F123" s="56" t="n">
        <x:f>'Fighter Stats'!N7</x:f>
        <x:v>75</x:v>
      </x:c>
      <x:c r="G123" s="38" t="str"/>
      <x:c r="H123" s="35" t="str">
        <x:v>Fighter Stats</x:v>
      </x:c>
      <x:c r="I123" s="35" t="str">
        <x:v>N7</x:v>
      </x:c>
      <x:c r="J123" s="85" t="b">
        <x:v>1</x:v>
      </x:c>
      <x:c r="K123" s="85" t="b">
        <x:v>1</x:v>
      </x:c>
      <x:c r="L123" s="56" t="str">
        <x:f>'Fighter Stats'!AA7</x:f>
        <x:v>OK</x:v>
      </x:c>
      <x:c r="M123" s="44" t="str">
        <x:v>Источник Fighter Stats.Control Power</x:v>
      </x:c>
    </x:row>
    <x:row r="124" ht="36" customHeight="1">
      <x:c r="A124" s="118" t="n">
        <x:v>119</x:v>
      </x:c>
      <x:c r="B124" s="35" t="str">
        <x:v>fighter</x:v>
      </x:c>
      <x:c r="C124" s="35" t="str">
        <x:v>kangaroo</x:v>
      </x:c>
      <x:c r="D124" s="35" t="str">
        <x:v>control_resistance</x:v>
      </x:c>
      <x:c r="E124" s="38" t="str">
        <x:v>int</x:v>
      </x:c>
      <x:c r="F124" s="56" t="n">
        <x:f>'Fighter Stats'!O7</x:f>
        <x:v>70</x:v>
      </x:c>
      <x:c r="G124" s="38" t="str"/>
      <x:c r="H124" s="35" t="str">
        <x:v>Fighter Stats</x:v>
      </x:c>
      <x:c r="I124" s="35" t="str">
        <x:v>O7</x:v>
      </x:c>
      <x:c r="J124" s="85" t="b">
        <x:v>1</x:v>
      </x:c>
      <x:c r="K124" s="85" t="b">
        <x:v>1</x:v>
      </x:c>
      <x:c r="L124" s="56" t="str">
        <x:f>'Fighter Stats'!AA7</x:f>
        <x:v>OK</x:v>
      </x:c>
      <x:c r="M124" s="44" t="str">
        <x:v>Источник Fighter Stats.Control Resistance</x:v>
      </x:c>
    </x:row>
    <x:row r="125" ht="36" customHeight="1">
      <x:c r="A125" s="118" t="n">
        <x:v>120</x:v>
      </x:c>
      <x:c r="B125" s="35" t="str">
        <x:v>fighter</x:v>
      </x:c>
      <x:c r="C125" s="35" t="str">
        <x:v>kangaroo</x:v>
      </x:c>
      <x:c r="D125" s="35" t="str">
        <x:v>mass</x:v>
      </x:c>
      <x:c r="E125" s="38" t="str">
        <x:v>int</x:v>
      </x:c>
      <x:c r="F125" s="56" t="n">
        <x:f>'Fighter Stats'!P7</x:f>
        <x:v>70</x:v>
      </x:c>
      <x:c r="G125" s="38" t="str"/>
      <x:c r="H125" s="35" t="str">
        <x:v>Fighter Stats</x:v>
      </x:c>
      <x:c r="I125" s="35" t="str">
        <x:v>P7</x:v>
      </x:c>
      <x:c r="J125" s="85" t="b">
        <x:v>1</x:v>
      </x:c>
      <x:c r="K125" s="85" t="b">
        <x:v>1</x:v>
      </x:c>
      <x:c r="L125" s="56" t="str">
        <x:f>'Fighter Stats'!AA7</x:f>
        <x:v>OK</x:v>
      </x:c>
      <x:c r="M125" s="44" t="str">
        <x:v>Источник Fighter Stats.Mass</x:v>
      </x:c>
    </x:row>
    <x:row r="126" ht="36" customHeight="1">
      <x:c r="A126" s="118" t="n">
        <x:v>121</x:v>
      </x:c>
      <x:c r="B126" s="35" t="str">
        <x:v>fighter</x:v>
      </x:c>
      <x:c r="C126" s="35" t="str">
        <x:v>kangaroo</x:v>
      </x:c>
      <x:c r="D126" s="35" t="str">
        <x:v>max_energy</x:v>
      </x:c>
      <x:c r="E126" s="38" t="str">
        <x:v>int</x:v>
      </x:c>
      <x:c r="F126" s="56" t="n">
        <x:f>'Fighter Stats'!Q7</x:f>
        <x:v>1000</x:v>
      </x:c>
      <x:c r="G126" s="38" t="str"/>
      <x:c r="H126" s="35" t="str">
        <x:v>Fighter Stats</x:v>
      </x:c>
      <x:c r="I126" s="35" t="str">
        <x:v>Q7</x:v>
      </x:c>
      <x:c r="J126" s="85" t="b">
        <x:v>1</x:v>
      </x:c>
      <x:c r="K126" s="85" t="b">
        <x:v>1</x:v>
      </x:c>
      <x:c r="L126" s="56" t="str">
        <x:f>'Fighter Stats'!AA7</x:f>
        <x:v>OK</x:v>
      </x:c>
      <x:c r="M126" s="44" t="str">
        <x:v>Источник Fighter Stats.Max Energy</x:v>
      </x:c>
    </x:row>
    <x:row r="127" ht="36" customHeight="1">
      <x:c r="A127" s="118" t="n">
        <x:v>122</x:v>
      </x:c>
      <x:c r="B127" s="35" t="str">
        <x:v>fighter</x:v>
      </x:c>
      <x:c r="C127" s="35" t="str">
        <x:v>kangaroo</x:v>
      </x:c>
      <x:c r="D127" s="35" t="str">
        <x:v>energy_regen</x:v>
      </x:c>
      <x:c r="E127" s="38" t="str">
        <x:v>int</x:v>
      </x:c>
      <x:c r="F127" s="56" t="n">
        <x:f>'Fighter Stats'!R7</x:f>
        <x:v>15</x:v>
      </x:c>
      <x:c r="G127" s="38" t="str"/>
      <x:c r="H127" s="35" t="str">
        <x:v>Fighter Stats</x:v>
      </x:c>
      <x:c r="I127" s="35" t="str">
        <x:v>R7</x:v>
      </x:c>
      <x:c r="J127" s="85" t="b">
        <x:v>1</x:v>
      </x:c>
      <x:c r="K127" s="85" t="b">
        <x:v>1</x:v>
      </x:c>
      <x:c r="L127" s="56" t="str">
        <x:f>'Fighter Stats'!AA7</x:f>
        <x:v>OK</x:v>
      </x:c>
      <x:c r="M127" s="44" t="str">
        <x:v>Источник Fighter Stats.Energy Regen / tick</x:v>
      </x:c>
    </x:row>
    <x:row r="128" ht="36" customHeight="1">
      <x:c r="A128" s="118" t="n">
        <x:v>123</x:v>
      </x:c>
      <x:c r="B128" s="35" t="str">
        <x:v>fighter</x:v>
      </x:c>
      <x:c r="C128" s="35" t="str">
        <x:v>kangaroo</x:v>
      </x:c>
      <x:c r="D128" s="35" t="str">
        <x:v>collision_radius</x:v>
      </x:c>
      <x:c r="E128" s="38" t="str">
        <x:v>int</x:v>
      </x:c>
      <x:c r="F128" s="56" t="n">
        <x:f>'Fighter Stats'!S7</x:f>
        <x:v>430</x:v>
      </x:c>
      <x:c r="G128" s="38" t="str"/>
      <x:c r="H128" s="35" t="str">
        <x:v>Fighter Stats</x:v>
      </x:c>
      <x:c r="I128" s="35" t="str">
        <x:v>S7</x:v>
      </x:c>
      <x:c r="J128" s="85" t="b">
        <x:v>1</x:v>
      </x:c>
      <x:c r="K128" s="85" t="b">
        <x:v>1</x:v>
      </x:c>
      <x:c r="L128" s="56" t="str">
        <x:f>'Fighter Stats'!AA7</x:f>
        <x:v>OK</x:v>
      </x:c>
      <x:c r="M128" s="44" t="str">
        <x:v>Источник Fighter Stats.Collision Radius</x:v>
      </x:c>
    </x:row>
    <x:row r="129" ht="36" customHeight="1">
      <x:c r="A129" s="118" t="n">
        <x:v>124</x:v>
      </x:c>
      <x:c r="B129" s="35" t="str">
        <x:v>fighter</x:v>
      </x:c>
      <x:c r="C129" s="35" t="str">
        <x:v>kangaroo</x:v>
      </x:c>
      <x:c r="D129" s="35" t="str">
        <x:v>start_resource</x:v>
      </x:c>
      <x:c r="E129" s="38" t="str">
        <x:v>int</x:v>
      </x:c>
      <x:c r="F129" s="56" t="n">
        <x:f>'Fighter Stats'!T7</x:f>
        <x:v>0</x:v>
      </x:c>
      <x:c r="G129" s="38" t="str"/>
      <x:c r="H129" s="35" t="str">
        <x:v>Fighter Stats</x:v>
      </x:c>
      <x:c r="I129" s="35" t="str">
        <x:v>T7</x:v>
      </x:c>
      <x:c r="J129" s="85" t="b">
        <x:v>1</x:v>
      </x:c>
      <x:c r="K129" s="85" t="b">
        <x:v>1</x:v>
      </x:c>
      <x:c r="L129" s="56" t="str">
        <x:f>'Fighter Stats'!AA7</x:f>
        <x:v>OK</x:v>
      </x:c>
      <x:c r="M129" s="44" t="str">
        <x:v>Источник Fighter Stats.Start Resource</x:v>
      </x:c>
    </x:row>
    <x:row r="130" ht="36" customHeight="1">
      <x:c r="A130" s="118" t="n">
        <x:v>125</x:v>
      </x:c>
      <x:c r="B130" s="35" t="str">
        <x:v>fighter</x:v>
      </x:c>
      <x:c r="C130" s="35" t="str">
        <x:v>kangaroo</x:v>
      </x:c>
      <x:c r="D130" s="35" t="str">
        <x:v>max_resource</x:v>
      </x:c>
      <x:c r="E130" s="38" t="str">
        <x:v>int</x:v>
      </x:c>
      <x:c r="F130" s="56" t="n">
        <x:f>'Fighter Stats'!U7</x:f>
        <x:v>1000</x:v>
      </x:c>
      <x:c r="G130" s="38" t="str"/>
      <x:c r="H130" s="35" t="str">
        <x:v>Fighter Stats</x:v>
      </x:c>
      <x:c r="I130" s="35" t="str">
        <x:v>U7</x:v>
      </x:c>
      <x:c r="J130" s="85" t="b">
        <x:v>1</x:v>
      </x:c>
      <x:c r="K130" s="85" t="b">
        <x:v>1</x:v>
      </x:c>
      <x:c r="L130" s="56" t="str">
        <x:f>'Fighter Stats'!AA7</x:f>
        <x:v>OK</x:v>
      </x:c>
      <x:c r="M130" s="44" t="str">
        <x:v>Источник Fighter Stats.Max Resource</x:v>
      </x:c>
    </x:row>
    <x:row r="131" ht="36" customHeight="1">
      <x:c r="A131" s="118" t="n">
        <x:v>126</x:v>
      </x:c>
      <x:c r="B131" s="35" t="str">
        <x:v>fighter</x:v>
      </x:c>
      <x:c r="C131" s="35" t="str">
        <x:v>kangaroo</x:v>
      </x:c>
      <x:c r="D131" s="35" t="str">
        <x:v>stagger_threshold</x:v>
      </x:c>
      <x:c r="E131" s="38" t="str">
        <x:v>int</x:v>
      </x:c>
      <x:c r="F131" s="56" t="n">
        <x:f>'Fighter Stats'!V7</x:f>
        <x:v>180</x:v>
      </x:c>
      <x:c r="G131" s="38" t="str"/>
      <x:c r="H131" s="35" t="str">
        <x:v>Fighter Stats</x:v>
      </x:c>
      <x:c r="I131" s="35" t="str">
        <x:v>V7</x:v>
      </x:c>
      <x:c r="J131" s="85" t="b">
        <x:v>1</x:v>
      </x:c>
      <x:c r="K131" s="85" t="b">
        <x:v>1</x:v>
      </x:c>
      <x:c r="L131" s="56" t="str">
        <x:f>'Fighter Stats'!AA7</x:f>
        <x:v>OK</x:v>
      </x:c>
      <x:c r="M131" s="44" t="str">
        <x:v>Источник Fighter Stats.Stagger Threshold</x:v>
      </x:c>
    </x:row>
    <x:row r="132" ht="36" customHeight="1">
      <x:c r="A132" s="118" t="n">
        <x:v>127</x:v>
      </x:c>
      <x:c r="B132" s="35" t="str">
        <x:v>fighter</x:v>
      </x:c>
      <x:c r="C132" s="35" t="str">
        <x:v>gorilla</x:v>
      </x:c>
      <x:c r="D132" s="35" t="str">
        <x:v>animal_id</x:v>
      </x:c>
      <x:c r="E132" s="38" t="str">
        <x:v>string</x:v>
      </x:c>
      <x:c r="F132" s="56" t="str">
        <x:f>'Fighter Stats'!A8</x:f>
        <x:v>gorilla</x:v>
      </x:c>
      <x:c r="G132" s="38" t="str"/>
      <x:c r="H132" s="35" t="str">
        <x:v>Fighter Stats</x:v>
      </x:c>
      <x:c r="I132" s="35" t="str">
        <x:v>A8</x:v>
      </x:c>
      <x:c r="J132" s="85" t="b">
        <x:v>1</x:v>
      </x:c>
      <x:c r="K132" s="85" t="b">
        <x:v>1</x:v>
      </x:c>
      <x:c r="L132" s="56" t="str">
        <x:f>'Fighter Stats'!AA8</x:f>
        <x:v>OK</x:v>
      </x:c>
      <x:c r="M132" s="44" t="str">
        <x:v>Источник Fighter Stats.Animal ID</x:v>
      </x:c>
    </x:row>
    <x:row r="133" ht="36" customHeight="1">
      <x:c r="A133" s="118" t="n">
        <x:v>128</x:v>
      </x:c>
      <x:c r="B133" s="35" t="str">
        <x:v>fighter</x:v>
      </x:c>
      <x:c r="C133" s="35" t="str">
        <x:v>gorilla</x:v>
      </x:c>
      <x:c r="D133" s="35" t="str">
        <x:v>resource_id</x:v>
      </x:c>
      <x:c r="E133" s="38" t="str">
        <x:v>string</x:v>
      </x:c>
      <x:c r="F133" s="56" t="str">
        <x:f>'Fighter Stats'!C8</x:f>
        <x:v>grip</x:v>
      </x:c>
      <x:c r="G133" s="38" t="str"/>
      <x:c r="H133" s="35" t="str">
        <x:v>Fighter Stats</x:v>
      </x:c>
      <x:c r="I133" s="35" t="str">
        <x:v>C8</x:v>
      </x:c>
      <x:c r="J133" s="85" t="b">
        <x:v>1</x:v>
      </x:c>
      <x:c r="K133" s="85" t="b">
        <x:v>1</x:v>
      </x:c>
      <x:c r="L133" s="56" t="str">
        <x:f>'Fighter Stats'!AA8</x:f>
        <x:v>OK</x:v>
      </x:c>
      <x:c r="M133" s="44" t="str">
        <x:v>Источник Fighter Stats.Resource ID</x:v>
      </x:c>
    </x:row>
    <x:row r="134" ht="36" customHeight="1">
      <x:c r="A134" s="118" t="n">
        <x:v>129</x:v>
      </x:c>
      <x:c r="B134" s="35" t="str">
        <x:v>fighter</x:v>
      </x:c>
      <x:c r="C134" s="35" t="str">
        <x:v>gorilla</x:v>
      </x:c>
      <x:c r="D134" s="35" t="str">
        <x:v>max_health</x:v>
      </x:c>
      <x:c r="E134" s="38" t="str">
        <x:v>int</x:v>
      </x:c>
      <x:c r="F134" s="56" t="n">
        <x:f>'Fighter Stats'!D8</x:f>
        <x:v>1450</x:v>
      </x:c>
      <x:c r="G134" s="38" t="str"/>
      <x:c r="H134" s="35" t="str">
        <x:v>Fighter Stats</x:v>
      </x:c>
      <x:c r="I134" s="35" t="str">
        <x:v>D8</x:v>
      </x:c>
      <x:c r="J134" s="85" t="b">
        <x:v>1</x:v>
      </x:c>
      <x:c r="K134" s="85" t="b">
        <x:v>1</x:v>
      </x:c>
      <x:c r="L134" s="56" t="str">
        <x:f>'Fighter Stats'!AA8</x:f>
        <x:v>OK</x:v>
      </x:c>
      <x:c r="M134" s="44" t="str">
        <x:v>Источник Fighter Stats.Max Health</x:v>
      </x:c>
    </x:row>
    <x:row r="135" ht="36" customHeight="1">
      <x:c r="A135" s="118" t="n">
        <x:v>130</x:v>
      </x:c>
      <x:c r="B135" s="35" t="str">
        <x:v>fighter</x:v>
      </x:c>
      <x:c r="C135" s="35" t="str">
        <x:v>gorilla</x:v>
      </x:c>
      <x:c r="D135" s="35" t="str">
        <x:v>power</x:v>
      </x:c>
      <x:c r="E135" s="38" t="str">
        <x:v>int</x:v>
      </x:c>
      <x:c r="F135" s="56" t="n">
        <x:f>'Fighter Stats'!E8</x:f>
        <x:v>110</x:v>
      </x:c>
      <x:c r="G135" s="38" t="str"/>
      <x:c r="H135" s="35" t="str">
        <x:v>Fighter Stats</x:v>
      </x:c>
      <x:c r="I135" s="35" t="str">
        <x:v>E8</x:v>
      </x:c>
      <x:c r="J135" s="85" t="b">
        <x:v>1</x:v>
      </x:c>
      <x:c r="K135" s="85" t="b">
        <x:v>1</x:v>
      </x:c>
      <x:c r="L135" s="56" t="str">
        <x:f>'Fighter Stats'!AA8</x:f>
        <x:v>OK</x:v>
      </x:c>
      <x:c r="M135" s="44" t="str">
        <x:v>Источник Fighter Stats.Power</x:v>
      </x:c>
    </x:row>
    <x:row r="136" ht="36" customHeight="1">
      <x:c r="A136" s="118" t="n">
        <x:v>131</x:v>
      </x:c>
      <x:c r="B136" s="35" t="str">
        <x:v>fighter</x:v>
      </x:c>
      <x:c r="C136" s="35" t="str">
        <x:v>gorilla</x:v>
      </x:c>
      <x:c r="D136" s="35" t="str">
        <x:v>armor</x:v>
      </x:c>
      <x:c r="E136" s="38" t="str">
        <x:v>int</x:v>
      </x:c>
      <x:c r="F136" s="56" t="n">
        <x:f>'Fighter Stats'!F8</x:f>
        <x:v>95</x:v>
      </x:c>
      <x:c r="G136" s="38" t="str"/>
      <x:c r="H136" s="35" t="str">
        <x:v>Fighter Stats</x:v>
      </x:c>
      <x:c r="I136" s="35" t="str">
        <x:v>F8</x:v>
      </x:c>
      <x:c r="J136" s="85" t="b">
        <x:v>1</x:v>
      </x:c>
      <x:c r="K136" s="85" t="b">
        <x:v>1</x:v>
      </x:c>
      <x:c r="L136" s="56" t="str">
        <x:f>'Fighter Stats'!AA8</x:f>
        <x:v>OK</x:v>
      </x:c>
      <x:c r="M136" s="44" t="str">
        <x:v>Источник Fighter Stats.Armor</x:v>
      </x:c>
    </x:row>
    <x:row r="137" ht="36" customHeight="1">
      <x:c r="A137" s="118" t="n">
        <x:v>132</x:v>
      </x:c>
      <x:c r="B137" s="35" t="str">
        <x:v>fighter</x:v>
      </x:c>
      <x:c r="C137" s="35" t="str">
        <x:v>gorilla</x:v>
      </x:c>
      <x:c r="D137" s="35" t="str">
        <x:v>precision</x:v>
      </x:c>
      <x:c r="E137" s="38" t="str">
        <x:v>int</x:v>
      </x:c>
      <x:c r="F137" s="56" t="n">
        <x:f>'Fighter Stats'!G8</x:f>
        <x:v>90</x:v>
      </x:c>
      <x:c r="G137" s="38" t="str"/>
      <x:c r="H137" s="35" t="str">
        <x:v>Fighter Stats</x:v>
      </x:c>
      <x:c r="I137" s="35" t="str">
        <x:v>G8</x:v>
      </x:c>
      <x:c r="J137" s="85" t="b">
        <x:v>1</x:v>
      </x:c>
      <x:c r="K137" s="85" t="b">
        <x:v>1</x:v>
      </x:c>
      <x:c r="L137" s="56" t="str">
        <x:f>'Fighter Stats'!AA8</x:f>
        <x:v>OK</x:v>
      </x:c>
      <x:c r="M137" s="44" t="str">
        <x:v>Источник Fighter Stats.Precision</x:v>
      </x:c>
    </x:row>
    <x:row r="138" ht="36" customHeight="1">
      <x:c r="A138" s="118" t="n">
        <x:v>133</x:v>
      </x:c>
      <x:c r="B138" s="35" t="str">
        <x:v>fighter</x:v>
      </x:c>
      <x:c r="C138" s="35" t="str">
        <x:v>gorilla</x:v>
      </x:c>
      <x:c r="D138" s="35" t="str">
        <x:v>evasion</x:v>
      </x:c>
      <x:c r="E138" s="38" t="str">
        <x:v>int</x:v>
      </x:c>
      <x:c r="F138" s="56" t="n">
        <x:f>'Fighter Stats'!H8</x:f>
        <x:v>45</x:v>
      </x:c>
      <x:c r="G138" s="38" t="str"/>
      <x:c r="H138" s="35" t="str">
        <x:v>Fighter Stats</x:v>
      </x:c>
      <x:c r="I138" s="35" t="str">
        <x:v>H8</x:v>
      </x:c>
      <x:c r="J138" s="85" t="b">
        <x:v>1</x:v>
      </x:c>
      <x:c r="K138" s="85" t="b">
        <x:v>1</x:v>
      </x:c>
      <x:c r="L138" s="56" t="str">
        <x:f>'Fighter Stats'!AA8</x:f>
        <x:v>OK</x:v>
      </x:c>
      <x:c r="M138" s="44" t="str">
        <x:v>Источник Fighter Stats.Evasion</x:v>
      </x:c>
    </x:row>
    <x:row r="139" ht="36" customHeight="1">
      <x:c r="A139" s="118" t="n">
        <x:v>134</x:v>
      </x:c>
      <x:c r="B139" s="35" t="str">
        <x:v>fighter</x:v>
      </x:c>
      <x:c r="C139" s="35" t="str">
        <x:v>gorilla</x:v>
      </x:c>
      <x:c r="D139" s="35" t="str">
        <x:v>guard</x:v>
      </x:c>
      <x:c r="E139" s="38" t="str">
        <x:v>int</x:v>
      </x:c>
      <x:c r="F139" s="56" t="n">
        <x:f>'Fighter Stats'!I8</x:f>
        <x:v>140</x:v>
      </x:c>
      <x:c r="G139" s="38" t="str"/>
      <x:c r="H139" s="35" t="str">
        <x:v>Fighter Stats</x:v>
      </x:c>
      <x:c r="I139" s="35" t="str">
        <x:v>I8</x:v>
      </x:c>
      <x:c r="J139" s="85" t="b">
        <x:v>1</x:v>
      </x:c>
      <x:c r="K139" s="85" t="b">
        <x:v>1</x:v>
      </x:c>
      <x:c r="L139" s="56" t="str">
        <x:f>'Fighter Stats'!AA8</x:f>
        <x:v>OK</x:v>
      </x:c>
      <x:c r="M139" s="44" t="str">
        <x:v>Источник Fighter Stats.Guard</x:v>
      </x:c>
    </x:row>
    <x:row r="140" ht="36" customHeight="1">
      <x:c r="A140" s="118" t="n">
        <x:v>135</x:v>
      </x:c>
      <x:c r="B140" s="35" t="str">
        <x:v>fighter</x:v>
      </x:c>
      <x:c r="C140" s="35" t="str">
        <x:v>gorilla</x:v>
      </x:c>
      <x:c r="D140" s="35" t="str">
        <x:v>guard_break</x:v>
      </x:c>
      <x:c r="E140" s="38" t="str">
        <x:v>int</x:v>
      </x:c>
      <x:c r="F140" s="56" t="n">
        <x:f>'Fighter Stats'!J8</x:f>
        <x:v>105</x:v>
      </x:c>
      <x:c r="G140" s="38" t="str"/>
      <x:c r="H140" s="35" t="str">
        <x:v>Fighter Stats</x:v>
      </x:c>
      <x:c r="I140" s="35" t="str">
        <x:v>J8</x:v>
      </x:c>
      <x:c r="J140" s="85" t="b">
        <x:v>1</x:v>
      </x:c>
      <x:c r="K140" s="85" t="b">
        <x:v>1</x:v>
      </x:c>
      <x:c r="L140" s="56" t="str">
        <x:f>'Fighter Stats'!AA8</x:f>
        <x:v>OK</x:v>
      </x:c>
      <x:c r="M140" s="44" t="str">
        <x:v>Источник Fighter Stats.Guard Break</x:v>
      </x:c>
    </x:row>
    <x:row r="141" ht="36" customHeight="1">
      <x:c r="A141" s="118" t="n">
        <x:v>136</x:v>
      </x:c>
      <x:c r="B141" s="35" t="str">
        <x:v>fighter</x:v>
      </x:c>
      <x:c r="C141" s="35" t="str">
        <x:v>gorilla</x:v>
      </x:c>
      <x:c r="D141" s="35" t="str">
        <x:v>move_speed</x:v>
      </x:c>
      <x:c r="E141" s="38" t="str">
        <x:v>int</x:v>
      </x:c>
      <x:c r="F141" s="56" t="n">
        <x:f>'Fighter Stats'!K8</x:f>
        <x:v>75</x:v>
      </x:c>
      <x:c r="G141" s="38" t="str"/>
      <x:c r="H141" s="35" t="str">
        <x:v>Fighter Stats</x:v>
      </x:c>
      <x:c r="I141" s="35" t="str">
        <x:v>K8</x:v>
      </x:c>
      <x:c r="J141" s="85" t="b">
        <x:v>1</x:v>
      </x:c>
      <x:c r="K141" s="85" t="b">
        <x:v>1</x:v>
      </x:c>
      <x:c r="L141" s="56" t="str">
        <x:f>'Fighter Stats'!AA8</x:f>
        <x:v>OK</x:v>
      </x:c>
      <x:c r="M141" s="44" t="str">
        <x:v>Источник Fighter Stats.Move Speed</x:v>
      </x:c>
    </x:row>
    <x:row r="142" ht="36" customHeight="1">
      <x:c r="A142" s="118" t="n">
        <x:v>137</x:v>
      </x:c>
      <x:c r="B142" s="35" t="str">
        <x:v>fighter</x:v>
      </x:c>
      <x:c r="C142" s="35" t="str">
        <x:v>gorilla</x:v>
      </x:c>
      <x:c r="D142" s="35" t="str">
        <x:v>action_speed</x:v>
      </x:c>
      <x:c r="E142" s="38" t="str">
        <x:v>int</x:v>
      </x:c>
      <x:c r="F142" s="56" t="n">
        <x:f>'Fighter Stats'!L8</x:f>
        <x:v>105</x:v>
      </x:c>
      <x:c r="G142" s="38" t="str"/>
      <x:c r="H142" s="35" t="str">
        <x:v>Fighter Stats</x:v>
      </x:c>
      <x:c r="I142" s="35" t="str">
        <x:v>L8</x:v>
      </x:c>
      <x:c r="J142" s="85" t="b">
        <x:v>1</x:v>
      </x:c>
      <x:c r="K142" s="85" t="b">
        <x:v>1</x:v>
      </x:c>
      <x:c r="L142" s="56" t="str">
        <x:f>'Fighter Stats'!AA8</x:f>
        <x:v>OK</x:v>
      </x:c>
      <x:c r="M142" s="44" t="str">
        <x:v>Источник Fighter Stats.Action Speed</x:v>
      </x:c>
    </x:row>
    <x:row r="143" ht="36" customHeight="1">
      <x:c r="A143" s="118" t="n">
        <x:v>138</x:v>
      </x:c>
      <x:c r="B143" s="35" t="str">
        <x:v>fighter</x:v>
      </x:c>
      <x:c r="C143" s="35" t="str">
        <x:v>gorilla</x:v>
      </x:c>
      <x:c r="D143" s="35" t="str">
        <x:v>initiative</x:v>
      </x:c>
      <x:c r="E143" s="38" t="str">
        <x:v>int</x:v>
      </x:c>
      <x:c r="F143" s="56" t="n">
        <x:f>'Fighter Stats'!M8</x:f>
        <x:v>95</x:v>
      </x:c>
      <x:c r="G143" s="38" t="str"/>
      <x:c r="H143" s="35" t="str">
        <x:v>Fighter Stats</x:v>
      </x:c>
      <x:c r="I143" s="35" t="str">
        <x:v>M8</x:v>
      </x:c>
      <x:c r="J143" s="85" t="b">
        <x:v>1</x:v>
      </x:c>
      <x:c r="K143" s="85" t="b">
        <x:v>1</x:v>
      </x:c>
      <x:c r="L143" s="56" t="str">
        <x:f>'Fighter Stats'!AA8</x:f>
        <x:v>OK</x:v>
      </x:c>
      <x:c r="M143" s="44" t="str">
        <x:v>Источник Fighter Stats.Initiative</x:v>
      </x:c>
    </x:row>
    <x:row r="144" ht="36" customHeight="1">
      <x:c r="A144" s="118" t="n">
        <x:v>139</x:v>
      </x:c>
      <x:c r="B144" s="35" t="str">
        <x:v>fighter</x:v>
      </x:c>
      <x:c r="C144" s="35" t="str">
        <x:v>gorilla</x:v>
      </x:c>
      <x:c r="D144" s="35" t="str">
        <x:v>control_power</x:v>
      </x:c>
      <x:c r="E144" s="38" t="str">
        <x:v>int</x:v>
      </x:c>
      <x:c r="F144" s="56" t="n">
        <x:f>'Fighter Stats'!N8</x:f>
        <x:v>145</x:v>
      </x:c>
      <x:c r="G144" s="38" t="str"/>
      <x:c r="H144" s="35" t="str">
        <x:v>Fighter Stats</x:v>
      </x:c>
      <x:c r="I144" s="35" t="str">
        <x:v>N8</x:v>
      </x:c>
      <x:c r="J144" s="85" t="b">
        <x:v>1</x:v>
      </x:c>
      <x:c r="K144" s="85" t="b">
        <x:v>1</x:v>
      </x:c>
      <x:c r="L144" s="56" t="str">
        <x:f>'Fighter Stats'!AA8</x:f>
        <x:v>OK</x:v>
      </x:c>
      <x:c r="M144" s="44" t="str">
        <x:v>Источник Fighter Stats.Control Power</x:v>
      </x:c>
    </x:row>
    <x:row r="145" ht="36" customHeight="1">
      <x:c r="A145" s="118" t="n">
        <x:v>140</x:v>
      </x:c>
      <x:c r="B145" s="35" t="str">
        <x:v>fighter</x:v>
      </x:c>
      <x:c r="C145" s="35" t="str">
        <x:v>gorilla</x:v>
      </x:c>
      <x:c r="D145" s="35" t="str">
        <x:v>control_resistance</x:v>
      </x:c>
      <x:c r="E145" s="38" t="str">
        <x:v>int</x:v>
      </x:c>
      <x:c r="F145" s="56" t="n">
        <x:f>'Fighter Stats'!O8</x:f>
        <x:v>130</x:v>
      </x:c>
      <x:c r="G145" s="38" t="str"/>
      <x:c r="H145" s="35" t="str">
        <x:v>Fighter Stats</x:v>
      </x:c>
      <x:c r="I145" s="35" t="str">
        <x:v>O8</x:v>
      </x:c>
      <x:c r="J145" s="85" t="b">
        <x:v>1</x:v>
      </x:c>
      <x:c r="K145" s="85" t="b">
        <x:v>1</x:v>
      </x:c>
      <x:c r="L145" s="56" t="str">
        <x:f>'Fighter Stats'!AA8</x:f>
        <x:v>OK</x:v>
      </x:c>
      <x:c r="M145" s="44" t="str">
        <x:v>Источник Fighter Stats.Control Resistance</x:v>
      </x:c>
    </x:row>
    <x:row r="146" ht="36" customHeight="1">
      <x:c r="A146" s="118" t="n">
        <x:v>141</x:v>
      </x:c>
      <x:c r="B146" s="35" t="str">
        <x:v>fighter</x:v>
      </x:c>
      <x:c r="C146" s="35" t="str">
        <x:v>gorilla</x:v>
      </x:c>
      <x:c r="D146" s="35" t="str">
        <x:v>mass</x:v>
      </x:c>
      <x:c r="E146" s="38" t="str">
        <x:v>int</x:v>
      </x:c>
      <x:c r="F146" s="56" t="n">
        <x:f>'Fighter Stats'!P8</x:f>
        <x:v>150</x:v>
      </x:c>
      <x:c r="G146" s="38" t="str"/>
      <x:c r="H146" s="35" t="str">
        <x:v>Fighter Stats</x:v>
      </x:c>
      <x:c r="I146" s="35" t="str">
        <x:v>P8</x:v>
      </x:c>
      <x:c r="J146" s="85" t="b">
        <x:v>1</x:v>
      </x:c>
      <x:c r="K146" s="85" t="b">
        <x:v>1</x:v>
      </x:c>
      <x:c r="L146" s="56" t="str">
        <x:f>'Fighter Stats'!AA8</x:f>
        <x:v>OK</x:v>
      </x:c>
      <x:c r="M146" s="44" t="str">
        <x:v>Источник Fighter Stats.Mass</x:v>
      </x:c>
    </x:row>
    <x:row r="147" ht="36" customHeight="1">
      <x:c r="A147" s="118" t="n">
        <x:v>142</x:v>
      </x:c>
      <x:c r="B147" s="35" t="str">
        <x:v>fighter</x:v>
      </x:c>
      <x:c r="C147" s="35" t="str">
        <x:v>gorilla</x:v>
      </x:c>
      <x:c r="D147" s="35" t="str">
        <x:v>max_energy</x:v>
      </x:c>
      <x:c r="E147" s="38" t="str">
        <x:v>int</x:v>
      </x:c>
      <x:c r="F147" s="56" t="n">
        <x:f>'Fighter Stats'!Q8</x:f>
        <x:v>1000</x:v>
      </x:c>
      <x:c r="G147" s="38" t="str"/>
      <x:c r="H147" s="35" t="str">
        <x:v>Fighter Stats</x:v>
      </x:c>
      <x:c r="I147" s="35" t="str">
        <x:v>Q8</x:v>
      </x:c>
      <x:c r="J147" s="85" t="b">
        <x:v>1</x:v>
      </x:c>
      <x:c r="K147" s="85" t="b">
        <x:v>1</x:v>
      </x:c>
      <x:c r="L147" s="56" t="str">
        <x:f>'Fighter Stats'!AA8</x:f>
        <x:v>OK</x:v>
      </x:c>
      <x:c r="M147" s="44" t="str">
        <x:v>Источник Fighter Stats.Max Energy</x:v>
      </x:c>
    </x:row>
    <x:row r="148" ht="36" customHeight="1">
      <x:c r="A148" s="118" t="n">
        <x:v>143</x:v>
      </x:c>
      <x:c r="B148" s="35" t="str">
        <x:v>fighter</x:v>
      </x:c>
      <x:c r="C148" s="35" t="str">
        <x:v>gorilla</x:v>
      </x:c>
      <x:c r="D148" s="35" t="str">
        <x:v>energy_regen</x:v>
      </x:c>
      <x:c r="E148" s="38" t="str">
        <x:v>int</x:v>
      </x:c>
      <x:c r="F148" s="56" t="n">
        <x:f>'Fighter Stats'!R8</x:f>
        <x:v>11</x:v>
      </x:c>
      <x:c r="G148" s="38" t="str"/>
      <x:c r="H148" s="35" t="str">
        <x:v>Fighter Stats</x:v>
      </x:c>
      <x:c r="I148" s="35" t="str">
        <x:v>R8</x:v>
      </x:c>
      <x:c r="J148" s="85" t="b">
        <x:v>1</x:v>
      </x:c>
      <x:c r="K148" s="85" t="b">
        <x:v>1</x:v>
      </x:c>
      <x:c r="L148" s="56" t="str">
        <x:f>'Fighter Stats'!AA8</x:f>
        <x:v>OK</x:v>
      </x:c>
      <x:c r="M148" s="44" t="str">
        <x:v>Источник Fighter Stats.Energy Regen / tick</x:v>
      </x:c>
    </x:row>
    <x:row r="149" ht="36" customHeight="1">
      <x:c r="A149" s="118" t="n">
        <x:v>144</x:v>
      </x:c>
      <x:c r="B149" s="35" t="str">
        <x:v>fighter</x:v>
      </x:c>
      <x:c r="C149" s="35" t="str">
        <x:v>gorilla</x:v>
      </x:c>
      <x:c r="D149" s="35" t="str">
        <x:v>collision_radius</x:v>
      </x:c>
      <x:c r="E149" s="38" t="str">
        <x:v>int</x:v>
      </x:c>
      <x:c r="F149" s="56" t="n">
        <x:f>'Fighter Stats'!S8</x:f>
        <x:v>550</x:v>
      </x:c>
      <x:c r="G149" s="38" t="str"/>
      <x:c r="H149" s="35" t="str">
        <x:v>Fighter Stats</x:v>
      </x:c>
      <x:c r="I149" s="35" t="str">
        <x:v>S8</x:v>
      </x:c>
      <x:c r="J149" s="85" t="b">
        <x:v>1</x:v>
      </x:c>
      <x:c r="K149" s="85" t="b">
        <x:v>1</x:v>
      </x:c>
      <x:c r="L149" s="56" t="str">
        <x:f>'Fighter Stats'!AA8</x:f>
        <x:v>OK</x:v>
      </x:c>
      <x:c r="M149" s="44" t="str">
        <x:v>Источник Fighter Stats.Collision Radius</x:v>
      </x:c>
    </x:row>
    <x:row r="150" ht="36" customHeight="1">
      <x:c r="A150" s="118" t="n">
        <x:v>145</x:v>
      </x:c>
      <x:c r="B150" s="35" t="str">
        <x:v>fighter</x:v>
      </x:c>
      <x:c r="C150" s="35" t="str">
        <x:v>gorilla</x:v>
      </x:c>
      <x:c r="D150" s="35" t="str">
        <x:v>start_resource</x:v>
      </x:c>
      <x:c r="E150" s="38" t="str">
        <x:v>int</x:v>
      </x:c>
      <x:c r="F150" s="56" t="n">
        <x:f>'Fighter Stats'!T8</x:f>
        <x:v>0</x:v>
      </x:c>
      <x:c r="G150" s="38" t="str"/>
      <x:c r="H150" s="35" t="str">
        <x:v>Fighter Stats</x:v>
      </x:c>
      <x:c r="I150" s="35" t="str">
        <x:v>T8</x:v>
      </x:c>
      <x:c r="J150" s="85" t="b">
        <x:v>1</x:v>
      </x:c>
      <x:c r="K150" s="85" t="b">
        <x:v>1</x:v>
      </x:c>
      <x:c r="L150" s="56" t="str">
        <x:f>'Fighter Stats'!AA8</x:f>
        <x:v>OK</x:v>
      </x:c>
      <x:c r="M150" s="44" t="str">
        <x:v>Источник Fighter Stats.Start Resource</x:v>
      </x:c>
    </x:row>
    <x:row r="151" ht="36" customHeight="1">
      <x:c r="A151" s="118" t="n">
        <x:v>146</x:v>
      </x:c>
      <x:c r="B151" s="35" t="str">
        <x:v>fighter</x:v>
      </x:c>
      <x:c r="C151" s="35" t="str">
        <x:v>gorilla</x:v>
      </x:c>
      <x:c r="D151" s="35" t="str">
        <x:v>max_resource</x:v>
      </x:c>
      <x:c r="E151" s="38" t="str">
        <x:v>int</x:v>
      </x:c>
      <x:c r="F151" s="56" t="n">
        <x:f>'Fighter Stats'!U8</x:f>
        <x:v>1000</x:v>
      </x:c>
      <x:c r="G151" s="38" t="str"/>
      <x:c r="H151" s="35" t="str">
        <x:v>Fighter Stats</x:v>
      </x:c>
      <x:c r="I151" s="35" t="str">
        <x:v>U8</x:v>
      </x:c>
      <x:c r="J151" s="85" t="b">
        <x:v>1</x:v>
      </x:c>
      <x:c r="K151" s="85" t="b">
        <x:v>1</x:v>
      </x:c>
      <x:c r="L151" s="56" t="str">
        <x:f>'Fighter Stats'!AA8</x:f>
        <x:v>OK</x:v>
      </x:c>
      <x:c r="M151" s="44" t="str">
        <x:v>Источник Fighter Stats.Max Resource</x:v>
      </x:c>
    </x:row>
    <x:row r="152" ht="36" customHeight="1">
      <x:c r="A152" s="118" t="n">
        <x:v>147</x:v>
      </x:c>
      <x:c r="B152" s="35" t="str">
        <x:v>fighter</x:v>
      </x:c>
      <x:c r="C152" s="35" t="str">
        <x:v>gorilla</x:v>
      </x:c>
      <x:c r="D152" s="35" t="str">
        <x:v>stagger_threshold</x:v>
      </x:c>
      <x:c r="E152" s="38" t="str">
        <x:v>int</x:v>
      </x:c>
      <x:c r="F152" s="56" t="n">
        <x:f>'Fighter Stats'!V8</x:f>
        <x:v>300</x:v>
      </x:c>
      <x:c r="G152" s="38" t="str"/>
      <x:c r="H152" s="35" t="str">
        <x:v>Fighter Stats</x:v>
      </x:c>
      <x:c r="I152" s="35" t="str">
        <x:v>V8</x:v>
      </x:c>
      <x:c r="J152" s="85" t="b">
        <x:v>1</x:v>
      </x:c>
      <x:c r="K152" s="85" t="b">
        <x:v>1</x:v>
      </x:c>
      <x:c r="L152" s="56" t="str">
        <x:f>'Fighter Stats'!AA8</x:f>
        <x:v>OK</x:v>
      </x:c>
      <x:c r="M152" s="44" t="str">
        <x:v>Источник Fighter Stats.Stagger Threshold</x:v>
      </x:c>
    </x:row>
    <x:row r="153" ht="36" customHeight="1">
      <x:c r="A153" s="118" t="n">
        <x:v>148</x:v>
      </x:c>
      <x:c r="B153" s="35" t="str">
        <x:v>action</x:v>
      </x:c>
      <x:c r="C153" s="35" t="str">
        <x:v>sys_approach</x:v>
      </x:c>
      <x:c r="D153" s="35" t="str">
        <x:v>action_id</x:v>
      </x:c>
      <x:c r="E153" s="38" t="str">
        <x:v>string</x:v>
      </x:c>
      <x:c r="F153" s="56" t="str">
        <x:f>'Actions'!A6</x:f>
        <x:v>sys_approach</x:v>
      </x:c>
      <x:c r="G153" s="38" t="str"/>
      <x:c r="H153" s="35" t="str">
        <x:v>Actions</x:v>
      </x:c>
      <x:c r="I153" s="35" t="str">
        <x:v>A6</x:v>
      </x:c>
      <x:c r="J153" s="85" t="b">
        <x:v>1</x:v>
      </x:c>
      <x:c r="K153" s="85" t="b">
        <x:v>1</x:v>
      </x:c>
      <x:c r="L153" s="56" t="str">
        <x:f>'Actions'!BE6</x:f>
        <x:v>OK</x:v>
      </x:c>
      <x:c r="M153" s="44" t="str">
        <x:v>Источник Actions.Action ID</x:v>
      </x:c>
    </x:row>
    <x:row r="154" ht="36" customHeight="1">
      <x:c r="A154" s="118" t="n">
        <x:v>149</x:v>
      </x:c>
      <x:c r="B154" s="35" t="str">
        <x:v>action</x:v>
      </x:c>
      <x:c r="C154" s="35" t="str">
        <x:v>sys_approach</x:v>
      </x:c>
      <x:c r="D154" s="35" t="str">
        <x:v>animal_id</x:v>
      </x:c>
      <x:c r="E154" s="38" t="str">
        <x:v>string</x:v>
      </x:c>
      <x:c r="F154" s="56" t="str">
        <x:f>'Actions'!B6</x:f>
        <x:v>all</x:v>
      </x:c>
      <x:c r="G154" s="38" t="str"/>
      <x:c r="H154" s="35" t="str">
        <x:v>Actions</x:v>
      </x:c>
      <x:c r="I154" s="35" t="str">
        <x:v>B6</x:v>
      </x:c>
      <x:c r="J154" s="85" t="b">
        <x:v>1</x:v>
      </x:c>
      <x:c r="K154" s="85" t="b">
        <x:v>1</x:v>
      </x:c>
      <x:c r="L154" s="56" t="str">
        <x:f>'Actions'!BE6</x:f>
        <x:v>OK</x:v>
      </x:c>
      <x:c r="M154" s="44" t="str">
        <x:v>Источник Actions.Animal ID</x:v>
      </x:c>
    </x:row>
    <x:row r="155" ht="36" customHeight="1">
      <x:c r="A155" s="118" t="n">
        <x:v>150</x:v>
      </x:c>
      <x:c r="B155" s="35" t="str">
        <x:v>action</x:v>
      </x:c>
      <x:c r="C155" s="35" t="str">
        <x:v>sys_approach</x:v>
      </x:c>
      <x:c r="D155" s="35" t="str">
        <x:v>slot_type</x:v>
      </x:c>
      <x:c r="E155" s="38" t="str">
        <x:v>string</x:v>
      </x:c>
      <x:c r="F155" s="56" t="str">
        <x:f>'Actions'!D6</x:f>
        <x:v>System</x:v>
      </x:c>
      <x:c r="G155" s="38" t="str"/>
      <x:c r="H155" s="35" t="str">
        <x:v>Actions</x:v>
      </x:c>
      <x:c r="I155" s="35" t="str">
        <x:v>D6</x:v>
      </x:c>
      <x:c r="J155" s="85" t="b">
        <x:v>1</x:v>
      </x:c>
      <x:c r="K155" s="85" t="b">
        <x:v>1</x:v>
      </x:c>
      <x:c r="L155" s="56" t="str">
        <x:f>'Actions'!BE6</x:f>
        <x:v>OK</x:v>
      </x:c>
      <x:c r="M155" s="44" t="str">
        <x:v>Источник Actions.Slot Type</x:v>
      </x:c>
    </x:row>
    <x:row r="156" ht="36" customHeight="1">
      <x:c r="A156" s="118" t="n">
        <x:v>151</x:v>
      </x:c>
      <x:c r="B156" s="35" t="str">
        <x:v>action</x:v>
      </x:c>
      <x:c r="C156" s="35" t="str">
        <x:v>sys_approach</x:v>
      </x:c>
      <x:c r="D156" s="35" t="str">
        <x:v>category</x:v>
      </x:c>
      <x:c r="E156" s="38" t="str">
        <x:v>string</x:v>
      </x:c>
      <x:c r="F156" s="56" t="str">
        <x:f>'Actions'!E6</x:f>
        <x:v>Movement</x:v>
      </x:c>
      <x:c r="G156" s="38" t="str"/>
      <x:c r="H156" s="35" t="str">
        <x:v>Actions</x:v>
      </x:c>
      <x:c r="I156" s="35" t="str">
        <x:v>E6</x:v>
      </x:c>
      <x:c r="J156" s="85" t="b">
        <x:v>1</x:v>
      </x:c>
      <x:c r="K156" s="85" t="b">
        <x:v>1</x:v>
      </x:c>
      <x:c r="L156" s="56" t="str">
        <x:f>'Actions'!BE6</x:f>
        <x:v>OK</x:v>
      </x:c>
      <x:c r="M156" s="44" t="str">
        <x:v>Источник Actions.Category</x:v>
      </x:c>
    </x:row>
    <x:row r="157" ht="36" customHeight="1">
      <x:c r="A157" s="118" t="n">
        <x:v>152</x:v>
      </x:c>
      <x:c r="B157" s="35" t="str">
        <x:v>action</x:v>
      </x:c>
      <x:c r="C157" s="35" t="str">
        <x:v>sys_approach</x:v>
      </x:c>
      <x:c r="D157" s="35" t="str">
        <x:v>tags</x:v>
      </x:c>
      <x:c r="E157" s="38" t="str">
        <x:v>string</x:v>
      </x:c>
      <x:c r="F157" s="56" t="str">
        <x:f>'Actions'!F6</x:f>
        <x:v>system|movement|approach</x:v>
      </x:c>
      <x:c r="G157" s="38" t="str"/>
      <x:c r="H157" s="35" t="str">
        <x:v>Actions</x:v>
      </x:c>
      <x:c r="I157" s="35" t="str">
        <x:v>F6</x:v>
      </x:c>
      <x:c r="J157" s="85" t="b">
        <x:v>1</x:v>
      </x:c>
      <x:c r="K157" s="85" t="b">
        <x:v>1</x:v>
      </x:c>
      <x:c r="L157" s="56" t="str">
        <x:f>'Actions'!BE6</x:f>
        <x:v>OK</x:v>
      </x:c>
      <x:c r="M157" s="44" t="str">
        <x:v>Источник Actions.Tags</x:v>
      </x:c>
    </x:row>
    <x:row r="158" ht="36" customHeight="1">
      <x:c r="A158" s="118" t="n">
        <x:v>153</x:v>
      </x:c>
      <x:c r="B158" s="35" t="str">
        <x:v>action</x:v>
      </x:c>
      <x:c r="C158" s="35" t="str">
        <x:v>sys_approach</x:v>
      </x:c>
      <x:c r="D158" s="35" t="str">
        <x:v>base_weight</x:v>
      </x:c>
      <x:c r="E158" s="38" t="str">
        <x:v>int</x:v>
      </x:c>
      <x:c r="F158" s="56" t="n">
        <x:f>'Actions'!G6</x:f>
        <x:v>650</x:v>
      </x:c>
      <x:c r="G158" s="38" t="str"/>
      <x:c r="H158" s="35" t="str">
        <x:v>Actions</x:v>
      </x:c>
      <x:c r="I158" s="35" t="str">
        <x:v>G6</x:v>
      </x:c>
      <x:c r="J158" s="85" t="b">
        <x:v>1</x:v>
      </x:c>
      <x:c r="K158" s="85" t="b">
        <x:v>1</x:v>
      </x:c>
      <x:c r="L158" s="56" t="str">
        <x:f>'Actions'!BE6</x:f>
        <x:v>OK</x:v>
      </x:c>
      <x:c r="M158" s="44" t="str">
        <x:v>Источник Actions.Base Weight</x:v>
      </x:c>
    </x:row>
    <x:row r="159" ht="36" customHeight="1">
      <x:c r="A159" s="118" t="n">
        <x:v>154</x:v>
      </x:c>
      <x:c r="B159" s="35" t="str">
        <x:v>action</x:v>
      </x:c>
      <x:c r="C159" s="35" t="str">
        <x:v>sys_approach</x:v>
      </x:c>
      <x:c r="D159" s="35" t="str">
        <x:v>preferred_range_min</x:v>
      </x:c>
      <x:c r="E159" s="38" t="str">
        <x:v>int</x:v>
      </x:c>
      <x:c r="F159" s="56" t="n">
        <x:f>'Actions'!H6</x:f>
        <x:v>0</x:v>
      </x:c>
      <x:c r="G159" s="38" t="str"/>
      <x:c r="H159" s="35" t="str">
        <x:v>Actions</x:v>
      </x:c>
      <x:c r="I159" s="35" t="str">
        <x:v>H6</x:v>
      </x:c>
      <x:c r="J159" s="85" t="b">
        <x:v>1</x:v>
      </x:c>
      <x:c r="K159" s="85" t="b">
        <x:v>1</x:v>
      </x:c>
      <x:c r="L159" s="56" t="str">
        <x:f>'Actions'!BE6</x:f>
        <x:v>OK</x:v>
      </x:c>
      <x:c r="M159" s="44" t="str">
        <x:v>Источник Actions.Preferred Range Min</x:v>
      </x:c>
    </x:row>
    <x:row r="160" ht="36" customHeight="1">
      <x:c r="A160" s="118" t="n">
        <x:v>155</x:v>
      </x:c>
      <x:c r="B160" s="35" t="str">
        <x:v>action</x:v>
      </x:c>
      <x:c r="C160" s="35" t="str">
        <x:v>sys_approach</x:v>
      </x:c>
      <x:c r="D160" s="35" t="str">
        <x:v>preferred_range_max</x:v>
      </x:c>
      <x:c r="E160" s="38" t="str">
        <x:v>int</x:v>
      </x:c>
      <x:c r="F160" s="56" t="n">
        <x:f>'Actions'!I6</x:f>
        <x:v>1500</x:v>
      </x:c>
      <x:c r="G160" s="38" t="str"/>
      <x:c r="H160" s="35" t="str">
        <x:v>Actions</x:v>
      </x:c>
      <x:c r="I160" s="35" t="str">
        <x:v>I6</x:v>
      </x:c>
      <x:c r="J160" s="85" t="b">
        <x:v>1</x:v>
      </x:c>
      <x:c r="K160" s="85" t="b">
        <x:v>1</x:v>
      </x:c>
      <x:c r="L160" s="56" t="str">
        <x:f>'Actions'!BE6</x:f>
        <x:v>OK</x:v>
      </x:c>
      <x:c r="M160" s="44" t="str">
        <x:v>Источник Actions.Preferred Range Max</x:v>
      </x:c>
    </x:row>
    <x:row r="161" ht="36" customHeight="1">
      <x:c r="A161" s="118" t="n">
        <x:v>156</x:v>
      </x:c>
      <x:c r="B161" s="35" t="str">
        <x:v>action</x:v>
      </x:c>
      <x:c r="C161" s="35" t="str">
        <x:v>sys_approach</x:v>
      </x:c>
      <x:c r="D161" s="35" t="str">
        <x:v>hit_range_min</x:v>
      </x:c>
      <x:c r="E161" s="38" t="str">
        <x:v>int</x:v>
      </x:c>
      <x:c r="F161" s="56" t="n">
        <x:f>'Actions'!J6</x:f>
        <x:v>0</x:v>
      </x:c>
      <x:c r="G161" s="38" t="str"/>
      <x:c r="H161" s="35" t="str">
        <x:v>Actions</x:v>
      </x:c>
      <x:c r="I161" s="35" t="str">
        <x:v>J6</x:v>
      </x:c>
      <x:c r="J161" s="85" t="b">
        <x:v>1</x:v>
      </x:c>
      <x:c r="K161" s="85" t="b">
        <x:v>1</x:v>
      </x:c>
      <x:c r="L161" s="56" t="str">
        <x:f>'Actions'!BE6</x:f>
        <x:v>OK</x:v>
      </x:c>
      <x:c r="M161" s="44" t="str">
        <x:v>Источник Actions.Hit Range Min</x:v>
      </x:c>
    </x:row>
    <x:row r="162" ht="36" customHeight="1">
      <x:c r="A162" s="118" t="n">
        <x:v>157</x:v>
      </x:c>
      <x:c r="B162" s="35" t="str">
        <x:v>action</x:v>
      </x:c>
      <x:c r="C162" s="35" t="str">
        <x:v>sys_approach</x:v>
      </x:c>
      <x:c r="D162" s="35" t="str">
        <x:v>hit_range_max</x:v>
      </x:c>
      <x:c r="E162" s="38" t="str">
        <x:v>int</x:v>
      </x:c>
      <x:c r="F162" s="56" t="n">
        <x:f>'Actions'!K6</x:f>
        <x:v>0</x:v>
      </x:c>
      <x:c r="G162" s="38" t="str"/>
      <x:c r="H162" s="35" t="str">
        <x:v>Actions</x:v>
      </x:c>
      <x:c r="I162" s="35" t="str">
        <x:v>K6</x:v>
      </x:c>
      <x:c r="J162" s="85" t="b">
        <x:v>1</x:v>
      </x:c>
      <x:c r="K162" s="85" t="b">
        <x:v>1</x:v>
      </x:c>
      <x:c r="L162" s="56" t="str">
        <x:f>'Actions'!BE6</x:f>
        <x:v>OK</x:v>
      </x:c>
      <x:c r="M162" s="44" t="str">
        <x:v>Источник Actions.Hit Range Max</x:v>
      </x:c>
    </x:row>
    <x:row r="163" ht="36" customHeight="1">
      <x:c r="A163" s="118" t="n">
        <x:v>158</x:v>
      </x:c>
      <x:c r="B163" s="35" t="str">
        <x:v>action</x:v>
      </x:c>
      <x:c r="C163" s="35" t="str">
        <x:v>sys_approach</x:v>
      </x:c>
      <x:c r="D163" s="35" t="str">
        <x:v>energy_cost</x:v>
      </x:c>
      <x:c r="E163" s="38" t="str">
        <x:v>int</x:v>
      </x:c>
      <x:c r="F163" s="56" t="n">
        <x:f>'Actions'!L6</x:f>
        <x:v>0</x:v>
      </x:c>
      <x:c r="G163" s="38" t="str"/>
      <x:c r="H163" s="35" t="str">
        <x:v>Actions</x:v>
      </x:c>
      <x:c r="I163" s="35" t="str">
        <x:v>L6</x:v>
      </x:c>
      <x:c r="J163" s="85" t="b">
        <x:v>1</x:v>
      </x:c>
      <x:c r="K163" s="85" t="b">
        <x:v>1</x:v>
      </x:c>
      <x:c r="L163" s="56" t="str">
        <x:f>'Actions'!BE6</x:f>
        <x:v>OK</x:v>
      </x:c>
      <x:c r="M163" s="44" t="str">
        <x:v>Источник Actions.Energy Cost</x:v>
      </x:c>
    </x:row>
    <x:row r="164" ht="36" customHeight="1">
      <x:c r="A164" s="118" t="n">
        <x:v>159</x:v>
      </x:c>
      <x:c r="B164" s="35" t="str">
        <x:v>action</x:v>
      </x:c>
      <x:c r="C164" s="35" t="str">
        <x:v>sys_approach</x:v>
      </x:c>
      <x:c r="D164" s="35" t="str">
        <x:v>resource_cost</x:v>
      </x:c>
      <x:c r="E164" s="38" t="str">
        <x:v>int</x:v>
      </x:c>
      <x:c r="F164" s="56" t="n">
        <x:f>'Actions'!M6</x:f>
        <x:v>0</x:v>
      </x:c>
      <x:c r="G164" s="38" t="str"/>
      <x:c r="H164" s="35" t="str">
        <x:v>Actions</x:v>
      </x:c>
      <x:c r="I164" s="35" t="str">
        <x:v>M6</x:v>
      </x:c>
      <x:c r="J164" s="85" t="b">
        <x:v>1</x:v>
      </x:c>
      <x:c r="K164" s="85" t="b">
        <x:v>1</x:v>
      </x:c>
      <x:c r="L164" s="56" t="str">
        <x:f>'Actions'!BE6</x:f>
        <x:v>OK</x:v>
      </x:c>
      <x:c r="M164" s="44" t="str">
        <x:v>Источник Actions.Resource Cost</x:v>
      </x:c>
    </x:row>
    <x:row r="165" ht="36" customHeight="1">
      <x:c r="A165" s="118" t="n">
        <x:v>160</x:v>
      </x:c>
      <x:c r="B165" s="35" t="str">
        <x:v>action</x:v>
      </x:c>
      <x:c r="C165" s="35" t="str">
        <x:v>sys_approach</x:v>
      </x:c>
      <x:c r="D165" s="35" t="str">
        <x:v>base_damage</x:v>
      </x:c>
      <x:c r="E165" s="38" t="str">
        <x:v>int</x:v>
      </x:c>
      <x:c r="F165" s="56" t="n">
        <x:f>'Actions'!N6</x:f>
        <x:v>0</x:v>
      </x:c>
      <x:c r="G165" s="38" t="str"/>
      <x:c r="H165" s="35" t="str">
        <x:v>Actions</x:v>
      </x:c>
      <x:c r="I165" s="35" t="str">
        <x:v>N6</x:v>
      </x:c>
      <x:c r="J165" s="85" t="b">
        <x:v>1</x:v>
      </x:c>
      <x:c r="K165" s="85" t="b">
        <x:v>1</x:v>
      </x:c>
      <x:c r="L165" s="56" t="str">
        <x:f>'Actions'!BE6</x:f>
        <x:v>OK</x:v>
      </x:c>
      <x:c r="M165" s="44" t="str">
        <x:v>Источник Actions.Base Damage / hit</x:v>
      </x:c>
    </x:row>
    <x:row r="166" ht="36" customHeight="1">
      <x:c r="A166" s="118" t="n">
        <x:v>161</x:v>
      </x:c>
      <x:c r="B166" s="35" t="str">
        <x:v>action</x:v>
      </x:c>
      <x:c r="C166" s="35" t="str">
        <x:v>sys_approach</x:v>
      </x:c>
      <x:c r="D166" s="35" t="str">
        <x:v>power_ratio_fp</x:v>
      </x:c>
      <x:c r="E166" s="38" t="str">
        <x:v>int</x:v>
      </x:c>
      <x:c r="F166" s="56" t="n">
        <x:f>'Actions'!O6</x:f>
        <x:v>0</x:v>
      </x:c>
      <x:c r="G166" s="38" t="str"/>
      <x:c r="H166" s="35" t="str">
        <x:v>Actions</x:v>
      </x:c>
      <x:c r="I166" s="35" t="str">
        <x:v>O6</x:v>
      </x:c>
      <x:c r="J166" s="85" t="b">
        <x:v>1</x:v>
      </x:c>
      <x:c r="K166" s="85" t="b">
        <x:v>1</x:v>
      </x:c>
      <x:c r="L166" s="56" t="str">
        <x:f>'Actions'!BE6</x:f>
        <x:v>OK</x:v>
      </x:c>
      <x:c r="M166" s="44" t="str">
        <x:v>Источник Actions.Power Ratio FP</x:v>
      </x:c>
    </x:row>
    <x:row r="167" ht="36" customHeight="1">
      <x:c r="A167" s="118" t="n">
        <x:v>162</x:v>
      </x:c>
      <x:c r="B167" s="35" t="str">
        <x:v>action</x:v>
      </x:c>
      <x:c r="C167" s="35" t="str">
        <x:v>sys_approach</x:v>
      </x:c>
      <x:c r="D167" s="35" t="str">
        <x:v>min_damage</x:v>
      </x:c>
      <x:c r="E167" s="38" t="str">
        <x:v>int</x:v>
      </x:c>
      <x:c r="F167" s="56" t="n">
        <x:f>'Actions'!P6</x:f>
        <x:v>0</x:v>
      </x:c>
      <x:c r="G167" s="38" t="str"/>
      <x:c r="H167" s="35" t="str">
        <x:v>Actions</x:v>
      </x:c>
      <x:c r="I167" s="35" t="str">
        <x:v>P6</x:v>
      </x:c>
      <x:c r="J167" s="85" t="b">
        <x:v>1</x:v>
      </x:c>
      <x:c r="K167" s="85" t="b">
        <x:v>1</x:v>
      </x:c>
      <x:c r="L167" s="56" t="str">
        <x:f>'Actions'!BE6</x:f>
        <x:v>OK</x:v>
      </x:c>
      <x:c r="M167" s="44" t="str">
        <x:v>Источник Actions.Min Damage</x:v>
      </x:c>
    </x:row>
    <x:row r="168" ht="36" customHeight="1">
      <x:c r="A168" s="118" t="n">
        <x:v>163</x:v>
      </x:c>
      <x:c r="B168" s="35" t="str">
        <x:v>action</x:v>
      </x:c>
      <x:c r="C168" s="35" t="str">
        <x:v>sys_approach</x:v>
      </x:c>
      <x:c r="D168" s="35" t="str">
        <x:v>chip_min</x:v>
      </x:c>
      <x:c r="E168" s="38" t="str">
        <x:v>int</x:v>
      </x:c>
      <x:c r="F168" s="56" t="n">
        <x:f>'Actions'!Q6</x:f>
        <x:v>0</x:v>
      </x:c>
      <x:c r="G168" s="38" t="str"/>
      <x:c r="H168" s="35" t="str">
        <x:v>Actions</x:v>
      </x:c>
      <x:c r="I168" s="35" t="str">
        <x:v>Q6</x:v>
      </x:c>
      <x:c r="J168" s="85" t="b">
        <x:v>1</x:v>
      </x:c>
      <x:c r="K168" s="85" t="b">
        <x:v>1</x:v>
      </x:c>
      <x:c r="L168" s="56" t="str">
        <x:f>'Actions'!BE6</x:f>
        <x:v>OK</x:v>
      </x:c>
      <x:c r="M168" s="44" t="str">
        <x:v>Источник Actions.Chip Min</x:v>
      </x:c>
    </x:row>
    <x:row r="169" ht="36" customHeight="1">
      <x:c r="A169" s="118" t="n">
        <x:v>164</x:v>
      </x:c>
      <x:c r="B169" s="35" t="str">
        <x:v>action</x:v>
      </x:c>
      <x:c r="C169" s="35" t="str">
        <x:v>sys_approach</x:v>
      </x:c>
      <x:c r="D169" s="35" t="str">
        <x:v>startup_base_ticks</x:v>
      </x:c>
      <x:c r="E169" s="38" t="str">
        <x:v>int</x:v>
      </x:c>
      <x:c r="F169" s="56" t="n">
        <x:f>'Actions'!R6</x:f>
        <x:v>1</x:v>
      </x:c>
      <x:c r="G169" s="38" t="str"/>
      <x:c r="H169" s="35" t="str">
        <x:v>Actions</x:v>
      </x:c>
      <x:c r="I169" s="35" t="str">
        <x:v>R6</x:v>
      </x:c>
      <x:c r="J169" s="85" t="b">
        <x:v>1</x:v>
      </x:c>
      <x:c r="K169" s="85" t="b">
        <x:v>1</x:v>
      </x:c>
      <x:c r="L169" s="56" t="str">
        <x:f>'Actions'!BE6</x:f>
        <x:v>OK</x:v>
      </x:c>
      <x:c r="M169" s="44" t="str">
        <x:v>Источник Actions.Startup Base Ticks</x:v>
      </x:c>
    </x:row>
    <x:row r="170" ht="36" customHeight="1">
      <x:c r="A170" s="118" t="n">
        <x:v>165</x:v>
      </x:c>
      <x:c r="B170" s="35" t="str">
        <x:v>action</x:v>
      </x:c>
      <x:c r="C170" s="35" t="str">
        <x:v>sys_approach</x:v>
      </x:c>
      <x:c r="D170" s="35" t="str">
        <x:v>startup_min_ticks</x:v>
      </x:c>
      <x:c r="E170" s="38" t="str">
        <x:v>int</x:v>
      </x:c>
      <x:c r="F170" s="56" t="n">
        <x:f>'Actions'!S6</x:f>
        <x:v>1</x:v>
      </x:c>
      <x:c r="G170" s="38" t="str"/>
      <x:c r="H170" s="35" t="str">
        <x:v>Actions</x:v>
      </x:c>
      <x:c r="I170" s="35" t="str">
        <x:v>S6</x:v>
      </x:c>
      <x:c r="J170" s="85" t="b">
        <x:v>1</x:v>
      </x:c>
      <x:c r="K170" s="85" t="b">
        <x:v>1</x:v>
      </x:c>
      <x:c r="L170" s="56" t="str">
        <x:f>'Actions'!BE6</x:f>
        <x:v>OK</x:v>
      </x:c>
      <x:c r="M170" s="44" t="str">
        <x:v>Источник Actions.Startup Min Ticks</x:v>
      </x:c>
    </x:row>
    <x:row r="171" ht="36" customHeight="1">
      <x:c r="A171" s="118" t="n">
        <x:v>166</x:v>
      </x:c>
      <x:c r="B171" s="35" t="str">
        <x:v>action</x:v>
      </x:c>
      <x:c r="C171" s="35" t="str">
        <x:v>sys_approach</x:v>
      </x:c>
      <x:c r="D171" s="35" t="str">
        <x:v>startup_max_ticks</x:v>
      </x:c>
      <x:c r="E171" s="38" t="str">
        <x:v>int</x:v>
      </x:c>
      <x:c r="F171" s="56" t="n">
        <x:f>'Actions'!T6</x:f>
        <x:v>1</x:v>
      </x:c>
      <x:c r="G171" s="38" t="str"/>
      <x:c r="H171" s="35" t="str">
        <x:v>Actions</x:v>
      </x:c>
      <x:c r="I171" s="35" t="str">
        <x:v>T6</x:v>
      </x:c>
      <x:c r="J171" s="85" t="b">
        <x:v>1</x:v>
      </x:c>
      <x:c r="K171" s="85" t="b">
        <x:v>1</x:v>
      </x:c>
      <x:c r="L171" s="56" t="str">
        <x:f>'Actions'!BE6</x:f>
        <x:v>OK</x:v>
      </x:c>
      <x:c r="M171" s="44" t="str">
        <x:v>Источник Actions.Startup Max Ticks</x:v>
      </x:c>
    </x:row>
    <x:row r="172" ht="36" customHeight="1">
      <x:c r="A172" s="118" t="n">
        <x:v>167</x:v>
      </x:c>
      <x:c r="B172" s="35" t="str">
        <x:v>action</x:v>
      </x:c>
      <x:c r="C172" s="35" t="str">
        <x:v>sys_approach</x:v>
      </x:c>
      <x:c r="D172" s="35" t="str">
        <x:v>active_ticks</x:v>
      </x:c>
      <x:c r="E172" s="38" t="str">
        <x:v>int</x:v>
      </x:c>
      <x:c r="F172" s="56" t="n">
        <x:f>'Actions'!U6</x:f>
        <x:v>5</x:v>
      </x:c>
      <x:c r="G172" s="38" t="str"/>
      <x:c r="H172" s="35" t="str">
        <x:v>Actions</x:v>
      </x:c>
      <x:c r="I172" s="35" t="str">
        <x:v>U6</x:v>
      </x:c>
      <x:c r="J172" s="85" t="b">
        <x:v>1</x:v>
      </x:c>
      <x:c r="K172" s="85" t="b">
        <x:v>1</x:v>
      </x:c>
      <x:c r="L172" s="56" t="str">
        <x:f>'Actions'!BE6</x:f>
        <x:v>OK</x:v>
      </x:c>
      <x:c r="M172" s="44" t="str">
        <x:v>Источник Actions.Active Ticks</x:v>
      </x:c>
    </x:row>
    <x:row r="173" ht="36" customHeight="1">
      <x:c r="A173" s="118" t="n">
        <x:v>168</x:v>
      </x:c>
      <x:c r="B173" s="35" t="str">
        <x:v>action</x:v>
      </x:c>
      <x:c r="C173" s="35" t="str">
        <x:v>sys_approach</x:v>
      </x:c>
      <x:c r="D173" s="35" t="str">
        <x:v>hit_schedule</x:v>
      </x:c>
      <x:c r="E173" s="38" t="str">
        <x:v>string</x:v>
      </x:c>
      <x:c r="F173" s="56" t="str">
        <x:f>'Actions'!V6</x:f>
      </x:c>
      <x:c r="G173" s="38" t="str"/>
      <x:c r="H173" s="35" t="str">
        <x:v>Actions</x:v>
      </x:c>
      <x:c r="I173" s="35" t="str">
        <x:v>V6</x:v>
      </x:c>
      <x:c r="J173" s="85" t="b">
        <x:v>1</x:v>
      </x:c>
      <x:c r="K173" s="85" t="b">
        <x:v>1</x:v>
      </x:c>
      <x:c r="L173" s="56" t="str">
        <x:f>'Actions'!BE6</x:f>
        <x:v>OK</x:v>
      </x:c>
      <x:c r="M173" s="44" t="str">
        <x:v>Источник Actions.Hit Schedule</x:v>
      </x:c>
    </x:row>
    <x:row r="174" ht="36" customHeight="1">
      <x:c r="A174" s="118" t="n">
        <x:v>169</x:v>
      </x:c>
      <x:c r="B174" s="35" t="str">
        <x:v>action</x:v>
      </x:c>
      <x:c r="C174" s="35" t="str">
        <x:v>sys_approach</x:v>
      </x:c>
      <x:c r="D174" s="35" t="str">
        <x:v>hit_count</x:v>
      </x:c>
      <x:c r="E174" s="38" t="str">
        <x:v>int</x:v>
      </x:c>
      <x:c r="F174" s="56" t="n">
        <x:f>'Actions'!W6</x:f>
        <x:v>0</x:v>
      </x:c>
      <x:c r="G174" s="38" t="str"/>
      <x:c r="H174" s="35" t="str">
        <x:v>Actions</x:v>
      </x:c>
      <x:c r="I174" s="35" t="str">
        <x:v>W6</x:v>
      </x:c>
      <x:c r="J174" s="85" t="b">
        <x:v>1</x:v>
      </x:c>
      <x:c r="K174" s="85" t="b">
        <x:v>1</x:v>
      </x:c>
      <x:c r="L174" s="56" t="str">
        <x:f>'Actions'!BE6</x:f>
        <x:v>OK</x:v>
      </x:c>
      <x:c r="M174" s="44" t="str">
        <x:v>Источник Actions.Hit Count</x:v>
      </x:c>
    </x:row>
    <x:row r="175" ht="36" customHeight="1">
      <x:c r="A175" s="118" t="n">
        <x:v>170</x:v>
      </x:c>
      <x:c r="B175" s="35" t="str">
        <x:v>action</x:v>
      </x:c>
      <x:c r="C175" s="35" t="str">
        <x:v>sys_approach</x:v>
      </x:c>
      <x:c r="D175" s="35" t="str">
        <x:v>recovery_base_ticks</x:v>
      </x:c>
      <x:c r="E175" s="38" t="str">
        <x:v>int</x:v>
      </x:c>
      <x:c r="F175" s="56" t="n">
        <x:f>'Actions'!X6</x:f>
        <x:v>1</x:v>
      </x:c>
      <x:c r="G175" s="38" t="str"/>
      <x:c r="H175" s="35" t="str">
        <x:v>Actions</x:v>
      </x:c>
      <x:c r="I175" s="35" t="str">
        <x:v>X6</x:v>
      </x:c>
      <x:c r="J175" s="85" t="b">
        <x:v>1</x:v>
      </x:c>
      <x:c r="K175" s="85" t="b">
        <x:v>1</x:v>
      </x:c>
      <x:c r="L175" s="56" t="str">
        <x:f>'Actions'!BE6</x:f>
        <x:v>OK</x:v>
      </x:c>
      <x:c r="M175" s="44" t="str">
        <x:v>Источник Actions.Recovery Base Ticks</x:v>
      </x:c>
    </x:row>
    <x:row r="176" ht="36" customHeight="1">
      <x:c r="A176" s="118" t="n">
        <x:v>171</x:v>
      </x:c>
      <x:c r="B176" s="35" t="str">
        <x:v>action</x:v>
      </x:c>
      <x:c r="C176" s="35" t="str">
        <x:v>sys_approach</x:v>
      </x:c>
      <x:c r="D176" s="35" t="str">
        <x:v>recovery_min_ticks</x:v>
      </x:c>
      <x:c r="E176" s="38" t="str">
        <x:v>int</x:v>
      </x:c>
      <x:c r="F176" s="56" t="n">
        <x:f>'Actions'!Y6</x:f>
        <x:v>1</x:v>
      </x:c>
      <x:c r="G176" s="38" t="str"/>
      <x:c r="H176" s="35" t="str">
        <x:v>Actions</x:v>
      </x:c>
      <x:c r="I176" s="35" t="str">
        <x:v>Y6</x:v>
      </x:c>
      <x:c r="J176" s="85" t="b">
        <x:v>1</x:v>
      </x:c>
      <x:c r="K176" s="85" t="b">
        <x:v>1</x:v>
      </x:c>
      <x:c r="L176" s="56" t="str">
        <x:f>'Actions'!BE6</x:f>
        <x:v>OK</x:v>
      </x:c>
      <x:c r="M176" s="44" t="str">
        <x:v>Источник Actions.Recovery Min Ticks</x:v>
      </x:c>
    </x:row>
    <x:row r="177" ht="36" customHeight="1">
      <x:c r="A177" s="118" t="n">
        <x:v>172</x:v>
      </x:c>
      <x:c r="B177" s="35" t="str">
        <x:v>action</x:v>
      </x:c>
      <x:c r="C177" s="35" t="str">
        <x:v>sys_approach</x:v>
      </x:c>
      <x:c r="D177" s="35" t="str">
        <x:v>recovery_max_ticks</x:v>
      </x:c>
      <x:c r="E177" s="38" t="str">
        <x:v>int</x:v>
      </x:c>
      <x:c r="F177" s="56" t="n">
        <x:f>'Actions'!Z6</x:f>
        <x:v>1</x:v>
      </x:c>
      <x:c r="G177" s="38" t="str"/>
      <x:c r="H177" s="35" t="str">
        <x:v>Actions</x:v>
      </x:c>
      <x:c r="I177" s="35" t="str">
        <x:v>Z6</x:v>
      </x:c>
      <x:c r="J177" s="85" t="b">
        <x:v>1</x:v>
      </x:c>
      <x:c r="K177" s="85" t="b">
        <x:v>1</x:v>
      </x:c>
      <x:c r="L177" s="56" t="str">
        <x:f>'Actions'!BE6</x:f>
        <x:v>OK</x:v>
      </x:c>
      <x:c r="M177" s="44" t="str">
        <x:v>Источник Actions.Recovery Max Ticks</x:v>
      </x:c>
    </x:row>
    <x:row r="178" ht="36" customHeight="1">
      <x:c r="A178" s="118" t="n">
        <x:v>173</x:v>
      </x:c>
      <x:c r="B178" s="35" t="str">
        <x:v>action</x:v>
      </x:c>
      <x:c r="C178" s="35" t="str">
        <x:v>sys_approach</x:v>
      </x:c>
      <x:c r="D178" s="35" t="str">
        <x:v>cooldown_ticks</x:v>
      </x:c>
      <x:c r="E178" s="38" t="str">
        <x:v>int</x:v>
      </x:c>
      <x:c r="F178" s="56" t="n">
        <x:f>'Actions'!AA6</x:f>
        <x:v>0</x:v>
      </x:c>
      <x:c r="G178" s="38" t="str"/>
      <x:c r="H178" s="35" t="str">
        <x:v>Actions</x:v>
      </x:c>
      <x:c r="I178" s="35" t="str">
        <x:v>AA6</x:v>
      </x:c>
      <x:c r="J178" s="85" t="b">
        <x:v>1</x:v>
      </x:c>
      <x:c r="K178" s="85" t="b">
        <x:v>1</x:v>
      </x:c>
      <x:c r="L178" s="56" t="str">
        <x:f>'Actions'!BE6</x:f>
        <x:v>OK</x:v>
      </x:c>
      <x:c r="M178" s="44" t="str">
        <x:v>Источник Actions.Cooldown Ticks</x:v>
      </x:c>
    </x:row>
    <x:row r="179" ht="36" customHeight="1">
      <x:c r="A179" s="118" t="n">
        <x:v>174</x:v>
      </x:c>
      <x:c r="B179" s="35" t="str">
        <x:v>action</x:v>
      </x:c>
      <x:c r="C179" s="35" t="str">
        <x:v>sys_approach</x:v>
      </x:c>
      <x:c r="D179" s="35" t="str">
        <x:v>action_priority</x:v>
      </x:c>
      <x:c r="E179" s="38" t="str">
        <x:v>int</x:v>
      </x:c>
      <x:c r="F179" s="56" t="n">
        <x:f>'Actions'!AB6</x:f>
        <x:v>5</x:v>
      </x:c>
      <x:c r="G179" s="38" t="str"/>
      <x:c r="H179" s="35" t="str">
        <x:v>Actions</x:v>
      </x:c>
      <x:c r="I179" s="35" t="str">
        <x:v>AB6</x:v>
      </x:c>
      <x:c r="J179" s="85" t="b">
        <x:v>1</x:v>
      </x:c>
      <x:c r="K179" s="85" t="b">
        <x:v>1</x:v>
      </x:c>
      <x:c r="L179" s="56" t="str">
        <x:f>'Actions'!BE6</x:f>
        <x:v>OK</x:v>
      </x:c>
      <x:c r="M179" s="44" t="str">
        <x:v>Источник Actions.Action Priority</x:v>
      </x:c>
    </x:row>
    <x:row r="180" ht="36" customHeight="1">
      <x:c r="A180" s="118" t="n">
        <x:v>175</x:v>
      </x:c>
      <x:c r="B180" s="35" t="str">
        <x:v>action</x:v>
      </x:c>
      <x:c r="C180" s="35" t="str">
        <x:v>sys_approach</x:v>
      </x:c>
      <x:c r="D180" s="35" t="str">
        <x:v>clash_priority</x:v>
      </x:c>
      <x:c r="E180" s="38" t="str">
        <x:v>int</x:v>
      </x:c>
      <x:c r="F180" s="56" t="n">
        <x:f>'Actions'!AC6</x:f>
        <x:v>0</x:v>
      </x:c>
      <x:c r="G180" s="38" t="str"/>
      <x:c r="H180" s="35" t="str">
        <x:v>Actions</x:v>
      </x:c>
      <x:c r="I180" s="35" t="str">
        <x:v>AC6</x:v>
      </x:c>
      <x:c r="J180" s="85" t="b">
        <x:v>1</x:v>
      </x:c>
      <x:c r="K180" s="85" t="b">
        <x:v>1</x:v>
      </x:c>
      <x:c r="L180" s="56" t="str">
        <x:f>'Actions'!BE6</x:f>
        <x:v>OK</x:v>
      </x:c>
      <x:c r="M180" s="44" t="str">
        <x:v>Источник Actions.Clash Priority</x:v>
      </x:c>
    </x:row>
    <x:row r="181" ht="36" customHeight="1">
      <x:c r="A181" s="118" t="n">
        <x:v>176</x:v>
      </x:c>
      <x:c r="B181" s="35" t="str">
        <x:v>action</x:v>
      </x:c>
      <x:c r="C181" s="35" t="str">
        <x:v>sys_approach</x:v>
      </x:c>
      <x:c r="D181" s="35" t="str">
        <x:v>grab_priority</x:v>
      </x:c>
      <x:c r="E181" s="38" t="str">
        <x:v>int</x:v>
      </x:c>
      <x:c r="F181" s="56" t="n">
        <x:f>'Actions'!AD6</x:f>
        <x:v>0</x:v>
      </x:c>
      <x:c r="G181" s="38" t="str"/>
      <x:c r="H181" s="35" t="str">
        <x:v>Actions</x:v>
      </x:c>
      <x:c r="I181" s="35" t="str">
        <x:v>AD6</x:v>
      </x:c>
      <x:c r="J181" s="85" t="b">
        <x:v>1</x:v>
      </x:c>
      <x:c r="K181" s="85" t="b">
        <x:v>1</x:v>
      </x:c>
      <x:c r="L181" s="56" t="str">
        <x:f>'Actions'!BE6</x:f>
        <x:v>OK</x:v>
      </x:c>
      <x:c r="M181" s="44" t="str">
        <x:v>Источник Actions.Grab Priority</x:v>
      </x:c>
    </x:row>
    <x:row r="182" ht="36" customHeight="1">
      <x:c r="A182" s="118" t="n">
        <x:v>177</x:v>
      </x:c>
      <x:c r="B182" s="35" t="str">
        <x:v>action</x:v>
      </x:c>
      <x:c r="C182" s="35" t="str">
        <x:v>sys_approach</x:v>
      </x:c>
      <x:c r="D182" s="35" t="str">
        <x:v>resolution_priority</x:v>
      </x:c>
      <x:c r="E182" s="38" t="str">
        <x:v>int</x:v>
      </x:c>
      <x:c r="F182" s="56" t="n">
        <x:f>'Actions'!AE6</x:f>
        <x:v>5</x:v>
      </x:c>
      <x:c r="G182" s="38" t="str"/>
      <x:c r="H182" s="35" t="str">
        <x:v>Actions</x:v>
      </x:c>
      <x:c r="I182" s="35" t="str">
        <x:v>AE6</x:v>
      </x:c>
      <x:c r="J182" s="85" t="b">
        <x:v>1</x:v>
      </x:c>
      <x:c r="K182" s="85" t="b">
        <x:v>1</x:v>
      </x:c>
      <x:c r="L182" s="56" t="str">
        <x:f>'Actions'!BE6</x:f>
        <x:v>OK</x:v>
      </x:c>
      <x:c r="M182" s="44" t="str">
        <x:v>Источник Actions.Resolution Priority</x:v>
      </x:c>
    </x:row>
    <x:row r="183" ht="36" customHeight="1">
      <x:c r="A183" s="118" t="n">
        <x:v>178</x:v>
      </x:c>
      <x:c r="B183" s="35" t="str">
        <x:v>action</x:v>
      </x:c>
      <x:c r="C183" s="35" t="str">
        <x:v>sys_approach</x:v>
      </x:c>
      <x:c r="D183" s="35" t="str">
        <x:v>interrupt_profile</x:v>
      </x:c>
      <x:c r="E183" s="38" t="str">
        <x:v>string</x:v>
      </x:c>
      <x:c r="F183" s="56" t="str">
        <x:f>'Actions'!AF6</x:f>
        <x:v>Cancelable</x:v>
      </x:c>
      <x:c r="G183" s="38" t="str"/>
      <x:c r="H183" s="35" t="str">
        <x:v>Actions</x:v>
      </x:c>
      <x:c r="I183" s="35" t="str">
        <x:v>AF6</x:v>
      </x:c>
      <x:c r="J183" s="85" t="b">
        <x:v>1</x:v>
      </x:c>
      <x:c r="K183" s="85" t="b">
        <x:v>1</x:v>
      </x:c>
      <x:c r="L183" s="56" t="str">
        <x:f>'Actions'!BE6</x:f>
        <x:v>OK</x:v>
      </x:c>
      <x:c r="M183" s="44" t="str">
        <x:v>Источник Actions.Interrupt Profile</x:v>
      </x:c>
    </x:row>
    <x:row r="184" ht="36" customHeight="1">
      <x:c r="A184" s="118" t="n">
        <x:v>179</x:v>
      </x:c>
      <x:c r="B184" s="35" t="str">
        <x:v>action</x:v>
      </x:c>
      <x:c r="C184" s="35" t="str">
        <x:v>sys_approach</x:v>
      </x:c>
      <x:c r="D184" s="35" t="str">
        <x:v>blockable</x:v>
      </x:c>
      <x:c r="E184" s="38" t="str">
        <x:v>bool</x:v>
      </x:c>
      <x:c r="F184" s="56" t="b">
        <x:f>'Actions'!AG6</x:f>
        <x:v>0</x:v>
      </x:c>
      <x:c r="G184" s="38" t="str"/>
      <x:c r="H184" s="35" t="str">
        <x:v>Actions</x:v>
      </x:c>
      <x:c r="I184" s="35" t="str">
        <x:v>AG6</x:v>
      </x:c>
      <x:c r="J184" s="85" t="b">
        <x:v>1</x:v>
      </x:c>
      <x:c r="K184" s="85" t="b">
        <x:v>1</x:v>
      </x:c>
      <x:c r="L184" s="56" t="str">
        <x:f>'Actions'!BE6</x:f>
        <x:v>OK</x:v>
      </x:c>
      <x:c r="M184" s="44" t="str">
        <x:v>Источник Actions.Blockable</x:v>
      </x:c>
    </x:row>
    <x:row r="185" ht="36" customHeight="1">
      <x:c r="A185" s="118" t="n">
        <x:v>180</x:v>
      </x:c>
      <x:c r="B185" s="35" t="str">
        <x:v>action</x:v>
      </x:c>
      <x:c r="C185" s="35" t="str">
        <x:v>sys_approach</x:v>
      </x:c>
      <x:c r="D185" s="35" t="str">
        <x:v>dodgeable</x:v>
      </x:c>
      <x:c r="E185" s="38" t="str">
        <x:v>bool</x:v>
      </x:c>
      <x:c r="F185" s="56" t="b">
        <x:f>'Actions'!AH6</x:f>
        <x:v>0</x:v>
      </x:c>
      <x:c r="G185" s="38" t="str"/>
      <x:c r="H185" s="35" t="str">
        <x:v>Actions</x:v>
      </x:c>
      <x:c r="I185" s="35" t="str">
        <x:v>AH6</x:v>
      </x:c>
      <x:c r="J185" s="85" t="b">
        <x:v>1</x:v>
      </x:c>
      <x:c r="K185" s="85" t="b">
        <x:v>1</x:v>
      </x:c>
      <x:c r="L185" s="56" t="str">
        <x:f>'Actions'!BE6</x:f>
        <x:v>OK</x:v>
      </x:c>
      <x:c r="M185" s="44" t="str">
        <x:v>Источник Actions.Dodgeable</x:v>
      </x:c>
    </x:row>
    <x:row r="186" ht="36" customHeight="1">
      <x:c r="A186" s="118" t="n">
        <x:v>181</x:v>
      </x:c>
      <x:c r="B186" s="35" t="str">
        <x:v>action</x:v>
      </x:c>
      <x:c r="C186" s="35" t="str">
        <x:v>sys_approach</x:v>
      </x:c>
      <x:c r="D186" s="35" t="str">
        <x:v>undodgeable</x:v>
      </x:c>
      <x:c r="E186" s="38" t="str">
        <x:v>bool</x:v>
      </x:c>
      <x:c r="F186" s="56" t="b">
        <x:f>'Actions'!AI6</x:f>
        <x:v>0</x:v>
      </x:c>
      <x:c r="G186" s="38" t="str"/>
      <x:c r="H186" s="35" t="str">
        <x:v>Actions</x:v>
      </x:c>
      <x:c r="I186" s="35" t="str">
        <x:v>AI6</x:v>
      </x:c>
      <x:c r="J186" s="85" t="b">
        <x:v>1</x:v>
      </x:c>
      <x:c r="K186" s="85" t="b">
        <x:v>1</x:v>
      </x:c>
      <x:c r="L186" s="56" t="str">
        <x:f>'Actions'!BE6</x:f>
        <x:v>OK</x:v>
      </x:c>
      <x:c r="M186" s="44" t="str">
        <x:v>Источник Actions.Undodgeable</x:v>
      </x:c>
    </x:row>
    <x:row r="187" ht="36" customHeight="1">
      <x:c r="A187" s="118" t="n">
        <x:v>182</x:v>
      </x:c>
      <x:c r="B187" s="35" t="str">
        <x:v>action</x:v>
      </x:c>
      <x:c r="C187" s="35" t="str">
        <x:v>sys_approach</x:v>
      </x:c>
      <x:c r="D187" s="35" t="str">
        <x:v>wall_impact</x:v>
      </x:c>
      <x:c r="E187" s="38" t="str">
        <x:v>bool</x:v>
      </x:c>
      <x:c r="F187" s="56" t="b">
        <x:f>'Actions'!AJ6</x:f>
        <x:v>0</x:v>
      </x:c>
      <x:c r="G187" s="38" t="str"/>
      <x:c r="H187" s="35" t="str">
        <x:v>Actions</x:v>
      </x:c>
      <x:c r="I187" s="35" t="str">
        <x:v>AJ6</x:v>
      </x:c>
      <x:c r="J187" s="85" t="b">
        <x:v>1</x:v>
      </x:c>
      <x:c r="K187" s="85" t="b">
        <x:v>1</x:v>
      </x:c>
      <x:c r="L187" s="56" t="str">
        <x:f>'Actions'!BE6</x:f>
        <x:v>OK</x:v>
      </x:c>
      <x:c r="M187" s="44" t="str">
        <x:v>Источник Actions.Wall Impact</x:v>
      </x:c>
    </x:row>
    <x:row r="188" ht="36" customHeight="1">
      <x:c r="A188" s="118" t="n">
        <x:v>183</x:v>
      </x:c>
      <x:c r="B188" s="35" t="str">
        <x:v>action</x:v>
      </x:c>
      <x:c r="C188" s="35" t="str">
        <x:v>sys_approach</x:v>
      </x:c>
      <x:c r="D188" s="35" t="str">
        <x:v>track_target</x:v>
      </x:c>
      <x:c r="E188" s="38" t="str">
        <x:v>bool</x:v>
      </x:c>
      <x:c r="F188" s="56" t="b">
        <x:f>'Actions'!AK6</x:f>
        <x:v>1</x:v>
      </x:c>
      <x:c r="G188" s="38" t="str"/>
      <x:c r="H188" s="35" t="str">
        <x:v>Actions</x:v>
      </x:c>
      <x:c r="I188" s="35" t="str">
        <x:v>AK6</x:v>
      </x:c>
      <x:c r="J188" s="85" t="b">
        <x:v>1</x:v>
      </x:c>
      <x:c r="K188" s="85" t="b">
        <x:v>1</x:v>
      </x:c>
      <x:c r="L188" s="56" t="str">
        <x:f>'Actions'!BE6</x:f>
        <x:v>OK</x:v>
      </x:c>
      <x:c r="M188" s="44" t="str">
        <x:v>Источник Actions.Track Target</x:v>
      </x:c>
    </x:row>
    <x:row r="189" ht="36" customHeight="1">
      <x:c r="A189" s="118" t="n">
        <x:v>184</x:v>
      </x:c>
      <x:c r="B189" s="35" t="str">
        <x:v>action</x:v>
      </x:c>
      <x:c r="C189" s="35" t="str">
        <x:v>sys_approach</x:v>
      </x:c>
      <x:c r="D189" s="35" t="str">
        <x:v>block_base_chance_fp</x:v>
      </x:c>
      <x:c r="E189" s="38" t="str">
        <x:v>int</x:v>
      </x:c>
      <x:c r="F189" s="56" t="n">
        <x:f>'Actions'!AL6</x:f>
        <x:v>0</x:v>
      </x:c>
      <x:c r="G189" s="38" t="str"/>
      <x:c r="H189" s="35" t="str">
        <x:v>Actions</x:v>
      </x:c>
      <x:c r="I189" s="35" t="str">
        <x:v>AL6</x:v>
      </x:c>
      <x:c r="J189" s="85" t="b">
        <x:v>1</x:v>
      </x:c>
      <x:c r="K189" s="85" t="b">
        <x:v>1</x:v>
      </x:c>
      <x:c r="L189" s="56" t="str">
        <x:f>'Actions'!BE6</x:f>
        <x:v>OK</x:v>
      </x:c>
      <x:c r="M189" s="44" t="str">
        <x:v>Источник Actions.Block Base Chance FP</x:v>
      </x:c>
    </x:row>
    <x:row r="190" ht="36" customHeight="1">
      <x:c r="A190" s="118" t="n">
        <x:v>185</x:v>
      </x:c>
      <x:c r="B190" s="35" t="str">
        <x:v>action</x:v>
      </x:c>
      <x:c r="C190" s="35" t="str">
        <x:v>sys_approach</x:v>
      </x:c>
      <x:c r="D190" s="35" t="str">
        <x:v>block_reduction_fp</x:v>
      </x:c>
      <x:c r="E190" s="38" t="str">
        <x:v>int</x:v>
      </x:c>
      <x:c r="F190" s="56" t="n">
        <x:f>'Actions'!AM6</x:f>
        <x:v>0</x:v>
      </x:c>
      <x:c r="G190" s="38" t="str"/>
      <x:c r="H190" s="35" t="str">
        <x:v>Actions</x:v>
      </x:c>
      <x:c r="I190" s="35" t="str">
        <x:v>AM6</x:v>
      </x:c>
      <x:c r="J190" s="85" t="b">
        <x:v>1</x:v>
      </x:c>
      <x:c r="K190" s="85" t="b">
        <x:v>1</x:v>
      </x:c>
      <x:c r="L190" s="56" t="str">
        <x:f>'Actions'!BE6</x:f>
        <x:v>OK</x:v>
      </x:c>
      <x:c r="M190" s="44" t="str">
        <x:v>Источник Actions.Block Reduction FP</x:v>
      </x:c>
    </x:row>
    <x:row r="191" ht="36" customHeight="1">
      <x:c r="A191" s="118" t="n">
        <x:v>186</x:v>
      </x:c>
      <x:c r="B191" s="35" t="str">
        <x:v>action</x:v>
      </x:c>
      <x:c r="C191" s="35" t="str">
        <x:v>sys_approach</x:v>
      </x:c>
      <x:c r="D191" s="35" t="str">
        <x:v>dodge_base_chance_fp</x:v>
      </x:c>
      <x:c r="E191" s="38" t="str">
        <x:v>int</x:v>
      </x:c>
      <x:c r="F191" s="56" t="n">
        <x:f>'Actions'!AN6</x:f>
        <x:v>0</x:v>
      </x:c>
      <x:c r="G191" s="38" t="str"/>
      <x:c r="H191" s="35" t="str">
        <x:v>Actions</x:v>
      </x:c>
      <x:c r="I191" s="35" t="str">
        <x:v>AN6</x:v>
      </x:c>
      <x:c r="J191" s="85" t="b">
        <x:v>1</x:v>
      </x:c>
      <x:c r="K191" s="85" t="b">
        <x:v>1</x:v>
      </x:c>
      <x:c r="L191" s="56" t="str">
        <x:f>'Actions'!BE6</x:f>
        <x:v>OK</x:v>
      </x:c>
      <x:c r="M191" s="44" t="str">
        <x:v>Источник Actions.Dodge Base Chance FP</x:v>
      </x:c>
    </x:row>
    <x:row r="192" ht="36" customHeight="1">
      <x:c r="A192" s="118" t="n">
        <x:v>187</x:v>
      </x:c>
      <x:c r="B192" s="35" t="str">
        <x:v>action</x:v>
      </x:c>
      <x:c r="C192" s="35" t="str">
        <x:v>sys_approach</x:v>
      </x:c>
      <x:c r="D192" s="35" t="str">
        <x:v>movement_mode</x:v>
      </x:c>
      <x:c r="E192" s="38" t="str">
        <x:v>string</x:v>
      </x:c>
      <x:c r="F192" s="56" t="str">
        <x:f>'Actions'!AO6</x:f>
        <x:v>Approach</x:v>
      </x:c>
      <x:c r="G192" s="38" t="str"/>
      <x:c r="H192" s="35" t="str">
        <x:v>Actions</x:v>
      </x:c>
      <x:c r="I192" s="35" t="str">
        <x:v>AO6</x:v>
      </x:c>
      <x:c r="J192" s="85" t="b">
        <x:v>1</x:v>
      </x:c>
      <x:c r="K192" s="85" t="b">
        <x:v>1</x:v>
      </x:c>
      <x:c r="L192" s="56" t="str">
        <x:f>'Actions'!BE6</x:f>
        <x:v>OK</x:v>
      </x:c>
      <x:c r="M192" s="44" t="str">
        <x:v>Источник Actions.Movement Mode</x:v>
      </x:c>
    </x:row>
    <x:row r="193" ht="36" customHeight="1">
      <x:c r="A193" s="118" t="n">
        <x:v>188</x:v>
      </x:c>
      <x:c r="B193" s="35" t="str">
        <x:v>action</x:v>
      </x:c>
      <x:c r="C193" s="35" t="str">
        <x:v>sys_approach</x:v>
      </x:c>
      <x:c r="D193" s="35" t="str">
        <x:v>move_distance</x:v>
      </x:c>
      <x:c r="E193" s="38" t="str">
        <x:v>int</x:v>
      </x:c>
      <x:c r="F193" s="56" t="n">
        <x:f>'Actions'!AP6</x:f>
        <x:v>0</x:v>
      </x:c>
      <x:c r="G193" s="38" t="str"/>
      <x:c r="H193" s="35" t="str">
        <x:v>Actions</x:v>
      </x:c>
      <x:c r="I193" s="35" t="str">
        <x:v>AP6</x:v>
      </x:c>
      <x:c r="J193" s="85" t="b">
        <x:v>1</x:v>
      </x:c>
      <x:c r="K193" s="85" t="b">
        <x:v>1</x:v>
      </x:c>
      <x:c r="L193" s="56" t="str">
        <x:f>'Actions'!BE6</x:f>
        <x:v>OK</x:v>
      </x:c>
      <x:c r="M193" s="44" t="str">
        <x:v>Источник Actions.Move Distance</x:v>
      </x:c>
    </x:row>
    <x:row r="194" ht="36" customHeight="1">
      <x:c r="A194" s="118" t="n">
        <x:v>189</x:v>
      </x:c>
      <x:c r="B194" s="35" t="str">
        <x:v>action</x:v>
      </x:c>
      <x:c r="C194" s="35" t="str">
        <x:v>sys_approach</x:v>
      </x:c>
      <x:c r="D194" s="35" t="str">
        <x:v>base_stagger</x:v>
      </x:c>
      <x:c r="E194" s="38" t="str">
        <x:v>int</x:v>
      </x:c>
      <x:c r="F194" s="56" t="n">
        <x:f>'Actions'!AQ6</x:f>
        <x:v>0</x:v>
      </x:c>
      <x:c r="G194" s="38" t="str"/>
      <x:c r="H194" s="35" t="str">
        <x:v>Actions</x:v>
      </x:c>
      <x:c r="I194" s="35" t="str">
        <x:v>AQ6</x:v>
      </x:c>
      <x:c r="J194" s="85" t="b">
        <x:v>1</x:v>
      </x:c>
      <x:c r="K194" s="85" t="b">
        <x:v>1</x:v>
      </x:c>
      <x:c r="L194" s="56" t="str">
        <x:f>'Actions'!BE6</x:f>
        <x:v>OK</x:v>
      </x:c>
      <x:c r="M194" s="44" t="str">
        <x:v>Источник Actions.Base Stagger</x:v>
      </x:c>
    </x:row>
    <x:row r="195" ht="36" customHeight="1">
      <x:c r="A195" s="118" t="n">
        <x:v>190</x:v>
      </x:c>
      <x:c r="B195" s="35" t="str">
        <x:v>action</x:v>
      </x:c>
      <x:c r="C195" s="35" t="str">
        <x:v>sys_approach</x:v>
      </x:c>
      <x:c r="D195" s="35" t="str">
        <x:v>base_stun_ticks</x:v>
      </x:c>
      <x:c r="E195" s="38" t="str">
        <x:v>int</x:v>
      </x:c>
      <x:c r="F195" s="56" t="n">
        <x:f>'Actions'!AR6</x:f>
        <x:v>0</x:v>
      </x:c>
      <x:c r="G195" s="38" t="str"/>
      <x:c r="H195" s="35" t="str">
        <x:v>Actions</x:v>
      </x:c>
      <x:c r="I195" s="35" t="str">
        <x:v>AR6</x:v>
      </x:c>
      <x:c r="J195" s="85" t="b">
        <x:v>1</x:v>
      </x:c>
      <x:c r="K195" s="85" t="b">
        <x:v>1</x:v>
      </x:c>
      <x:c r="L195" s="56" t="str">
        <x:f>'Actions'!BE6</x:f>
        <x:v>OK</x:v>
      </x:c>
      <x:c r="M195" s="44" t="str">
        <x:v>Источник Actions.Base Stun Ticks</x:v>
      </x:c>
    </x:row>
    <x:row r="196" ht="36" customHeight="1">
      <x:c r="A196" s="118" t="n">
        <x:v>191</x:v>
      </x:c>
      <x:c r="B196" s="35" t="str">
        <x:v>action</x:v>
      </x:c>
      <x:c r="C196" s="35" t="str">
        <x:v>sys_approach</x:v>
      </x:c>
      <x:c r="D196" s="35" t="str">
        <x:v>base_knockback</x:v>
      </x:c>
      <x:c r="E196" s="38" t="str">
        <x:v>int</x:v>
      </x:c>
      <x:c r="F196" s="56" t="n">
        <x:f>'Actions'!AS6</x:f>
        <x:v>0</x:v>
      </x:c>
      <x:c r="G196" s="38" t="str"/>
      <x:c r="H196" s="35" t="str">
        <x:v>Actions</x:v>
      </x:c>
      <x:c r="I196" s="35" t="str">
        <x:v>AS6</x:v>
      </x:c>
      <x:c r="J196" s="85" t="b">
        <x:v>1</x:v>
      </x:c>
      <x:c r="K196" s="85" t="b">
        <x:v>1</x:v>
      </x:c>
      <x:c r="L196" s="56" t="str">
        <x:f>'Actions'!BE6</x:f>
        <x:v>OK</x:v>
      </x:c>
      <x:c r="M196" s="44" t="str">
        <x:v>Источник Actions.Base Knockback</x:v>
      </x:c>
    </x:row>
    <x:row r="197" ht="36" customHeight="1">
      <x:c r="A197" s="118" t="n">
        <x:v>192</x:v>
      </x:c>
      <x:c r="B197" s="35" t="str">
        <x:v>action</x:v>
      </x:c>
      <x:c r="C197" s="35" t="str">
        <x:v>sys_approach</x:v>
      </x:c>
      <x:c r="D197" s="35" t="str">
        <x:v>knockback_min</x:v>
      </x:c>
      <x:c r="E197" s="38" t="str">
        <x:v>int</x:v>
      </x:c>
      <x:c r="F197" s="56" t="n">
        <x:f>'Actions'!AT6</x:f>
        <x:v>0</x:v>
      </x:c>
      <x:c r="G197" s="38" t="str"/>
      <x:c r="H197" s="35" t="str">
        <x:v>Actions</x:v>
      </x:c>
      <x:c r="I197" s="35" t="str">
        <x:v>AT6</x:v>
      </x:c>
      <x:c r="J197" s="85" t="b">
        <x:v>1</x:v>
      </x:c>
      <x:c r="K197" s="85" t="b">
        <x:v>1</x:v>
      </x:c>
      <x:c r="L197" s="56" t="str">
        <x:f>'Actions'!BE6</x:f>
        <x:v>OK</x:v>
      </x:c>
      <x:c r="M197" s="44" t="str">
        <x:v>Источник Actions.Knockback Min</x:v>
      </x:c>
    </x:row>
    <x:row r="198" ht="36" customHeight="1">
      <x:c r="A198" s="118" t="n">
        <x:v>193</x:v>
      </x:c>
      <x:c r="B198" s="35" t="str">
        <x:v>action</x:v>
      </x:c>
      <x:c r="C198" s="35" t="str">
        <x:v>sys_approach</x:v>
      </x:c>
      <x:c r="D198" s="35" t="str">
        <x:v>knockback_max</x:v>
      </x:c>
      <x:c r="E198" s="38" t="str">
        <x:v>int</x:v>
      </x:c>
      <x:c r="F198" s="56" t="n">
        <x:f>'Actions'!AU6</x:f>
        <x:v>0</x:v>
      </x:c>
      <x:c r="G198" s="38" t="str"/>
      <x:c r="H198" s="35" t="str">
        <x:v>Actions</x:v>
      </x:c>
      <x:c r="I198" s="35" t="str">
        <x:v>AU6</x:v>
      </x:c>
      <x:c r="J198" s="85" t="b">
        <x:v>1</x:v>
      </x:c>
      <x:c r="K198" s="85" t="b">
        <x:v>1</x:v>
      </x:c>
      <x:c r="L198" s="56" t="str">
        <x:f>'Actions'!BE6</x:f>
        <x:v>OK</x:v>
      </x:c>
      <x:c r="M198" s="44" t="str">
        <x:v>Источник Actions.Knockback Max</x:v>
      </x:c>
    </x:row>
    <x:row r="199" ht="36" customHeight="1">
      <x:c r="A199" s="118" t="n">
        <x:v>194</x:v>
      </x:c>
      <x:c r="B199" s="35" t="str">
        <x:v>action</x:v>
      </x:c>
      <x:c r="C199" s="35" t="str">
        <x:v>sys_approach</x:v>
      </x:c>
      <x:c r="D199" s="35" t="str">
        <x:v>wall_damage_per_unit_fp</x:v>
      </x:c>
      <x:c r="E199" s="38" t="str">
        <x:v>int</x:v>
      </x:c>
      <x:c r="F199" s="56" t="n">
        <x:f>'Actions'!AV6</x:f>
        <x:v>0</x:v>
      </x:c>
      <x:c r="G199" s="38" t="str"/>
      <x:c r="H199" s="35" t="str">
        <x:v>Actions</x:v>
      </x:c>
      <x:c r="I199" s="35" t="str">
        <x:v>AV6</x:v>
      </x:c>
      <x:c r="J199" s="85" t="b">
        <x:v>1</x:v>
      </x:c>
      <x:c r="K199" s="85" t="b">
        <x:v>1</x:v>
      </x:c>
      <x:c r="L199" s="56" t="str">
        <x:f>'Actions'!BE6</x:f>
        <x:v>OK</x:v>
      </x:c>
      <x:c r="M199" s="44" t="str">
        <x:v>Источник Actions.Wall Damage / Unit FP</x:v>
      </x:c>
    </x:row>
    <x:row r="200" ht="36" customHeight="1">
      <x:c r="A200" s="118" t="n">
        <x:v>195</x:v>
      </x:c>
      <x:c r="B200" s="35" t="str">
        <x:v>action</x:v>
      </x:c>
      <x:c r="C200" s="35" t="str">
        <x:v>sys_approach</x:v>
      </x:c>
      <x:c r="D200" s="35" t="str">
        <x:v>wall_damage_min</x:v>
      </x:c>
      <x:c r="E200" s="38" t="str">
        <x:v>int</x:v>
      </x:c>
      <x:c r="F200" s="56" t="n">
        <x:f>'Actions'!AW6</x:f>
        <x:v>0</x:v>
      </x:c>
      <x:c r="G200" s="38" t="str"/>
      <x:c r="H200" s="35" t="str">
        <x:v>Actions</x:v>
      </x:c>
      <x:c r="I200" s="35" t="str">
        <x:v>AW6</x:v>
      </x:c>
      <x:c r="J200" s="85" t="b">
        <x:v>1</x:v>
      </x:c>
      <x:c r="K200" s="85" t="b">
        <x:v>1</x:v>
      </x:c>
      <x:c r="L200" s="56" t="str">
        <x:f>'Actions'!BE6</x:f>
        <x:v>OK</x:v>
      </x:c>
      <x:c r="M200" s="44" t="str">
        <x:v>Источник Actions.Wall Damage Min</x:v>
      </x:c>
    </x:row>
    <x:row r="201" ht="36" customHeight="1">
      <x:c r="A201" s="118" t="n">
        <x:v>196</x:v>
      </x:c>
      <x:c r="B201" s="35" t="str">
        <x:v>action</x:v>
      </x:c>
      <x:c r="C201" s="35" t="str">
        <x:v>sys_approach</x:v>
      </x:c>
      <x:c r="D201" s="35" t="str">
        <x:v>wall_damage_max</x:v>
      </x:c>
      <x:c r="E201" s="38" t="str">
        <x:v>int</x:v>
      </x:c>
      <x:c r="F201" s="56" t="n">
        <x:f>'Actions'!AX6</x:f>
        <x:v>0</x:v>
      </x:c>
      <x:c r="G201" s="38" t="str"/>
      <x:c r="H201" s="35" t="str">
        <x:v>Actions</x:v>
      </x:c>
      <x:c r="I201" s="35" t="str">
        <x:v>AX6</x:v>
      </x:c>
      <x:c r="J201" s="85" t="b">
        <x:v>1</x:v>
      </x:c>
      <x:c r="K201" s="85" t="b">
        <x:v>1</x:v>
      </x:c>
      <x:c r="L201" s="56" t="str">
        <x:f>'Actions'!BE6</x:f>
        <x:v>OK</x:v>
      </x:c>
      <x:c r="M201" s="44" t="str">
        <x:v>Источник Actions.Wall Damage Max</x:v>
      </x:c>
    </x:row>
    <x:row r="202" ht="36" customHeight="1">
      <x:c r="A202" s="118" t="n">
        <x:v>197</x:v>
      </x:c>
      <x:c r="B202" s="35" t="str">
        <x:v>action</x:v>
      </x:c>
      <x:c r="C202" s="35" t="str">
        <x:v>sys_approach</x:v>
      </x:c>
      <x:c r="D202" s="35" t="str">
        <x:v>max_consecutive_uses</x:v>
      </x:c>
      <x:c r="E202" s="38" t="str">
        <x:v>int</x:v>
      </x:c>
      <x:c r="F202" s="56" t="n">
        <x:f>'Actions'!AY6</x:f>
        <x:v>4</x:v>
      </x:c>
      <x:c r="G202" s="38" t="str"/>
      <x:c r="H202" s="35" t="str">
        <x:v>Actions</x:v>
      </x:c>
      <x:c r="I202" s="35" t="str">
        <x:v>AY6</x:v>
      </x:c>
      <x:c r="J202" s="85" t="b">
        <x:v>1</x:v>
      </x:c>
      <x:c r="K202" s="85" t="b">
        <x:v>1</x:v>
      </x:c>
      <x:c r="L202" s="56" t="str">
        <x:f>'Actions'!BE6</x:f>
        <x:v>OK</x:v>
      </x:c>
      <x:c r="M202" s="44" t="str">
        <x:v>Источник Actions.Max Consecutive Uses</x:v>
      </x:c>
    </x:row>
    <x:row r="203" ht="36" customHeight="1">
      <x:c r="A203" s="118" t="n">
        <x:v>198</x:v>
      </x:c>
      <x:c r="B203" s="35" t="str">
        <x:v>action</x:v>
      </x:c>
      <x:c r="C203" s="35" t="str">
        <x:v>sys_approach</x:v>
      </x:c>
      <x:c r="D203" s="35" t="str">
        <x:v>opportunity_cap_fp</x:v>
      </x:c>
      <x:c r="E203" s="38" t="str">
        <x:v>int</x:v>
      </x:c>
      <x:c r="F203" s="56" t="n">
        <x:f>'Actions'!AZ6</x:f>
        <x:v>1000</x:v>
      </x:c>
      <x:c r="G203" s="38" t="str"/>
      <x:c r="H203" s="35" t="str">
        <x:v>Actions</x:v>
      </x:c>
      <x:c r="I203" s="35" t="str">
        <x:v>AZ6</x:v>
      </x:c>
      <x:c r="J203" s="85" t="b">
        <x:v>1</x:v>
      </x:c>
      <x:c r="K203" s="85" t="b">
        <x:v>1</x:v>
      </x:c>
      <x:c r="L203" s="56" t="str">
        <x:f>'Actions'!BE6</x:f>
        <x:v>OK</x:v>
      </x:c>
      <x:c r="M203" s="44" t="str">
        <x:v>Источник Actions.Opportunity Cap FP</x:v>
      </x:c>
    </x:row>
    <x:row r="204" ht="36" customHeight="1">
      <x:c r="A204" s="118" t="n">
        <x:v>199</x:v>
      </x:c>
      <x:c r="B204" s="35" t="str">
        <x:v>action</x:v>
      </x:c>
      <x:c r="C204" s="35" t="str">
        <x:v>sys_approach</x:v>
      </x:c>
      <x:c r="D204" s="35" t="str">
        <x:v>hard_opportunity_misses</x:v>
      </x:c>
      <x:c r="E204" s="38" t="str">
        <x:v>int</x:v>
      </x:c>
      <x:c r="F204" s="56" t="n">
        <x:f>'Actions'!BA6</x:f>
        <x:v>0</x:v>
      </x:c>
      <x:c r="G204" s="38" t="str"/>
      <x:c r="H204" s="35" t="str">
        <x:v>Actions</x:v>
      </x:c>
      <x:c r="I204" s="35" t="str">
        <x:v>BA6</x:v>
      </x:c>
      <x:c r="J204" s="85" t="b">
        <x:v>1</x:v>
      </x:c>
      <x:c r="K204" s="85" t="b">
        <x:v>1</x:v>
      </x:c>
      <x:c r="L204" s="56" t="str">
        <x:f>'Actions'!BE6</x:f>
        <x:v>OK</x:v>
      </x:c>
      <x:c r="M204" s="44" t="str">
        <x:v>Источник Actions.Hard Opportunity Misses</x:v>
      </x:c>
    </x:row>
    <x:row r="205" ht="36" customHeight="1">
      <x:c r="A205" s="118" t="n">
        <x:v>200</x:v>
      </x:c>
      <x:c r="B205" s="35" t="str">
        <x:v>action</x:v>
      </x:c>
      <x:c r="C205" s="35" t="str">
        <x:v>sys_retreat</x:v>
      </x:c>
      <x:c r="D205" s="35" t="str">
        <x:v>action_id</x:v>
      </x:c>
      <x:c r="E205" s="38" t="str">
        <x:v>string</x:v>
      </x:c>
      <x:c r="F205" s="56" t="str">
        <x:f>'Actions'!A7</x:f>
        <x:v>sys_retreat</x:v>
      </x:c>
      <x:c r="G205" s="38" t="str"/>
      <x:c r="H205" s="35" t="str">
        <x:v>Actions</x:v>
      </x:c>
      <x:c r="I205" s="35" t="str">
        <x:v>A7</x:v>
      </x:c>
      <x:c r="J205" s="85" t="b">
        <x:v>1</x:v>
      </x:c>
      <x:c r="K205" s="85" t="b">
        <x:v>1</x:v>
      </x:c>
      <x:c r="L205" s="56" t="str">
        <x:f>'Actions'!BE7</x:f>
        <x:v>OK</x:v>
      </x:c>
      <x:c r="M205" s="44" t="str">
        <x:v>Источник Actions.Action ID</x:v>
      </x:c>
    </x:row>
    <x:row r="206" ht="36" customHeight="1">
      <x:c r="A206" s="118" t="n">
        <x:v>201</x:v>
      </x:c>
      <x:c r="B206" s="35" t="str">
        <x:v>action</x:v>
      </x:c>
      <x:c r="C206" s="35" t="str">
        <x:v>sys_retreat</x:v>
      </x:c>
      <x:c r="D206" s="35" t="str">
        <x:v>animal_id</x:v>
      </x:c>
      <x:c r="E206" s="38" t="str">
        <x:v>string</x:v>
      </x:c>
      <x:c r="F206" s="56" t="str">
        <x:f>'Actions'!B7</x:f>
        <x:v>all</x:v>
      </x:c>
      <x:c r="G206" s="38" t="str"/>
      <x:c r="H206" s="35" t="str">
        <x:v>Actions</x:v>
      </x:c>
      <x:c r="I206" s="35" t="str">
        <x:v>B7</x:v>
      </x:c>
      <x:c r="J206" s="85" t="b">
        <x:v>1</x:v>
      </x:c>
      <x:c r="K206" s="85" t="b">
        <x:v>1</x:v>
      </x:c>
      <x:c r="L206" s="56" t="str">
        <x:f>'Actions'!BE7</x:f>
        <x:v>OK</x:v>
      </x:c>
      <x:c r="M206" s="44" t="str">
        <x:v>Источник Actions.Animal ID</x:v>
      </x:c>
    </x:row>
    <x:row r="207" ht="36" customHeight="1">
      <x:c r="A207" s="118" t="n">
        <x:v>202</x:v>
      </x:c>
      <x:c r="B207" s="35" t="str">
        <x:v>action</x:v>
      </x:c>
      <x:c r="C207" s="35" t="str">
        <x:v>sys_retreat</x:v>
      </x:c>
      <x:c r="D207" s="35" t="str">
        <x:v>slot_type</x:v>
      </x:c>
      <x:c r="E207" s="38" t="str">
        <x:v>string</x:v>
      </x:c>
      <x:c r="F207" s="56" t="str">
        <x:f>'Actions'!D7</x:f>
        <x:v>System</x:v>
      </x:c>
      <x:c r="G207" s="38" t="str"/>
      <x:c r="H207" s="35" t="str">
        <x:v>Actions</x:v>
      </x:c>
      <x:c r="I207" s="35" t="str">
        <x:v>D7</x:v>
      </x:c>
      <x:c r="J207" s="85" t="b">
        <x:v>1</x:v>
      </x:c>
      <x:c r="K207" s="85" t="b">
        <x:v>1</x:v>
      </x:c>
      <x:c r="L207" s="56" t="str">
        <x:f>'Actions'!BE7</x:f>
        <x:v>OK</x:v>
      </x:c>
      <x:c r="M207" s="44" t="str">
        <x:v>Источник Actions.Slot Type</x:v>
      </x:c>
    </x:row>
    <x:row r="208" ht="36" customHeight="1">
      <x:c r="A208" s="118" t="n">
        <x:v>203</x:v>
      </x:c>
      <x:c r="B208" s="35" t="str">
        <x:v>action</x:v>
      </x:c>
      <x:c r="C208" s="35" t="str">
        <x:v>sys_retreat</x:v>
      </x:c>
      <x:c r="D208" s="35" t="str">
        <x:v>category</x:v>
      </x:c>
      <x:c r="E208" s="38" t="str">
        <x:v>string</x:v>
      </x:c>
      <x:c r="F208" s="56" t="str">
        <x:f>'Actions'!E7</x:f>
        <x:v>Movement</x:v>
      </x:c>
      <x:c r="G208" s="38" t="str"/>
      <x:c r="H208" s="35" t="str">
        <x:v>Actions</x:v>
      </x:c>
      <x:c r="I208" s="35" t="str">
        <x:v>E7</x:v>
      </x:c>
      <x:c r="J208" s="85" t="b">
        <x:v>1</x:v>
      </x:c>
      <x:c r="K208" s="85" t="b">
        <x:v>1</x:v>
      </x:c>
      <x:c r="L208" s="56" t="str">
        <x:f>'Actions'!BE7</x:f>
        <x:v>OK</x:v>
      </x:c>
      <x:c r="M208" s="44" t="str">
        <x:v>Источник Actions.Category</x:v>
      </x:c>
    </x:row>
    <x:row r="209" ht="36" customHeight="1">
      <x:c r="A209" s="118" t="n">
        <x:v>204</x:v>
      </x:c>
      <x:c r="B209" s="35" t="str">
        <x:v>action</x:v>
      </x:c>
      <x:c r="C209" s="35" t="str">
        <x:v>sys_retreat</x:v>
      </x:c>
      <x:c r="D209" s="35" t="str">
        <x:v>tags</x:v>
      </x:c>
      <x:c r="E209" s="38" t="str">
        <x:v>string</x:v>
      </x:c>
      <x:c r="F209" s="56" t="str">
        <x:f>'Actions'!F7</x:f>
        <x:v>system|movement|retreat</x:v>
      </x:c>
      <x:c r="G209" s="38" t="str"/>
      <x:c r="H209" s="35" t="str">
        <x:v>Actions</x:v>
      </x:c>
      <x:c r="I209" s="35" t="str">
        <x:v>F7</x:v>
      </x:c>
      <x:c r="J209" s="85" t="b">
        <x:v>1</x:v>
      </x:c>
      <x:c r="K209" s="85" t="b">
        <x:v>1</x:v>
      </x:c>
      <x:c r="L209" s="56" t="str">
        <x:f>'Actions'!BE7</x:f>
        <x:v>OK</x:v>
      </x:c>
      <x:c r="M209" s="44" t="str">
        <x:v>Источник Actions.Tags</x:v>
      </x:c>
    </x:row>
    <x:row r="210" ht="36" customHeight="1">
      <x:c r="A210" s="118" t="n">
        <x:v>205</x:v>
      </x:c>
      <x:c r="B210" s="35" t="str">
        <x:v>action</x:v>
      </x:c>
      <x:c r="C210" s="35" t="str">
        <x:v>sys_retreat</x:v>
      </x:c>
      <x:c r="D210" s="35" t="str">
        <x:v>base_weight</x:v>
      </x:c>
      <x:c r="E210" s="38" t="str">
        <x:v>int</x:v>
      </x:c>
      <x:c r="F210" s="56" t="n">
        <x:f>'Actions'!G7</x:f>
        <x:v>450</x:v>
      </x:c>
      <x:c r="G210" s="38" t="str"/>
      <x:c r="H210" s="35" t="str">
        <x:v>Actions</x:v>
      </x:c>
      <x:c r="I210" s="35" t="str">
        <x:v>G7</x:v>
      </x:c>
      <x:c r="J210" s="85" t="b">
        <x:v>1</x:v>
      </x:c>
      <x:c r="K210" s="85" t="b">
        <x:v>1</x:v>
      </x:c>
      <x:c r="L210" s="56" t="str">
        <x:f>'Actions'!BE7</x:f>
        <x:v>OK</x:v>
      </x:c>
      <x:c r="M210" s="44" t="str">
        <x:v>Источник Actions.Base Weight</x:v>
      </x:c>
    </x:row>
    <x:row r="211" ht="36" customHeight="1">
      <x:c r="A211" s="118" t="n">
        <x:v>206</x:v>
      </x:c>
      <x:c r="B211" s="35" t="str">
        <x:v>action</x:v>
      </x:c>
      <x:c r="C211" s="35" t="str">
        <x:v>sys_retreat</x:v>
      </x:c>
      <x:c r="D211" s="35" t="str">
        <x:v>preferred_range_min</x:v>
      </x:c>
      <x:c r="E211" s="38" t="str">
        <x:v>int</x:v>
      </x:c>
      <x:c r="F211" s="56" t="n">
        <x:f>'Actions'!H7</x:f>
        <x:v>1600</x:v>
      </x:c>
      <x:c r="G211" s="38" t="str"/>
      <x:c r="H211" s="35" t="str">
        <x:v>Actions</x:v>
      </x:c>
      <x:c r="I211" s="35" t="str">
        <x:v>H7</x:v>
      </x:c>
      <x:c r="J211" s="85" t="b">
        <x:v>1</x:v>
      </x:c>
      <x:c r="K211" s="85" t="b">
        <x:v>1</x:v>
      </x:c>
      <x:c r="L211" s="56" t="str">
        <x:f>'Actions'!BE7</x:f>
        <x:v>OK</x:v>
      </x:c>
      <x:c r="M211" s="44" t="str">
        <x:v>Источник Actions.Preferred Range Min</x:v>
      </x:c>
    </x:row>
    <x:row r="212" ht="36" customHeight="1">
      <x:c r="A212" s="118" t="n">
        <x:v>207</x:v>
      </x:c>
      <x:c r="B212" s="35" t="str">
        <x:v>action</x:v>
      </x:c>
      <x:c r="C212" s="35" t="str">
        <x:v>sys_retreat</x:v>
      </x:c>
      <x:c r="D212" s="35" t="str">
        <x:v>preferred_range_max</x:v>
      </x:c>
      <x:c r="E212" s="38" t="str">
        <x:v>int</x:v>
      </x:c>
      <x:c r="F212" s="56" t="n">
        <x:f>'Actions'!I7</x:f>
        <x:v>3000</x:v>
      </x:c>
      <x:c r="G212" s="38" t="str"/>
      <x:c r="H212" s="35" t="str">
        <x:v>Actions</x:v>
      </x:c>
      <x:c r="I212" s="35" t="str">
        <x:v>I7</x:v>
      </x:c>
      <x:c r="J212" s="85" t="b">
        <x:v>1</x:v>
      </x:c>
      <x:c r="K212" s="85" t="b">
        <x:v>1</x:v>
      </x:c>
      <x:c r="L212" s="56" t="str">
        <x:f>'Actions'!BE7</x:f>
        <x:v>OK</x:v>
      </x:c>
      <x:c r="M212" s="44" t="str">
        <x:v>Источник Actions.Preferred Range Max</x:v>
      </x:c>
    </x:row>
    <x:row r="213" ht="36" customHeight="1">
      <x:c r="A213" s="118" t="n">
        <x:v>208</x:v>
      </x:c>
      <x:c r="B213" s="35" t="str">
        <x:v>action</x:v>
      </x:c>
      <x:c r="C213" s="35" t="str">
        <x:v>sys_retreat</x:v>
      </x:c>
      <x:c r="D213" s="35" t="str">
        <x:v>hit_range_min</x:v>
      </x:c>
      <x:c r="E213" s="38" t="str">
        <x:v>int</x:v>
      </x:c>
      <x:c r="F213" s="56" t="n">
        <x:f>'Actions'!J7</x:f>
        <x:v>0</x:v>
      </x:c>
      <x:c r="G213" s="38" t="str"/>
      <x:c r="H213" s="35" t="str">
        <x:v>Actions</x:v>
      </x:c>
      <x:c r="I213" s="35" t="str">
        <x:v>J7</x:v>
      </x:c>
      <x:c r="J213" s="85" t="b">
        <x:v>1</x:v>
      </x:c>
      <x:c r="K213" s="85" t="b">
        <x:v>1</x:v>
      </x:c>
      <x:c r="L213" s="56" t="str">
        <x:f>'Actions'!BE7</x:f>
        <x:v>OK</x:v>
      </x:c>
      <x:c r="M213" s="44" t="str">
        <x:v>Источник Actions.Hit Range Min</x:v>
      </x:c>
    </x:row>
    <x:row r="214" ht="36" customHeight="1">
      <x:c r="A214" s="118" t="n">
        <x:v>209</x:v>
      </x:c>
      <x:c r="B214" s="35" t="str">
        <x:v>action</x:v>
      </x:c>
      <x:c r="C214" s="35" t="str">
        <x:v>sys_retreat</x:v>
      </x:c>
      <x:c r="D214" s="35" t="str">
        <x:v>hit_range_max</x:v>
      </x:c>
      <x:c r="E214" s="38" t="str">
        <x:v>int</x:v>
      </x:c>
      <x:c r="F214" s="56" t="n">
        <x:f>'Actions'!K7</x:f>
        <x:v>0</x:v>
      </x:c>
      <x:c r="G214" s="38" t="str"/>
      <x:c r="H214" s="35" t="str">
        <x:v>Actions</x:v>
      </x:c>
      <x:c r="I214" s="35" t="str">
        <x:v>K7</x:v>
      </x:c>
      <x:c r="J214" s="85" t="b">
        <x:v>1</x:v>
      </x:c>
      <x:c r="K214" s="85" t="b">
        <x:v>1</x:v>
      </x:c>
      <x:c r="L214" s="56" t="str">
        <x:f>'Actions'!BE7</x:f>
        <x:v>OK</x:v>
      </x:c>
      <x:c r="M214" s="44" t="str">
        <x:v>Источник Actions.Hit Range Max</x:v>
      </x:c>
    </x:row>
    <x:row r="215" ht="36" customHeight="1">
      <x:c r="A215" s="118" t="n">
        <x:v>210</x:v>
      </x:c>
      <x:c r="B215" s="35" t="str">
        <x:v>action</x:v>
      </x:c>
      <x:c r="C215" s="35" t="str">
        <x:v>sys_retreat</x:v>
      </x:c>
      <x:c r="D215" s="35" t="str">
        <x:v>energy_cost</x:v>
      </x:c>
      <x:c r="E215" s="38" t="str">
        <x:v>int</x:v>
      </x:c>
      <x:c r="F215" s="56" t="n">
        <x:f>'Actions'!L7</x:f>
        <x:v>0</x:v>
      </x:c>
      <x:c r="G215" s="38" t="str"/>
      <x:c r="H215" s="35" t="str">
        <x:v>Actions</x:v>
      </x:c>
      <x:c r="I215" s="35" t="str">
        <x:v>L7</x:v>
      </x:c>
      <x:c r="J215" s="85" t="b">
        <x:v>1</x:v>
      </x:c>
      <x:c r="K215" s="85" t="b">
        <x:v>1</x:v>
      </x:c>
      <x:c r="L215" s="56" t="str">
        <x:f>'Actions'!BE7</x:f>
        <x:v>OK</x:v>
      </x:c>
      <x:c r="M215" s="44" t="str">
        <x:v>Источник Actions.Energy Cost</x:v>
      </x:c>
    </x:row>
    <x:row r="216" ht="36" customHeight="1">
      <x:c r="A216" s="118" t="n">
        <x:v>211</x:v>
      </x:c>
      <x:c r="B216" s="35" t="str">
        <x:v>action</x:v>
      </x:c>
      <x:c r="C216" s="35" t="str">
        <x:v>sys_retreat</x:v>
      </x:c>
      <x:c r="D216" s="35" t="str">
        <x:v>resource_cost</x:v>
      </x:c>
      <x:c r="E216" s="38" t="str">
        <x:v>int</x:v>
      </x:c>
      <x:c r="F216" s="56" t="n">
        <x:f>'Actions'!M7</x:f>
        <x:v>0</x:v>
      </x:c>
      <x:c r="G216" s="38" t="str"/>
      <x:c r="H216" s="35" t="str">
        <x:v>Actions</x:v>
      </x:c>
      <x:c r="I216" s="35" t="str">
        <x:v>M7</x:v>
      </x:c>
      <x:c r="J216" s="85" t="b">
        <x:v>1</x:v>
      </x:c>
      <x:c r="K216" s="85" t="b">
        <x:v>1</x:v>
      </x:c>
      <x:c r="L216" s="56" t="str">
        <x:f>'Actions'!BE7</x:f>
        <x:v>OK</x:v>
      </x:c>
      <x:c r="M216" s="44" t="str">
        <x:v>Источник Actions.Resource Cost</x:v>
      </x:c>
    </x:row>
    <x:row r="217" ht="36" customHeight="1">
      <x:c r="A217" s="118" t="n">
        <x:v>212</x:v>
      </x:c>
      <x:c r="B217" s="35" t="str">
        <x:v>action</x:v>
      </x:c>
      <x:c r="C217" s="35" t="str">
        <x:v>sys_retreat</x:v>
      </x:c>
      <x:c r="D217" s="35" t="str">
        <x:v>base_damage</x:v>
      </x:c>
      <x:c r="E217" s="38" t="str">
        <x:v>int</x:v>
      </x:c>
      <x:c r="F217" s="56" t="n">
        <x:f>'Actions'!N7</x:f>
        <x:v>0</x:v>
      </x:c>
      <x:c r="G217" s="38" t="str"/>
      <x:c r="H217" s="35" t="str">
        <x:v>Actions</x:v>
      </x:c>
      <x:c r="I217" s="35" t="str">
        <x:v>N7</x:v>
      </x:c>
      <x:c r="J217" s="85" t="b">
        <x:v>1</x:v>
      </x:c>
      <x:c r="K217" s="85" t="b">
        <x:v>1</x:v>
      </x:c>
      <x:c r="L217" s="56" t="str">
        <x:f>'Actions'!BE7</x:f>
        <x:v>OK</x:v>
      </x:c>
      <x:c r="M217" s="44" t="str">
        <x:v>Источник Actions.Base Damage / hit</x:v>
      </x:c>
    </x:row>
    <x:row r="218" ht="36" customHeight="1">
      <x:c r="A218" s="118" t="n">
        <x:v>213</x:v>
      </x:c>
      <x:c r="B218" s="35" t="str">
        <x:v>action</x:v>
      </x:c>
      <x:c r="C218" s="35" t="str">
        <x:v>sys_retreat</x:v>
      </x:c>
      <x:c r="D218" s="35" t="str">
        <x:v>power_ratio_fp</x:v>
      </x:c>
      <x:c r="E218" s="38" t="str">
        <x:v>int</x:v>
      </x:c>
      <x:c r="F218" s="56" t="n">
        <x:f>'Actions'!O7</x:f>
        <x:v>0</x:v>
      </x:c>
      <x:c r="G218" s="38" t="str"/>
      <x:c r="H218" s="35" t="str">
        <x:v>Actions</x:v>
      </x:c>
      <x:c r="I218" s="35" t="str">
        <x:v>O7</x:v>
      </x:c>
      <x:c r="J218" s="85" t="b">
        <x:v>1</x:v>
      </x:c>
      <x:c r="K218" s="85" t="b">
        <x:v>1</x:v>
      </x:c>
      <x:c r="L218" s="56" t="str">
        <x:f>'Actions'!BE7</x:f>
        <x:v>OK</x:v>
      </x:c>
      <x:c r="M218" s="44" t="str">
        <x:v>Источник Actions.Power Ratio FP</x:v>
      </x:c>
    </x:row>
    <x:row r="219" ht="36" customHeight="1">
      <x:c r="A219" s="118" t="n">
        <x:v>214</x:v>
      </x:c>
      <x:c r="B219" s="35" t="str">
        <x:v>action</x:v>
      </x:c>
      <x:c r="C219" s="35" t="str">
        <x:v>sys_retreat</x:v>
      </x:c>
      <x:c r="D219" s="35" t="str">
        <x:v>min_damage</x:v>
      </x:c>
      <x:c r="E219" s="38" t="str">
        <x:v>int</x:v>
      </x:c>
      <x:c r="F219" s="56" t="n">
        <x:f>'Actions'!P7</x:f>
        <x:v>0</x:v>
      </x:c>
      <x:c r="G219" s="38" t="str"/>
      <x:c r="H219" s="35" t="str">
        <x:v>Actions</x:v>
      </x:c>
      <x:c r="I219" s="35" t="str">
        <x:v>P7</x:v>
      </x:c>
      <x:c r="J219" s="85" t="b">
        <x:v>1</x:v>
      </x:c>
      <x:c r="K219" s="85" t="b">
        <x:v>1</x:v>
      </x:c>
      <x:c r="L219" s="56" t="str">
        <x:f>'Actions'!BE7</x:f>
        <x:v>OK</x:v>
      </x:c>
      <x:c r="M219" s="44" t="str">
        <x:v>Источник Actions.Min Damage</x:v>
      </x:c>
    </x:row>
    <x:row r="220" ht="36" customHeight="1">
      <x:c r="A220" s="118" t="n">
        <x:v>215</x:v>
      </x:c>
      <x:c r="B220" s="35" t="str">
        <x:v>action</x:v>
      </x:c>
      <x:c r="C220" s="35" t="str">
        <x:v>sys_retreat</x:v>
      </x:c>
      <x:c r="D220" s="35" t="str">
        <x:v>chip_min</x:v>
      </x:c>
      <x:c r="E220" s="38" t="str">
        <x:v>int</x:v>
      </x:c>
      <x:c r="F220" s="56" t="n">
        <x:f>'Actions'!Q7</x:f>
        <x:v>0</x:v>
      </x:c>
      <x:c r="G220" s="38" t="str"/>
      <x:c r="H220" s="35" t="str">
        <x:v>Actions</x:v>
      </x:c>
      <x:c r="I220" s="35" t="str">
        <x:v>Q7</x:v>
      </x:c>
      <x:c r="J220" s="85" t="b">
        <x:v>1</x:v>
      </x:c>
      <x:c r="K220" s="85" t="b">
        <x:v>1</x:v>
      </x:c>
      <x:c r="L220" s="56" t="str">
        <x:f>'Actions'!BE7</x:f>
        <x:v>OK</x:v>
      </x:c>
      <x:c r="M220" s="44" t="str">
        <x:v>Источник Actions.Chip Min</x:v>
      </x:c>
    </x:row>
    <x:row r="221" ht="36" customHeight="1">
      <x:c r="A221" s="118" t="n">
        <x:v>216</x:v>
      </x:c>
      <x:c r="B221" s="35" t="str">
        <x:v>action</x:v>
      </x:c>
      <x:c r="C221" s="35" t="str">
        <x:v>sys_retreat</x:v>
      </x:c>
      <x:c r="D221" s="35" t="str">
        <x:v>startup_base_ticks</x:v>
      </x:c>
      <x:c r="E221" s="38" t="str">
        <x:v>int</x:v>
      </x:c>
      <x:c r="F221" s="56" t="n">
        <x:f>'Actions'!R7</x:f>
        <x:v>1</x:v>
      </x:c>
      <x:c r="G221" s="38" t="str"/>
      <x:c r="H221" s="35" t="str">
        <x:v>Actions</x:v>
      </x:c>
      <x:c r="I221" s="35" t="str">
        <x:v>R7</x:v>
      </x:c>
      <x:c r="J221" s="85" t="b">
        <x:v>1</x:v>
      </x:c>
      <x:c r="K221" s="85" t="b">
        <x:v>1</x:v>
      </x:c>
      <x:c r="L221" s="56" t="str">
        <x:f>'Actions'!BE7</x:f>
        <x:v>OK</x:v>
      </x:c>
      <x:c r="M221" s="44" t="str">
        <x:v>Источник Actions.Startup Base Ticks</x:v>
      </x:c>
    </x:row>
    <x:row r="222" ht="36" customHeight="1">
      <x:c r="A222" s="118" t="n">
        <x:v>217</x:v>
      </x:c>
      <x:c r="B222" s="35" t="str">
        <x:v>action</x:v>
      </x:c>
      <x:c r="C222" s="35" t="str">
        <x:v>sys_retreat</x:v>
      </x:c>
      <x:c r="D222" s="35" t="str">
        <x:v>startup_min_ticks</x:v>
      </x:c>
      <x:c r="E222" s="38" t="str">
        <x:v>int</x:v>
      </x:c>
      <x:c r="F222" s="56" t="n">
        <x:f>'Actions'!S7</x:f>
        <x:v>1</x:v>
      </x:c>
      <x:c r="G222" s="38" t="str"/>
      <x:c r="H222" s="35" t="str">
        <x:v>Actions</x:v>
      </x:c>
      <x:c r="I222" s="35" t="str">
        <x:v>S7</x:v>
      </x:c>
      <x:c r="J222" s="85" t="b">
        <x:v>1</x:v>
      </x:c>
      <x:c r="K222" s="85" t="b">
        <x:v>1</x:v>
      </x:c>
      <x:c r="L222" s="56" t="str">
        <x:f>'Actions'!BE7</x:f>
        <x:v>OK</x:v>
      </x:c>
      <x:c r="M222" s="44" t="str">
        <x:v>Источник Actions.Startup Min Ticks</x:v>
      </x:c>
    </x:row>
    <x:row r="223" ht="36" customHeight="1">
      <x:c r="A223" s="118" t="n">
        <x:v>218</x:v>
      </x:c>
      <x:c r="B223" s="35" t="str">
        <x:v>action</x:v>
      </x:c>
      <x:c r="C223" s="35" t="str">
        <x:v>sys_retreat</x:v>
      </x:c>
      <x:c r="D223" s="35" t="str">
        <x:v>startup_max_ticks</x:v>
      </x:c>
      <x:c r="E223" s="38" t="str">
        <x:v>int</x:v>
      </x:c>
      <x:c r="F223" s="56" t="n">
        <x:f>'Actions'!T7</x:f>
        <x:v>1</x:v>
      </x:c>
      <x:c r="G223" s="38" t="str"/>
      <x:c r="H223" s="35" t="str">
        <x:v>Actions</x:v>
      </x:c>
      <x:c r="I223" s="35" t="str">
        <x:v>T7</x:v>
      </x:c>
      <x:c r="J223" s="85" t="b">
        <x:v>1</x:v>
      </x:c>
      <x:c r="K223" s="85" t="b">
        <x:v>1</x:v>
      </x:c>
      <x:c r="L223" s="56" t="str">
        <x:f>'Actions'!BE7</x:f>
        <x:v>OK</x:v>
      </x:c>
      <x:c r="M223" s="44" t="str">
        <x:v>Источник Actions.Startup Max Ticks</x:v>
      </x:c>
    </x:row>
    <x:row r="224" ht="36" customHeight="1">
      <x:c r="A224" s="118" t="n">
        <x:v>219</x:v>
      </x:c>
      <x:c r="B224" s="35" t="str">
        <x:v>action</x:v>
      </x:c>
      <x:c r="C224" s="35" t="str">
        <x:v>sys_retreat</x:v>
      </x:c>
      <x:c r="D224" s="35" t="str">
        <x:v>active_ticks</x:v>
      </x:c>
      <x:c r="E224" s="38" t="str">
        <x:v>int</x:v>
      </x:c>
      <x:c r="F224" s="56" t="n">
        <x:f>'Actions'!U7</x:f>
        <x:v>5</x:v>
      </x:c>
      <x:c r="G224" s="38" t="str"/>
      <x:c r="H224" s="35" t="str">
        <x:v>Actions</x:v>
      </x:c>
      <x:c r="I224" s="35" t="str">
        <x:v>U7</x:v>
      </x:c>
      <x:c r="J224" s="85" t="b">
        <x:v>1</x:v>
      </x:c>
      <x:c r="K224" s="85" t="b">
        <x:v>1</x:v>
      </x:c>
      <x:c r="L224" s="56" t="str">
        <x:f>'Actions'!BE7</x:f>
        <x:v>OK</x:v>
      </x:c>
      <x:c r="M224" s="44" t="str">
        <x:v>Источник Actions.Active Ticks</x:v>
      </x:c>
    </x:row>
    <x:row r="225" ht="36" customHeight="1">
      <x:c r="A225" s="118" t="n">
        <x:v>220</x:v>
      </x:c>
      <x:c r="B225" s="35" t="str">
        <x:v>action</x:v>
      </x:c>
      <x:c r="C225" s="35" t="str">
        <x:v>sys_retreat</x:v>
      </x:c>
      <x:c r="D225" s="35" t="str">
        <x:v>hit_schedule</x:v>
      </x:c>
      <x:c r="E225" s="38" t="str">
        <x:v>string</x:v>
      </x:c>
      <x:c r="F225" s="56" t="str">
        <x:f>'Actions'!V7</x:f>
      </x:c>
      <x:c r="G225" s="38" t="str"/>
      <x:c r="H225" s="35" t="str">
        <x:v>Actions</x:v>
      </x:c>
      <x:c r="I225" s="35" t="str">
        <x:v>V7</x:v>
      </x:c>
      <x:c r="J225" s="85" t="b">
        <x:v>1</x:v>
      </x:c>
      <x:c r="K225" s="85" t="b">
        <x:v>1</x:v>
      </x:c>
      <x:c r="L225" s="56" t="str">
        <x:f>'Actions'!BE7</x:f>
        <x:v>OK</x:v>
      </x:c>
      <x:c r="M225" s="44" t="str">
        <x:v>Источник Actions.Hit Schedule</x:v>
      </x:c>
    </x:row>
    <x:row r="226" ht="36" customHeight="1">
      <x:c r="A226" s="118" t="n">
        <x:v>221</x:v>
      </x:c>
      <x:c r="B226" s="35" t="str">
        <x:v>action</x:v>
      </x:c>
      <x:c r="C226" s="35" t="str">
        <x:v>sys_retreat</x:v>
      </x:c>
      <x:c r="D226" s="35" t="str">
        <x:v>hit_count</x:v>
      </x:c>
      <x:c r="E226" s="38" t="str">
        <x:v>int</x:v>
      </x:c>
      <x:c r="F226" s="56" t="n">
        <x:f>'Actions'!W7</x:f>
        <x:v>0</x:v>
      </x:c>
      <x:c r="G226" s="38" t="str"/>
      <x:c r="H226" s="35" t="str">
        <x:v>Actions</x:v>
      </x:c>
      <x:c r="I226" s="35" t="str">
        <x:v>W7</x:v>
      </x:c>
      <x:c r="J226" s="85" t="b">
        <x:v>1</x:v>
      </x:c>
      <x:c r="K226" s="85" t="b">
        <x:v>1</x:v>
      </x:c>
      <x:c r="L226" s="56" t="str">
        <x:f>'Actions'!BE7</x:f>
        <x:v>OK</x:v>
      </x:c>
      <x:c r="M226" s="44" t="str">
        <x:v>Источник Actions.Hit Count</x:v>
      </x:c>
    </x:row>
    <x:row r="227" ht="36" customHeight="1">
      <x:c r="A227" s="118" t="n">
        <x:v>222</x:v>
      </x:c>
      <x:c r="B227" s="35" t="str">
        <x:v>action</x:v>
      </x:c>
      <x:c r="C227" s="35" t="str">
        <x:v>sys_retreat</x:v>
      </x:c>
      <x:c r="D227" s="35" t="str">
        <x:v>recovery_base_ticks</x:v>
      </x:c>
      <x:c r="E227" s="38" t="str">
        <x:v>int</x:v>
      </x:c>
      <x:c r="F227" s="56" t="n">
        <x:f>'Actions'!X7</x:f>
        <x:v>1</x:v>
      </x:c>
      <x:c r="G227" s="38" t="str"/>
      <x:c r="H227" s="35" t="str">
        <x:v>Actions</x:v>
      </x:c>
      <x:c r="I227" s="35" t="str">
        <x:v>X7</x:v>
      </x:c>
      <x:c r="J227" s="85" t="b">
        <x:v>1</x:v>
      </x:c>
      <x:c r="K227" s="85" t="b">
        <x:v>1</x:v>
      </x:c>
      <x:c r="L227" s="56" t="str">
        <x:f>'Actions'!BE7</x:f>
        <x:v>OK</x:v>
      </x:c>
      <x:c r="M227" s="44" t="str">
        <x:v>Источник Actions.Recovery Base Ticks</x:v>
      </x:c>
    </x:row>
    <x:row r="228" ht="36" customHeight="1">
      <x:c r="A228" s="118" t="n">
        <x:v>223</x:v>
      </x:c>
      <x:c r="B228" s="35" t="str">
        <x:v>action</x:v>
      </x:c>
      <x:c r="C228" s="35" t="str">
        <x:v>sys_retreat</x:v>
      </x:c>
      <x:c r="D228" s="35" t="str">
        <x:v>recovery_min_ticks</x:v>
      </x:c>
      <x:c r="E228" s="38" t="str">
        <x:v>int</x:v>
      </x:c>
      <x:c r="F228" s="56" t="n">
        <x:f>'Actions'!Y7</x:f>
        <x:v>1</x:v>
      </x:c>
      <x:c r="G228" s="38" t="str"/>
      <x:c r="H228" s="35" t="str">
        <x:v>Actions</x:v>
      </x:c>
      <x:c r="I228" s="35" t="str">
        <x:v>Y7</x:v>
      </x:c>
      <x:c r="J228" s="85" t="b">
        <x:v>1</x:v>
      </x:c>
      <x:c r="K228" s="85" t="b">
        <x:v>1</x:v>
      </x:c>
      <x:c r="L228" s="56" t="str">
        <x:f>'Actions'!BE7</x:f>
        <x:v>OK</x:v>
      </x:c>
      <x:c r="M228" s="44" t="str">
        <x:v>Источник Actions.Recovery Min Ticks</x:v>
      </x:c>
    </x:row>
    <x:row r="229" ht="36" customHeight="1">
      <x:c r="A229" s="118" t="n">
        <x:v>224</x:v>
      </x:c>
      <x:c r="B229" s="35" t="str">
        <x:v>action</x:v>
      </x:c>
      <x:c r="C229" s="35" t="str">
        <x:v>sys_retreat</x:v>
      </x:c>
      <x:c r="D229" s="35" t="str">
        <x:v>recovery_max_ticks</x:v>
      </x:c>
      <x:c r="E229" s="38" t="str">
        <x:v>int</x:v>
      </x:c>
      <x:c r="F229" s="56" t="n">
        <x:f>'Actions'!Z7</x:f>
        <x:v>1</x:v>
      </x:c>
      <x:c r="G229" s="38" t="str"/>
      <x:c r="H229" s="35" t="str">
        <x:v>Actions</x:v>
      </x:c>
      <x:c r="I229" s="35" t="str">
        <x:v>Z7</x:v>
      </x:c>
      <x:c r="J229" s="85" t="b">
        <x:v>1</x:v>
      </x:c>
      <x:c r="K229" s="85" t="b">
        <x:v>1</x:v>
      </x:c>
      <x:c r="L229" s="56" t="str">
        <x:f>'Actions'!BE7</x:f>
        <x:v>OK</x:v>
      </x:c>
      <x:c r="M229" s="44" t="str">
        <x:v>Источник Actions.Recovery Max Ticks</x:v>
      </x:c>
    </x:row>
    <x:row r="230" ht="36" customHeight="1">
      <x:c r="A230" s="118" t="n">
        <x:v>225</x:v>
      </x:c>
      <x:c r="B230" s="35" t="str">
        <x:v>action</x:v>
      </x:c>
      <x:c r="C230" s="35" t="str">
        <x:v>sys_retreat</x:v>
      </x:c>
      <x:c r="D230" s="35" t="str">
        <x:v>cooldown_ticks</x:v>
      </x:c>
      <x:c r="E230" s="38" t="str">
        <x:v>int</x:v>
      </x:c>
      <x:c r="F230" s="56" t="n">
        <x:f>'Actions'!AA7</x:f>
        <x:v>0</x:v>
      </x:c>
      <x:c r="G230" s="38" t="str"/>
      <x:c r="H230" s="35" t="str">
        <x:v>Actions</x:v>
      </x:c>
      <x:c r="I230" s="35" t="str">
        <x:v>AA7</x:v>
      </x:c>
      <x:c r="J230" s="85" t="b">
        <x:v>1</x:v>
      </x:c>
      <x:c r="K230" s="85" t="b">
        <x:v>1</x:v>
      </x:c>
      <x:c r="L230" s="56" t="str">
        <x:f>'Actions'!BE7</x:f>
        <x:v>OK</x:v>
      </x:c>
      <x:c r="M230" s="44" t="str">
        <x:v>Источник Actions.Cooldown Ticks</x:v>
      </x:c>
    </x:row>
    <x:row r="231" ht="36" customHeight="1">
      <x:c r="A231" s="118" t="n">
        <x:v>226</x:v>
      </x:c>
      <x:c r="B231" s="35" t="str">
        <x:v>action</x:v>
      </x:c>
      <x:c r="C231" s="35" t="str">
        <x:v>sys_retreat</x:v>
      </x:c>
      <x:c r="D231" s="35" t="str">
        <x:v>action_priority</x:v>
      </x:c>
      <x:c r="E231" s="38" t="str">
        <x:v>int</x:v>
      </x:c>
      <x:c r="F231" s="56" t="n">
        <x:f>'Actions'!AB7</x:f>
        <x:v>5</x:v>
      </x:c>
      <x:c r="G231" s="38" t="str"/>
      <x:c r="H231" s="35" t="str">
        <x:v>Actions</x:v>
      </x:c>
      <x:c r="I231" s="35" t="str">
        <x:v>AB7</x:v>
      </x:c>
      <x:c r="J231" s="85" t="b">
        <x:v>1</x:v>
      </x:c>
      <x:c r="K231" s="85" t="b">
        <x:v>1</x:v>
      </x:c>
      <x:c r="L231" s="56" t="str">
        <x:f>'Actions'!BE7</x:f>
        <x:v>OK</x:v>
      </x:c>
      <x:c r="M231" s="44" t="str">
        <x:v>Источник Actions.Action Priority</x:v>
      </x:c>
    </x:row>
    <x:row r="232" ht="36" customHeight="1">
      <x:c r="A232" s="118" t="n">
        <x:v>227</x:v>
      </x:c>
      <x:c r="B232" s="35" t="str">
        <x:v>action</x:v>
      </x:c>
      <x:c r="C232" s="35" t="str">
        <x:v>sys_retreat</x:v>
      </x:c>
      <x:c r="D232" s="35" t="str">
        <x:v>clash_priority</x:v>
      </x:c>
      <x:c r="E232" s="38" t="str">
        <x:v>int</x:v>
      </x:c>
      <x:c r="F232" s="56" t="n">
        <x:f>'Actions'!AC7</x:f>
        <x:v>0</x:v>
      </x:c>
      <x:c r="G232" s="38" t="str"/>
      <x:c r="H232" s="35" t="str">
        <x:v>Actions</x:v>
      </x:c>
      <x:c r="I232" s="35" t="str">
        <x:v>AC7</x:v>
      </x:c>
      <x:c r="J232" s="85" t="b">
        <x:v>1</x:v>
      </x:c>
      <x:c r="K232" s="85" t="b">
        <x:v>1</x:v>
      </x:c>
      <x:c r="L232" s="56" t="str">
        <x:f>'Actions'!BE7</x:f>
        <x:v>OK</x:v>
      </x:c>
      <x:c r="M232" s="44" t="str">
        <x:v>Источник Actions.Clash Priority</x:v>
      </x:c>
    </x:row>
    <x:row r="233" ht="36" customHeight="1">
      <x:c r="A233" s="118" t="n">
        <x:v>228</x:v>
      </x:c>
      <x:c r="B233" s="35" t="str">
        <x:v>action</x:v>
      </x:c>
      <x:c r="C233" s="35" t="str">
        <x:v>sys_retreat</x:v>
      </x:c>
      <x:c r="D233" s="35" t="str">
        <x:v>grab_priority</x:v>
      </x:c>
      <x:c r="E233" s="38" t="str">
        <x:v>int</x:v>
      </x:c>
      <x:c r="F233" s="56" t="n">
        <x:f>'Actions'!AD7</x:f>
        <x:v>0</x:v>
      </x:c>
      <x:c r="G233" s="38" t="str"/>
      <x:c r="H233" s="35" t="str">
        <x:v>Actions</x:v>
      </x:c>
      <x:c r="I233" s="35" t="str">
        <x:v>AD7</x:v>
      </x:c>
      <x:c r="J233" s="85" t="b">
        <x:v>1</x:v>
      </x:c>
      <x:c r="K233" s="85" t="b">
        <x:v>1</x:v>
      </x:c>
      <x:c r="L233" s="56" t="str">
        <x:f>'Actions'!BE7</x:f>
        <x:v>OK</x:v>
      </x:c>
      <x:c r="M233" s="44" t="str">
        <x:v>Источник Actions.Grab Priority</x:v>
      </x:c>
    </x:row>
    <x:row r="234" ht="36" customHeight="1">
      <x:c r="A234" s="118" t="n">
        <x:v>229</x:v>
      </x:c>
      <x:c r="B234" s="35" t="str">
        <x:v>action</x:v>
      </x:c>
      <x:c r="C234" s="35" t="str">
        <x:v>sys_retreat</x:v>
      </x:c>
      <x:c r="D234" s="35" t="str">
        <x:v>resolution_priority</x:v>
      </x:c>
      <x:c r="E234" s="38" t="str">
        <x:v>int</x:v>
      </x:c>
      <x:c r="F234" s="56" t="n">
        <x:f>'Actions'!AE7</x:f>
        <x:v>5</x:v>
      </x:c>
      <x:c r="G234" s="38" t="str"/>
      <x:c r="H234" s="35" t="str">
        <x:v>Actions</x:v>
      </x:c>
      <x:c r="I234" s="35" t="str">
        <x:v>AE7</x:v>
      </x:c>
      <x:c r="J234" s="85" t="b">
        <x:v>1</x:v>
      </x:c>
      <x:c r="K234" s="85" t="b">
        <x:v>1</x:v>
      </x:c>
      <x:c r="L234" s="56" t="str">
        <x:f>'Actions'!BE7</x:f>
        <x:v>OK</x:v>
      </x:c>
      <x:c r="M234" s="44" t="str">
        <x:v>Источник Actions.Resolution Priority</x:v>
      </x:c>
    </x:row>
    <x:row r="235" ht="36" customHeight="1">
      <x:c r="A235" s="118" t="n">
        <x:v>230</x:v>
      </x:c>
      <x:c r="B235" s="35" t="str">
        <x:v>action</x:v>
      </x:c>
      <x:c r="C235" s="35" t="str">
        <x:v>sys_retreat</x:v>
      </x:c>
      <x:c r="D235" s="35" t="str">
        <x:v>interrupt_profile</x:v>
      </x:c>
      <x:c r="E235" s="38" t="str">
        <x:v>string</x:v>
      </x:c>
      <x:c r="F235" s="56" t="str">
        <x:f>'Actions'!AF7</x:f>
        <x:v>Cancelable</x:v>
      </x:c>
      <x:c r="G235" s="38" t="str"/>
      <x:c r="H235" s="35" t="str">
        <x:v>Actions</x:v>
      </x:c>
      <x:c r="I235" s="35" t="str">
        <x:v>AF7</x:v>
      </x:c>
      <x:c r="J235" s="85" t="b">
        <x:v>1</x:v>
      </x:c>
      <x:c r="K235" s="85" t="b">
        <x:v>1</x:v>
      </x:c>
      <x:c r="L235" s="56" t="str">
        <x:f>'Actions'!BE7</x:f>
        <x:v>OK</x:v>
      </x:c>
      <x:c r="M235" s="44" t="str">
        <x:v>Источник Actions.Interrupt Profile</x:v>
      </x:c>
    </x:row>
    <x:row r="236" ht="36" customHeight="1">
      <x:c r="A236" s="118" t="n">
        <x:v>231</x:v>
      </x:c>
      <x:c r="B236" s="35" t="str">
        <x:v>action</x:v>
      </x:c>
      <x:c r="C236" s="35" t="str">
        <x:v>sys_retreat</x:v>
      </x:c>
      <x:c r="D236" s="35" t="str">
        <x:v>blockable</x:v>
      </x:c>
      <x:c r="E236" s="38" t="str">
        <x:v>bool</x:v>
      </x:c>
      <x:c r="F236" s="56" t="b">
        <x:f>'Actions'!AG7</x:f>
        <x:v>0</x:v>
      </x:c>
      <x:c r="G236" s="38" t="str"/>
      <x:c r="H236" s="35" t="str">
        <x:v>Actions</x:v>
      </x:c>
      <x:c r="I236" s="35" t="str">
        <x:v>AG7</x:v>
      </x:c>
      <x:c r="J236" s="85" t="b">
        <x:v>1</x:v>
      </x:c>
      <x:c r="K236" s="85" t="b">
        <x:v>1</x:v>
      </x:c>
      <x:c r="L236" s="56" t="str">
        <x:f>'Actions'!BE7</x:f>
        <x:v>OK</x:v>
      </x:c>
      <x:c r="M236" s="44" t="str">
        <x:v>Источник Actions.Blockable</x:v>
      </x:c>
    </x:row>
    <x:row r="237" ht="36" customHeight="1">
      <x:c r="A237" s="118" t="n">
        <x:v>232</x:v>
      </x:c>
      <x:c r="B237" s="35" t="str">
        <x:v>action</x:v>
      </x:c>
      <x:c r="C237" s="35" t="str">
        <x:v>sys_retreat</x:v>
      </x:c>
      <x:c r="D237" s="35" t="str">
        <x:v>dodgeable</x:v>
      </x:c>
      <x:c r="E237" s="38" t="str">
        <x:v>bool</x:v>
      </x:c>
      <x:c r="F237" s="56" t="b">
        <x:f>'Actions'!AH7</x:f>
        <x:v>0</x:v>
      </x:c>
      <x:c r="G237" s="38" t="str"/>
      <x:c r="H237" s="35" t="str">
        <x:v>Actions</x:v>
      </x:c>
      <x:c r="I237" s="35" t="str">
        <x:v>AH7</x:v>
      </x:c>
      <x:c r="J237" s="85" t="b">
        <x:v>1</x:v>
      </x:c>
      <x:c r="K237" s="85" t="b">
        <x:v>1</x:v>
      </x:c>
      <x:c r="L237" s="56" t="str">
        <x:f>'Actions'!BE7</x:f>
        <x:v>OK</x:v>
      </x:c>
      <x:c r="M237" s="44" t="str">
        <x:v>Источник Actions.Dodgeable</x:v>
      </x:c>
    </x:row>
    <x:row r="238" ht="36" customHeight="1">
      <x:c r="A238" s="118" t="n">
        <x:v>233</x:v>
      </x:c>
      <x:c r="B238" s="35" t="str">
        <x:v>action</x:v>
      </x:c>
      <x:c r="C238" s="35" t="str">
        <x:v>sys_retreat</x:v>
      </x:c>
      <x:c r="D238" s="35" t="str">
        <x:v>undodgeable</x:v>
      </x:c>
      <x:c r="E238" s="38" t="str">
        <x:v>bool</x:v>
      </x:c>
      <x:c r="F238" s="56" t="b">
        <x:f>'Actions'!AI7</x:f>
        <x:v>0</x:v>
      </x:c>
      <x:c r="G238" s="38" t="str"/>
      <x:c r="H238" s="35" t="str">
        <x:v>Actions</x:v>
      </x:c>
      <x:c r="I238" s="35" t="str">
        <x:v>AI7</x:v>
      </x:c>
      <x:c r="J238" s="85" t="b">
        <x:v>1</x:v>
      </x:c>
      <x:c r="K238" s="85" t="b">
        <x:v>1</x:v>
      </x:c>
      <x:c r="L238" s="56" t="str">
        <x:f>'Actions'!BE7</x:f>
        <x:v>OK</x:v>
      </x:c>
      <x:c r="M238" s="44" t="str">
        <x:v>Источник Actions.Undodgeable</x:v>
      </x:c>
    </x:row>
    <x:row r="239" ht="36" customHeight="1">
      <x:c r="A239" s="118" t="n">
        <x:v>234</x:v>
      </x:c>
      <x:c r="B239" s="35" t="str">
        <x:v>action</x:v>
      </x:c>
      <x:c r="C239" s="35" t="str">
        <x:v>sys_retreat</x:v>
      </x:c>
      <x:c r="D239" s="35" t="str">
        <x:v>wall_impact</x:v>
      </x:c>
      <x:c r="E239" s="38" t="str">
        <x:v>bool</x:v>
      </x:c>
      <x:c r="F239" s="56" t="b">
        <x:f>'Actions'!AJ7</x:f>
        <x:v>0</x:v>
      </x:c>
      <x:c r="G239" s="38" t="str"/>
      <x:c r="H239" s="35" t="str">
        <x:v>Actions</x:v>
      </x:c>
      <x:c r="I239" s="35" t="str">
        <x:v>AJ7</x:v>
      </x:c>
      <x:c r="J239" s="85" t="b">
        <x:v>1</x:v>
      </x:c>
      <x:c r="K239" s="85" t="b">
        <x:v>1</x:v>
      </x:c>
      <x:c r="L239" s="56" t="str">
        <x:f>'Actions'!BE7</x:f>
        <x:v>OK</x:v>
      </x:c>
      <x:c r="M239" s="44" t="str">
        <x:v>Источник Actions.Wall Impact</x:v>
      </x:c>
    </x:row>
    <x:row r="240" ht="36" customHeight="1">
      <x:c r="A240" s="118" t="n">
        <x:v>235</x:v>
      </x:c>
      <x:c r="B240" s="35" t="str">
        <x:v>action</x:v>
      </x:c>
      <x:c r="C240" s="35" t="str">
        <x:v>sys_retreat</x:v>
      </x:c>
      <x:c r="D240" s="35" t="str">
        <x:v>track_target</x:v>
      </x:c>
      <x:c r="E240" s="38" t="str">
        <x:v>bool</x:v>
      </x:c>
      <x:c r="F240" s="56" t="b">
        <x:f>'Actions'!AK7</x:f>
        <x:v>1</x:v>
      </x:c>
      <x:c r="G240" s="38" t="str"/>
      <x:c r="H240" s="35" t="str">
        <x:v>Actions</x:v>
      </x:c>
      <x:c r="I240" s="35" t="str">
        <x:v>AK7</x:v>
      </x:c>
      <x:c r="J240" s="85" t="b">
        <x:v>1</x:v>
      </x:c>
      <x:c r="K240" s="85" t="b">
        <x:v>1</x:v>
      </x:c>
      <x:c r="L240" s="56" t="str">
        <x:f>'Actions'!BE7</x:f>
        <x:v>OK</x:v>
      </x:c>
      <x:c r="M240" s="44" t="str">
        <x:v>Источник Actions.Track Target</x:v>
      </x:c>
    </x:row>
    <x:row r="241" ht="36" customHeight="1">
      <x:c r="A241" s="118" t="n">
        <x:v>236</x:v>
      </x:c>
      <x:c r="B241" s="35" t="str">
        <x:v>action</x:v>
      </x:c>
      <x:c r="C241" s="35" t="str">
        <x:v>sys_retreat</x:v>
      </x:c>
      <x:c r="D241" s="35" t="str">
        <x:v>block_base_chance_fp</x:v>
      </x:c>
      <x:c r="E241" s="38" t="str">
        <x:v>int</x:v>
      </x:c>
      <x:c r="F241" s="56" t="n">
        <x:f>'Actions'!AL7</x:f>
        <x:v>0</x:v>
      </x:c>
      <x:c r="G241" s="38" t="str"/>
      <x:c r="H241" s="35" t="str">
        <x:v>Actions</x:v>
      </x:c>
      <x:c r="I241" s="35" t="str">
        <x:v>AL7</x:v>
      </x:c>
      <x:c r="J241" s="85" t="b">
        <x:v>1</x:v>
      </x:c>
      <x:c r="K241" s="85" t="b">
        <x:v>1</x:v>
      </x:c>
      <x:c r="L241" s="56" t="str">
        <x:f>'Actions'!BE7</x:f>
        <x:v>OK</x:v>
      </x:c>
      <x:c r="M241" s="44" t="str">
        <x:v>Источник Actions.Block Base Chance FP</x:v>
      </x:c>
    </x:row>
    <x:row r="242" ht="36" customHeight="1">
      <x:c r="A242" s="118" t="n">
        <x:v>237</x:v>
      </x:c>
      <x:c r="B242" s="35" t="str">
        <x:v>action</x:v>
      </x:c>
      <x:c r="C242" s="35" t="str">
        <x:v>sys_retreat</x:v>
      </x:c>
      <x:c r="D242" s="35" t="str">
        <x:v>block_reduction_fp</x:v>
      </x:c>
      <x:c r="E242" s="38" t="str">
        <x:v>int</x:v>
      </x:c>
      <x:c r="F242" s="56" t="n">
        <x:f>'Actions'!AM7</x:f>
        <x:v>0</x:v>
      </x:c>
      <x:c r="G242" s="38" t="str"/>
      <x:c r="H242" s="35" t="str">
        <x:v>Actions</x:v>
      </x:c>
      <x:c r="I242" s="35" t="str">
        <x:v>AM7</x:v>
      </x:c>
      <x:c r="J242" s="85" t="b">
        <x:v>1</x:v>
      </x:c>
      <x:c r="K242" s="85" t="b">
        <x:v>1</x:v>
      </x:c>
      <x:c r="L242" s="56" t="str">
        <x:f>'Actions'!BE7</x:f>
        <x:v>OK</x:v>
      </x:c>
      <x:c r="M242" s="44" t="str">
        <x:v>Источник Actions.Block Reduction FP</x:v>
      </x:c>
    </x:row>
    <x:row r="243" ht="36" customHeight="1">
      <x:c r="A243" s="118" t="n">
        <x:v>238</x:v>
      </x:c>
      <x:c r="B243" s="35" t="str">
        <x:v>action</x:v>
      </x:c>
      <x:c r="C243" s="35" t="str">
        <x:v>sys_retreat</x:v>
      </x:c>
      <x:c r="D243" s="35" t="str">
        <x:v>dodge_base_chance_fp</x:v>
      </x:c>
      <x:c r="E243" s="38" t="str">
        <x:v>int</x:v>
      </x:c>
      <x:c r="F243" s="56" t="n">
        <x:f>'Actions'!AN7</x:f>
        <x:v>0</x:v>
      </x:c>
      <x:c r="G243" s="38" t="str"/>
      <x:c r="H243" s="35" t="str">
        <x:v>Actions</x:v>
      </x:c>
      <x:c r="I243" s="35" t="str">
        <x:v>AN7</x:v>
      </x:c>
      <x:c r="J243" s="85" t="b">
        <x:v>1</x:v>
      </x:c>
      <x:c r="K243" s="85" t="b">
        <x:v>1</x:v>
      </x:c>
      <x:c r="L243" s="56" t="str">
        <x:f>'Actions'!BE7</x:f>
        <x:v>OK</x:v>
      </x:c>
      <x:c r="M243" s="44" t="str">
        <x:v>Источник Actions.Dodge Base Chance FP</x:v>
      </x:c>
    </x:row>
    <x:row r="244" ht="36" customHeight="1">
      <x:c r="A244" s="118" t="n">
        <x:v>239</x:v>
      </x:c>
      <x:c r="B244" s="35" t="str">
        <x:v>action</x:v>
      </x:c>
      <x:c r="C244" s="35" t="str">
        <x:v>sys_retreat</x:v>
      </x:c>
      <x:c r="D244" s="35" t="str">
        <x:v>movement_mode</x:v>
      </x:c>
      <x:c r="E244" s="38" t="str">
        <x:v>string</x:v>
      </x:c>
      <x:c r="F244" s="56" t="str">
        <x:f>'Actions'!AO7</x:f>
        <x:v>Retreat</x:v>
      </x:c>
      <x:c r="G244" s="38" t="str"/>
      <x:c r="H244" s="35" t="str">
        <x:v>Actions</x:v>
      </x:c>
      <x:c r="I244" s="35" t="str">
        <x:v>AO7</x:v>
      </x:c>
      <x:c r="J244" s="85" t="b">
        <x:v>1</x:v>
      </x:c>
      <x:c r="K244" s="85" t="b">
        <x:v>1</x:v>
      </x:c>
      <x:c r="L244" s="56" t="str">
        <x:f>'Actions'!BE7</x:f>
        <x:v>OK</x:v>
      </x:c>
      <x:c r="M244" s="44" t="str">
        <x:v>Источник Actions.Movement Mode</x:v>
      </x:c>
    </x:row>
    <x:row r="245" ht="36" customHeight="1">
      <x:c r="A245" s="118" t="n">
        <x:v>240</x:v>
      </x:c>
      <x:c r="B245" s="35" t="str">
        <x:v>action</x:v>
      </x:c>
      <x:c r="C245" s="35" t="str">
        <x:v>sys_retreat</x:v>
      </x:c>
      <x:c r="D245" s="35" t="str">
        <x:v>move_distance</x:v>
      </x:c>
      <x:c r="E245" s="38" t="str">
        <x:v>int</x:v>
      </x:c>
      <x:c r="F245" s="56" t="n">
        <x:f>'Actions'!AP7</x:f>
        <x:v>0</x:v>
      </x:c>
      <x:c r="G245" s="38" t="str"/>
      <x:c r="H245" s="35" t="str">
        <x:v>Actions</x:v>
      </x:c>
      <x:c r="I245" s="35" t="str">
        <x:v>AP7</x:v>
      </x:c>
      <x:c r="J245" s="85" t="b">
        <x:v>1</x:v>
      </x:c>
      <x:c r="K245" s="85" t="b">
        <x:v>1</x:v>
      </x:c>
      <x:c r="L245" s="56" t="str">
        <x:f>'Actions'!BE7</x:f>
        <x:v>OK</x:v>
      </x:c>
      <x:c r="M245" s="44" t="str">
        <x:v>Источник Actions.Move Distance</x:v>
      </x:c>
    </x:row>
    <x:row r="246" ht="36" customHeight="1">
      <x:c r="A246" s="118" t="n">
        <x:v>241</x:v>
      </x:c>
      <x:c r="B246" s="35" t="str">
        <x:v>action</x:v>
      </x:c>
      <x:c r="C246" s="35" t="str">
        <x:v>sys_retreat</x:v>
      </x:c>
      <x:c r="D246" s="35" t="str">
        <x:v>base_stagger</x:v>
      </x:c>
      <x:c r="E246" s="38" t="str">
        <x:v>int</x:v>
      </x:c>
      <x:c r="F246" s="56" t="n">
        <x:f>'Actions'!AQ7</x:f>
        <x:v>0</x:v>
      </x:c>
      <x:c r="G246" s="38" t="str"/>
      <x:c r="H246" s="35" t="str">
        <x:v>Actions</x:v>
      </x:c>
      <x:c r="I246" s="35" t="str">
        <x:v>AQ7</x:v>
      </x:c>
      <x:c r="J246" s="85" t="b">
        <x:v>1</x:v>
      </x:c>
      <x:c r="K246" s="85" t="b">
        <x:v>1</x:v>
      </x:c>
      <x:c r="L246" s="56" t="str">
        <x:f>'Actions'!BE7</x:f>
        <x:v>OK</x:v>
      </x:c>
      <x:c r="M246" s="44" t="str">
        <x:v>Источник Actions.Base Stagger</x:v>
      </x:c>
    </x:row>
    <x:row r="247" ht="36" customHeight="1">
      <x:c r="A247" s="118" t="n">
        <x:v>242</x:v>
      </x:c>
      <x:c r="B247" s="35" t="str">
        <x:v>action</x:v>
      </x:c>
      <x:c r="C247" s="35" t="str">
        <x:v>sys_retreat</x:v>
      </x:c>
      <x:c r="D247" s="35" t="str">
        <x:v>base_stun_ticks</x:v>
      </x:c>
      <x:c r="E247" s="38" t="str">
        <x:v>int</x:v>
      </x:c>
      <x:c r="F247" s="56" t="n">
        <x:f>'Actions'!AR7</x:f>
        <x:v>0</x:v>
      </x:c>
      <x:c r="G247" s="38" t="str"/>
      <x:c r="H247" s="35" t="str">
        <x:v>Actions</x:v>
      </x:c>
      <x:c r="I247" s="35" t="str">
        <x:v>AR7</x:v>
      </x:c>
      <x:c r="J247" s="85" t="b">
        <x:v>1</x:v>
      </x:c>
      <x:c r="K247" s="85" t="b">
        <x:v>1</x:v>
      </x:c>
      <x:c r="L247" s="56" t="str">
        <x:f>'Actions'!BE7</x:f>
        <x:v>OK</x:v>
      </x:c>
      <x:c r="M247" s="44" t="str">
        <x:v>Источник Actions.Base Stun Ticks</x:v>
      </x:c>
    </x:row>
    <x:row r="248" ht="36" customHeight="1">
      <x:c r="A248" s="118" t="n">
        <x:v>243</x:v>
      </x:c>
      <x:c r="B248" s="35" t="str">
        <x:v>action</x:v>
      </x:c>
      <x:c r="C248" s="35" t="str">
        <x:v>sys_retreat</x:v>
      </x:c>
      <x:c r="D248" s="35" t="str">
        <x:v>base_knockback</x:v>
      </x:c>
      <x:c r="E248" s="38" t="str">
        <x:v>int</x:v>
      </x:c>
      <x:c r="F248" s="56" t="n">
        <x:f>'Actions'!AS7</x:f>
        <x:v>0</x:v>
      </x:c>
      <x:c r="G248" s="38" t="str"/>
      <x:c r="H248" s="35" t="str">
        <x:v>Actions</x:v>
      </x:c>
      <x:c r="I248" s="35" t="str">
        <x:v>AS7</x:v>
      </x:c>
      <x:c r="J248" s="85" t="b">
        <x:v>1</x:v>
      </x:c>
      <x:c r="K248" s="85" t="b">
        <x:v>1</x:v>
      </x:c>
      <x:c r="L248" s="56" t="str">
        <x:f>'Actions'!BE7</x:f>
        <x:v>OK</x:v>
      </x:c>
      <x:c r="M248" s="44" t="str">
        <x:v>Источник Actions.Base Knockback</x:v>
      </x:c>
    </x:row>
    <x:row r="249" ht="36" customHeight="1">
      <x:c r="A249" s="118" t="n">
        <x:v>244</x:v>
      </x:c>
      <x:c r="B249" s="35" t="str">
        <x:v>action</x:v>
      </x:c>
      <x:c r="C249" s="35" t="str">
        <x:v>sys_retreat</x:v>
      </x:c>
      <x:c r="D249" s="35" t="str">
        <x:v>knockback_min</x:v>
      </x:c>
      <x:c r="E249" s="38" t="str">
        <x:v>int</x:v>
      </x:c>
      <x:c r="F249" s="56" t="n">
        <x:f>'Actions'!AT7</x:f>
        <x:v>0</x:v>
      </x:c>
      <x:c r="G249" s="38" t="str"/>
      <x:c r="H249" s="35" t="str">
        <x:v>Actions</x:v>
      </x:c>
      <x:c r="I249" s="35" t="str">
        <x:v>AT7</x:v>
      </x:c>
      <x:c r="J249" s="85" t="b">
        <x:v>1</x:v>
      </x:c>
      <x:c r="K249" s="85" t="b">
        <x:v>1</x:v>
      </x:c>
      <x:c r="L249" s="56" t="str">
        <x:f>'Actions'!BE7</x:f>
        <x:v>OK</x:v>
      </x:c>
      <x:c r="M249" s="44" t="str">
        <x:v>Источник Actions.Knockback Min</x:v>
      </x:c>
    </x:row>
    <x:row r="250" ht="36" customHeight="1">
      <x:c r="A250" s="118" t="n">
        <x:v>245</x:v>
      </x:c>
      <x:c r="B250" s="35" t="str">
        <x:v>action</x:v>
      </x:c>
      <x:c r="C250" s="35" t="str">
        <x:v>sys_retreat</x:v>
      </x:c>
      <x:c r="D250" s="35" t="str">
        <x:v>knockback_max</x:v>
      </x:c>
      <x:c r="E250" s="38" t="str">
        <x:v>int</x:v>
      </x:c>
      <x:c r="F250" s="56" t="n">
        <x:f>'Actions'!AU7</x:f>
        <x:v>0</x:v>
      </x:c>
      <x:c r="G250" s="38" t="str"/>
      <x:c r="H250" s="35" t="str">
        <x:v>Actions</x:v>
      </x:c>
      <x:c r="I250" s="35" t="str">
        <x:v>AU7</x:v>
      </x:c>
      <x:c r="J250" s="85" t="b">
        <x:v>1</x:v>
      </x:c>
      <x:c r="K250" s="85" t="b">
        <x:v>1</x:v>
      </x:c>
      <x:c r="L250" s="56" t="str">
        <x:f>'Actions'!BE7</x:f>
        <x:v>OK</x:v>
      </x:c>
      <x:c r="M250" s="44" t="str">
        <x:v>Источник Actions.Knockback Max</x:v>
      </x:c>
    </x:row>
    <x:row r="251" ht="36" customHeight="1">
      <x:c r="A251" s="118" t="n">
        <x:v>246</x:v>
      </x:c>
      <x:c r="B251" s="35" t="str">
        <x:v>action</x:v>
      </x:c>
      <x:c r="C251" s="35" t="str">
        <x:v>sys_retreat</x:v>
      </x:c>
      <x:c r="D251" s="35" t="str">
        <x:v>wall_damage_per_unit_fp</x:v>
      </x:c>
      <x:c r="E251" s="38" t="str">
        <x:v>int</x:v>
      </x:c>
      <x:c r="F251" s="56" t="n">
        <x:f>'Actions'!AV7</x:f>
        <x:v>0</x:v>
      </x:c>
      <x:c r="G251" s="38" t="str"/>
      <x:c r="H251" s="35" t="str">
        <x:v>Actions</x:v>
      </x:c>
      <x:c r="I251" s="35" t="str">
        <x:v>AV7</x:v>
      </x:c>
      <x:c r="J251" s="85" t="b">
        <x:v>1</x:v>
      </x:c>
      <x:c r="K251" s="85" t="b">
        <x:v>1</x:v>
      </x:c>
      <x:c r="L251" s="56" t="str">
        <x:f>'Actions'!BE7</x:f>
        <x:v>OK</x:v>
      </x:c>
      <x:c r="M251" s="44" t="str">
        <x:v>Источник Actions.Wall Damage / Unit FP</x:v>
      </x:c>
    </x:row>
    <x:row r="252" ht="36" customHeight="1">
      <x:c r="A252" s="118" t="n">
        <x:v>247</x:v>
      </x:c>
      <x:c r="B252" s="35" t="str">
        <x:v>action</x:v>
      </x:c>
      <x:c r="C252" s="35" t="str">
        <x:v>sys_retreat</x:v>
      </x:c>
      <x:c r="D252" s="35" t="str">
        <x:v>wall_damage_min</x:v>
      </x:c>
      <x:c r="E252" s="38" t="str">
        <x:v>int</x:v>
      </x:c>
      <x:c r="F252" s="56" t="n">
        <x:f>'Actions'!AW7</x:f>
        <x:v>0</x:v>
      </x:c>
      <x:c r="G252" s="38" t="str"/>
      <x:c r="H252" s="35" t="str">
        <x:v>Actions</x:v>
      </x:c>
      <x:c r="I252" s="35" t="str">
        <x:v>AW7</x:v>
      </x:c>
      <x:c r="J252" s="85" t="b">
        <x:v>1</x:v>
      </x:c>
      <x:c r="K252" s="85" t="b">
        <x:v>1</x:v>
      </x:c>
      <x:c r="L252" s="56" t="str">
        <x:f>'Actions'!BE7</x:f>
        <x:v>OK</x:v>
      </x:c>
      <x:c r="M252" s="44" t="str">
        <x:v>Источник Actions.Wall Damage Min</x:v>
      </x:c>
    </x:row>
    <x:row r="253" ht="36" customHeight="1">
      <x:c r="A253" s="118" t="n">
        <x:v>248</x:v>
      </x:c>
      <x:c r="B253" s="35" t="str">
        <x:v>action</x:v>
      </x:c>
      <x:c r="C253" s="35" t="str">
        <x:v>sys_retreat</x:v>
      </x:c>
      <x:c r="D253" s="35" t="str">
        <x:v>wall_damage_max</x:v>
      </x:c>
      <x:c r="E253" s="38" t="str">
        <x:v>int</x:v>
      </x:c>
      <x:c r="F253" s="56" t="n">
        <x:f>'Actions'!AX7</x:f>
        <x:v>0</x:v>
      </x:c>
      <x:c r="G253" s="38" t="str"/>
      <x:c r="H253" s="35" t="str">
        <x:v>Actions</x:v>
      </x:c>
      <x:c r="I253" s="35" t="str">
        <x:v>AX7</x:v>
      </x:c>
      <x:c r="J253" s="85" t="b">
        <x:v>1</x:v>
      </x:c>
      <x:c r="K253" s="85" t="b">
        <x:v>1</x:v>
      </x:c>
      <x:c r="L253" s="56" t="str">
        <x:f>'Actions'!BE7</x:f>
        <x:v>OK</x:v>
      </x:c>
      <x:c r="M253" s="44" t="str">
        <x:v>Источник Actions.Wall Damage Max</x:v>
      </x:c>
    </x:row>
    <x:row r="254" ht="36" customHeight="1">
      <x:c r="A254" s="118" t="n">
        <x:v>249</x:v>
      </x:c>
      <x:c r="B254" s="35" t="str">
        <x:v>action</x:v>
      </x:c>
      <x:c r="C254" s="35" t="str">
        <x:v>sys_retreat</x:v>
      </x:c>
      <x:c r="D254" s="35" t="str">
        <x:v>max_consecutive_uses</x:v>
      </x:c>
      <x:c r="E254" s="38" t="str">
        <x:v>int</x:v>
      </x:c>
      <x:c r="F254" s="56" t="n">
        <x:f>'Actions'!AY7</x:f>
        <x:v>3</x:v>
      </x:c>
      <x:c r="G254" s="38" t="str"/>
      <x:c r="H254" s="35" t="str">
        <x:v>Actions</x:v>
      </x:c>
      <x:c r="I254" s="35" t="str">
        <x:v>AY7</x:v>
      </x:c>
      <x:c r="J254" s="85" t="b">
        <x:v>1</x:v>
      </x:c>
      <x:c r="K254" s="85" t="b">
        <x:v>1</x:v>
      </x:c>
      <x:c r="L254" s="56" t="str">
        <x:f>'Actions'!BE7</x:f>
        <x:v>OK</x:v>
      </x:c>
      <x:c r="M254" s="44" t="str">
        <x:v>Источник Actions.Max Consecutive Uses</x:v>
      </x:c>
    </x:row>
    <x:row r="255" ht="36" customHeight="1">
      <x:c r="A255" s="118" t="n">
        <x:v>250</x:v>
      </x:c>
      <x:c r="B255" s="35" t="str">
        <x:v>action</x:v>
      </x:c>
      <x:c r="C255" s="35" t="str">
        <x:v>sys_retreat</x:v>
      </x:c>
      <x:c r="D255" s="35" t="str">
        <x:v>opportunity_cap_fp</x:v>
      </x:c>
      <x:c r="E255" s="38" t="str">
        <x:v>int</x:v>
      </x:c>
      <x:c r="F255" s="56" t="n">
        <x:f>'Actions'!AZ7</x:f>
        <x:v>1000</x:v>
      </x:c>
      <x:c r="G255" s="38" t="str"/>
      <x:c r="H255" s="35" t="str">
        <x:v>Actions</x:v>
      </x:c>
      <x:c r="I255" s="35" t="str">
        <x:v>AZ7</x:v>
      </x:c>
      <x:c r="J255" s="85" t="b">
        <x:v>1</x:v>
      </x:c>
      <x:c r="K255" s="85" t="b">
        <x:v>1</x:v>
      </x:c>
      <x:c r="L255" s="56" t="str">
        <x:f>'Actions'!BE7</x:f>
        <x:v>OK</x:v>
      </x:c>
      <x:c r="M255" s="44" t="str">
        <x:v>Источник Actions.Opportunity Cap FP</x:v>
      </x:c>
    </x:row>
    <x:row r="256" ht="36" customHeight="1">
      <x:c r="A256" s="118" t="n">
        <x:v>251</x:v>
      </x:c>
      <x:c r="B256" s="35" t="str">
        <x:v>action</x:v>
      </x:c>
      <x:c r="C256" s="35" t="str">
        <x:v>sys_retreat</x:v>
      </x:c>
      <x:c r="D256" s="35" t="str">
        <x:v>hard_opportunity_misses</x:v>
      </x:c>
      <x:c r="E256" s="38" t="str">
        <x:v>int</x:v>
      </x:c>
      <x:c r="F256" s="56" t="n">
        <x:f>'Actions'!BA7</x:f>
        <x:v>0</x:v>
      </x:c>
      <x:c r="G256" s="38" t="str"/>
      <x:c r="H256" s="35" t="str">
        <x:v>Actions</x:v>
      </x:c>
      <x:c r="I256" s="35" t="str">
        <x:v>BA7</x:v>
      </x:c>
      <x:c r="J256" s="85" t="b">
        <x:v>1</x:v>
      </x:c>
      <x:c r="K256" s="85" t="b">
        <x:v>1</x:v>
      </x:c>
      <x:c r="L256" s="56" t="str">
        <x:f>'Actions'!BE7</x:f>
        <x:v>OK</x:v>
      </x:c>
      <x:c r="M256" s="44" t="str">
        <x:v>Источник Actions.Hard Opportunity Misses</x:v>
      </x:c>
    </x:row>
    <x:row r="257" ht="36" customHeight="1">
      <x:c r="A257" s="118" t="n">
        <x:v>252</x:v>
      </x:c>
      <x:c r="B257" s="35" t="str">
        <x:v>action</x:v>
      </x:c>
      <x:c r="C257" s="35" t="str">
        <x:v>sys_wait</x:v>
      </x:c>
      <x:c r="D257" s="35" t="str">
        <x:v>action_id</x:v>
      </x:c>
      <x:c r="E257" s="38" t="str">
        <x:v>string</x:v>
      </x:c>
      <x:c r="F257" s="56" t="str">
        <x:f>'Actions'!A8</x:f>
        <x:v>sys_wait</x:v>
      </x:c>
      <x:c r="G257" s="38" t="str"/>
      <x:c r="H257" s="35" t="str">
        <x:v>Actions</x:v>
      </x:c>
      <x:c r="I257" s="35" t="str">
        <x:v>A8</x:v>
      </x:c>
      <x:c r="J257" s="85" t="b">
        <x:v>1</x:v>
      </x:c>
      <x:c r="K257" s="85" t="b">
        <x:v>1</x:v>
      </x:c>
      <x:c r="L257" s="56" t="str">
        <x:f>'Actions'!BE8</x:f>
        <x:v>OK</x:v>
      </x:c>
      <x:c r="M257" s="44" t="str">
        <x:v>Источник Actions.Action ID</x:v>
      </x:c>
    </x:row>
    <x:row r="258" ht="36" customHeight="1">
      <x:c r="A258" s="118" t="n">
        <x:v>253</x:v>
      </x:c>
      <x:c r="B258" s="35" t="str">
        <x:v>action</x:v>
      </x:c>
      <x:c r="C258" s="35" t="str">
        <x:v>sys_wait</x:v>
      </x:c>
      <x:c r="D258" s="35" t="str">
        <x:v>animal_id</x:v>
      </x:c>
      <x:c r="E258" s="38" t="str">
        <x:v>string</x:v>
      </x:c>
      <x:c r="F258" s="56" t="str">
        <x:f>'Actions'!B8</x:f>
        <x:v>all</x:v>
      </x:c>
      <x:c r="G258" s="38" t="str"/>
      <x:c r="H258" s="35" t="str">
        <x:v>Actions</x:v>
      </x:c>
      <x:c r="I258" s="35" t="str">
        <x:v>B8</x:v>
      </x:c>
      <x:c r="J258" s="85" t="b">
        <x:v>1</x:v>
      </x:c>
      <x:c r="K258" s="85" t="b">
        <x:v>1</x:v>
      </x:c>
      <x:c r="L258" s="56" t="str">
        <x:f>'Actions'!BE8</x:f>
        <x:v>OK</x:v>
      </x:c>
      <x:c r="M258" s="44" t="str">
        <x:v>Источник Actions.Animal ID</x:v>
      </x:c>
    </x:row>
    <x:row r="259" ht="36" customHeight="1">
      <x:c r="A259" s="118" t="n">
        <x:v>254</x:v>
      </x:c>
      <x:c r="B259" s="35" t="str">
        <x:v>action</x:v>
      </x:c>
      <x:c r="C259" s="35" t="str">
        <x:v>sys_wait</x:v>
      </x:c>
      <x:c r="D259" s="35" t="str">
        <x:v>slot_type</x:v>
      </x:c>
      <x:c r="E259" s="38" t="str">
        <x:v>string</x:v>
      </x:c>
      <x:c r="F259" s="56" t="str">
        <x:f>'Actions'!D8</x:f>
        <x:v>System</x:v>
      </x:c>
      <x:c r="G259" s="38" t="str"/>
      <x:c r="H259" s="35" t="str">
        <x:v>Actions</x:v>
      </x:c>
      <x:c r="I259" s="35" t="str">
        <x:v>D8</x:v>
      </x:c>
      <x:c r="J259" s="85" t="b">
        <x:v>1</x:v>
      </x:c>
      <x:c r="K259" s="85" t="b">
        <x:v>1</x:v>
      </x:c>
      <x:c r="L259" s="56" t="str">
        <x:f>'Actions'!BE8</x:f>
        <x:v>OK</x:v>
      </x:c>
      <x:c r="M259" s="44" t="str">
        <x:v>Источник Actions.Slot Type</x:v>
      </x:c>
    </x:row>
    <x:row r="260" ht="36" customHeight="1">
      <x:c r="A260" s="118" t="n">
        <x:v>255</x:v>
      </x:c>
      <x:c r="B260" s="35" t="str">
        <x:v>action</x:v>
      </x:c>
      <x:c r="C260" s="35" t="str">
        <x:v>sys_wait</x:v>
      </x:c>
      <x:c r="D260" s="35" t="str">
        <x:v>category</x:v>
      </x:c>
      <x:c r="E260" s="38" t="str">
        <x:v>string</x:v>
      </x:c>
      <x:c r="F260" s="56" t="str">
        <x:f>'Actions'!E8</x:f>
        <x:v>Wait</x:v>
      </x:c>
      <x:c r="G260" s="38" t="str"/>
      <x:c r="H260" s="35" t="str">
        <x:v>Actions</x:v>
      </x:c>
      <x:c r="I260" s="35" t="str">
        <x:v>E8</x:v>
      </x:c>
      <x:c r="J260" s="85" t="b">
        <x:v>1</x:v>
      </x:c>
      <x:c r="K260" s="85" t="b">
        <x:v>1</x:v>
      </x:c>
      <x:c r="L260" s="56" t="str">
        <x:f>'Actions'!BE8</x:f>
        <x:v>OK</x:v>
      </x:c>
      <x:c r="M260" s="44" t="str">
        <x:v>Источник Actions.Category</x:v>
      </x:c>
    </x:row>
    <x:row r="261" ht="36" customHeight="1">
      <x:c r="A261" s="118" t="n">
        <x:v>256</x:v>
      </x:c>
      <x:c r="B261" s="35" t="str">
        <x:v>action</x:v>
      </x:c>
      <x:c r="C261" s="35" t="str">
        <x:v>sys_wait</x:v>
      </x:c>
      <x:c r="D261" s="35" t="str">
        <x:v>tags</x:v>
      </x:c>
      <x:c r="E261" s="38" t="str">
        <x:v>string</x:v>
      </x:c>
      <x:c r="F261" s="56" t="str">
        <x:f>'Actions'!F8</x:f>
        <x:v>system|wait</x:v>
      </x:c>
      <x:c r="G261" s="38" t="str"/>
      <x:c r="H261" s="35" t="str">
        <x:v>Actions</x:v>
      </x:c>
      <x:c r="I261" s="35" t="str">
        <x:v>F8</x:v>
      </x:c>
      <x:c r="J261" s="85" t="b">
        <x:v>1</x:v>
      </x:c>
      <x:c r="K261" s="85" t="b">
        <x:v>1</x:v>
      </x:c>
      <x:c r="L261" s="56" t="str">
        <x:f>'Actions'!BE8</x:f>
        <x:v>OK</x:v>
      </x:c>
      <x:c r="M261" s="44" t="str">
        <x:v>Источник Actions.Tags</x:v>
      </x:c>
    </x:row>
    <x:row r="262" ht="36" customHeight="1">
      <x:c r="A262" s="118" t="n">
        <x:v>257</x:v>
      </x:c>
      <x:c r="B262" s="35" t="str">
        <x:v>action</x:v>
      </x:c>
      <x:c r="C262" s="35" t="str">
        <x:v>sys_wait</x:v>
      </x:c>
      <x:c r="D262" s="35" t="str">
        <x:v>base_weight</x:v>
      </x:c>
      <x:c r="E262" s="38" t="str">
        <x:v>int</x:v>
      </x:c>
      <x:c r="F262" s="56" t="n">
        <x:f>'Actions'!G8</x:f>
        <x:v>150</x:v>
      </x:c>
      <x:c r="G262" s="38" t="str"/>
      <x:c r="H262" s="35" t="str">
        <x:v>Actions</x:v>
      </x:c>
      <x:c r="I262" s="35" t="str">
        <x:v>G8</x:v>
      </x:c>
      <x:c r="J262" s="85" t="b">
        <x:v>1</x:v>
      </x:c>
      <x:c r="K262" s="85" t="b">
        <x:v>1</x:v>
      </x:c>
      <x:c r="L262" s="56" t="str">
        <x:f>'Actions'!BE8</x:f>
        <x:v>OK</x:v>
      </x:c>
      <x:c r="M262" s="44" t="str">
        <x:v>Источник Actions.Base Weight</x:v>
      </x:c>
    </x:row>
    <x:row r="263" ht="36" customHeight="1">
      <x:c r="A263" s="118" t="n">
        <x:v>258</x:v>
      </x:c>
      <x:c r="B263" s="35" t="str">
        <x:v>action</x:v>
      </x:c>
      <x:c r="C263" s="35" t="str">
        <x:v>sys_wait</x:v>
      </x:c>
      <x:c r="D263" s="35" t="str">
        <x:v>preferred_range_min</x:v>
      </x:c>
      <x:c r="E263" s="38" t="str">
        <x:v>int</x:v>
      </x:c>
      <x:c r="F263" s="56" t="n">
        <x:f>'Actions'!H8</x:f>
        <x:v>0</x:v>
      </x:c>
      <x:c r="G263" s="38" t="str"/>
      <x:c r="H263" s="35" t="str">
        <x:v>Actions</x:v>
      </x:c>
      <x:c r="I263" s="35" t="str">
        <x:v>H8</x:v>
      </x:c>
      <x:c r="J263" s="85" t="b">
        <x:v>1</x:v>
      </x:c>
      <x:c r="K263" s="85" t="b">
        <x:v>1</x:v>
      </x:c>
      <x:c r="L263" s="56" t="str">
        <x:f>'Actions'!BE8</x:f>
        <x:v>OK</x:v>
      </x:c>
      <x:c r="M263" s="44" t="str">
        <x:v>Источник Actions.Preferred Range Min</x:v>
      </x:c>
    </x:row>
    <x:row r="264" ht="36" customHeight="1">
      <x:c r="A264" s="118" t="n">
        <x:v>259</x:v>
      </x:c>
      <x:c r="B264" s="35" t="str">
        <x:v>action</x:v>
      </x:c>
      <x:c r="C264" s="35" t="str">
        <x:v>sys_wait</x:v>
      </x:c>
      <x:c r="D264" s="35" t="str">
        <x:v>preferred_range_max</x:v>
      </x:c>
      <x:c r="E264" s="38" t="str">
        <x:v>int</x:v>
      </x:c>
      <x:c r="F264" s="56" t="n">
        <x:f>'Actions'!I8</x:f>
        <x:v>10000</x:v>
      </x:c>
      <x:c r="G264" s="38" t="str"/>
      <x:c r="H264" s="35" t="str">
        <x:v>Actions</x:v>
      </x:c>
      <x:c r="I264" s="35" t="str">
        <x:v>I8</x:v>
      </x:c>
      <x:c r="J264" s="85" t="b">
        <x:v>1</x:v>
      </x:c>
      <x:c r="K264" s="85" t="b">
        <x:v>1</x:v>
      </x:c>
      <x:c r="L264" s="56" t="str">
        <x:f>'Actions'!BE8</x:f>
        <x:v>OK</x:v>
      </x:c>
      <x:c r="M264" s="44" t="str">
        <x:v>Источник Actions.Preferred Range Max</x:v>
      </x:c>
    </x:row>
    <x:row r="265" ht="36" customHeight="1">
      <x:c r="A265" s="118" t="n">
        <x:v>260</x:v>
      </x:c>
      <x:c r="B265" s="35" t="str">
        <x:v>action</x:v>
      </x:c>
      <x:c r="C265" s="35" t="str">
        <x:v>sys_wait</x:v>
      </x:c>
      <x:c r="D265" s="35" t="str">
        <x:v>hit_range_min</x:v>
      </x:c>
      <x:c r="E265" s="38" t="str">
        <x:v>int</x:v>
      </x:c>
      <x:c r="F265" s="56" t="n">
        <x:f>'Actions'!J8</x:f>
        <x:v>0</x:v>
      </x:c>
      <x:c r="G265" s="38" t="str"/>
      <x:c r="H265" s="35" t="str">
        <x:v>Actions</x:v>
      </x:c>
      <x:c r="I265" s="35" t="str">
        <x:v>J8</x:v>
      </x:c>
      <x:c r="J265" s="85" t="b">
        <x:v>1</x:v>
      </x:c>
      <x:c r="K265" s="85" t="b">
        <x:v>1</x:v>
      </x:c>
      <x:c r="L265" s="56" t="str">
        <x:f>'Actions'!BE8</x:f>
        <x:v>OK</x:v>
      </x:c>
      <x:c r="M265" s="44" t="str">
        <x:v>Источник Actions.Hit Range Min</x:v>
      </x:c>
    </x:row>
    <x:row r="266" ht="36" customHeight="1">
      <x:c r="A266" s="118" t="n">
        <x:v>261</x:v>
      </x:c>
      <x:c r="B266" s="35" t="str">
        <x:v>action</x:v>
      </x:c>
      <x:c r="C266" s="35" t="str">
        <x:v>sys_wait</x:v>
      </x:c>
      <x:c r="D266" s="35" t="str">
        <x:v>hit_range_max</x:v>
      </x:c>
      <x:c r="E266" s="38" t="str">
        <x:v>int</x:v>
      </x:c>
      <x:c r="F266" s="56" t="n">
        <x:f>'Actions'!K8</x:f>
        <x:v>0</x:v>
      </x:c>
      <x:c r="G266" s="38" t="str"/>
      <x:c r="H266" s="35" t="str">
        <x:v>Actions</x:v>
      </x:c>
      <x:c r="I266" s="35" t="str">
        <x:v>K8</x:v>
      </x:c>
      <x:c r="J266" s="85" t="b">
        <x:v>1</x:v>
      </x:c>
      <x:c r="K266" s="85" t="b">
        <x:v>1</x:v>
      </x:c>
      <x:c r="L266" s="56" t="str">
        <x:f>'Actions'!BE8</x:f>
        <x:v>OK</x:v>
      </x:c>
      <x:c r="M266" s="44" t="str">
        <x:v>Источник Actions.Hit Range Max</x:v>
      </x:c>
    </x:row>
    <x:row r="267" ht="36" customHeight="1">
      <x:c r="A267" s="118" t="n">
        <x:v>262</x:v>
      </x:c>
      <x:c r="B267" s="35" t="str">
        <x:v>action</x:v>
      </x:c>
      <x:c r="C267" s="35" t="str">
        <x:v>sys_wait</x:v>
      </x:c>
      <x:c r="D267" s="35" t="str">
        <x:v>energy_cost</x:v>
      </x:c>
      <x:c r="E267" s="38" t="str">
        <x:v>int</x:v>
      </x:c>
      <x:c r="F267" s="56" t="n">
        <x:f>'Actions'!L8</x:f>
        <x:v>0</x:v>
      </x:c>
      <x:c r="G267" s="38" t="str"/>
      <x:c r="H267" s="35" t="str">
        <x:v>Actions</x:v>
      </x:c>
      <x:c r="I267" s="35" t="str">
        <x:v>L8</x:v>
      </x:c>
      <x:c r="J267" s="85" t="b">
        <x:v>1</x:v>
      </x:c>
      <x:c r="K267" s="85" t="b">
        <x:v>1</x:v>
      </x:c>
      <x:c r="L267" s="56" t="str">
        <x:f>'Actions'!BE8</x:f>
        <x:v>OK</x:v>
      </x:c>
      <x:c r="M267" s="44" t="str">
        <x:v>Источник Actions.Energy Cost</x:v>
      </x:c>
    </x:row>
    <x:row r="268" ht="36" customHeight="1">
      <x:c r="A268" s="118" t="n">
        <x:v>263</x:v>
      </x:c>
      <x:c r="B268" s="35" t="str">
        <x:v>action</x:v>
      </x:c>
      <x:c r="C268" s="35" t="str">
        <x:v>sys_wait</x:v>
      </x:c>
      <x:c r="D268" s="35" t="str">
        <x:v>resource_cost</x:v>
      </x:c>
      <x:c r="E268" s="38" t="str">
        <x:v>int</x:v>
      </x:c>
      <x:c r="F268" s="56" t="n">
        <x:f>'Actions'!M8</x:f>
        <x:v>0</x:v>
      </x:c>
      <x:c r="G268" s="38" t="str"/>
      <x:c r="H268" s="35" t="str">
        <x:v>Actions</x:v>
      </x:c>
      <x:c r="I268" s="35" t="str">
        <x:v>M8</x:v>
      </x:c>
      <x:c r="J268" s="85" t="b">
        <x:v>1</x:v>
      </x:c>
      <x:c r="K268" s="85" t="b">
        <x:v>1</x:v>
      </x:c>
      <x:c r="L268" s="56" t="str">
        <x:f>'Actions'!BE8</x:f>
        <x:v>OK</x:v>
      </x:c>
      <x:c r="M268" s="44" t="str">
        <x:v>Источник Actions.Resource Cost</x:v>
      </x:c>
    </x:row>
    <x:row r="269" ht="36" customHeight="1">
      <x:c r="A269" s="118" t="n">
        <x:v>264</x:v>
      </x:c>
      <x:c r="B269" s="35" t="str">
        <x:v>action</x:v>
      </x:c>
      <x:c r="C269" s="35" t="str">
        <x:v>sys_wait</x:v>
      </x:c>
      <x:c r="D269" s="35" t="str">
        <x:v>base_damage</x:v>
      </x:c>
      <x:c r="E269" s="38" t="str">
        <x:v>int</x:v>
      </x:c>
      <x:c r="F269" s="56" t="n">
        <x:f>'Actions'!N8</x:f>
        <x:v>0</x:v>
      </x:c>
      <x:c r="G269" s="38" t="str"/>
      <x:c r="H269" s="35" t="str">
        <x:v>Actions</x:v>
      </x:c>
      <x:c r="I269" s="35" t="str">
        <x:v>N8</x:v>
      </x:c>
      <x:c r="J269" s="85" t="b">
        <x:v>1</x:v>
      </x:c>
      <x:c r="K269" s="85" t="b">
        <x:v>1</x:v>
      </x:c>
      <x:c r="L269" s="56" t="str">
        <x:f>'Actions'!BE8</x:f>
        <x:v>OK</x:v>
      </x:c>
      <x:c r="M269" s="44" t="str">
        <x:v>Источник Actions.Base Damage / hit</x:v>
      </x:c>
    </x:row>
    <x:row r="270" ht="36" customHeight="1">
      <x:c r="A270" s="118" t="n">
        <x:v>265</x:v>
      </x:c>
      <x:c r="B270" s="35" t="str">
        <x:v>action</x:v>
      </x:c>
      <x:c r="C270" s="35" t="str">
        <x:v>sys_wait</x:v>
      </x:c>
      <x:c r="D270" s="35" t="str">
        <x:v>power_ratio_fp</x:v>
      </x:c>
      <x:c r="E270" s="38" t="str">
        <x:v>int</x:v>
      </x:c>
      <x:c r="F270" s="56" t="n">
        <x:f>'Actions'!O8</x:f>
        <x:v>0</x:v>
      </x:c>
      <x:c r="G270" s="38" t="str"/>
      <x:c r="H270" s="35" t="str">
        <x:v>Actions</x:v>
      </x:c>
      <x:c r="I270" s="35" t="str">
        <x:v>O8</x:v>
      </x:c>
      <x:c r="J270" s="85" t="b">
        <x:v>1</x:v>
      </x:c>
      <x:c r="K270" s="85" t="b">
        <x:v>1</x:v>
      </x:c>
      <x:c r="L270" s="56" t="str">
        <x:f>'Actions'!BE8</x:f>
        <x:v>OK</x:v>
      </x:c>
      <x:c r="M270" s="44" t="str">
        <x:v>Источник Actions.Power Ratio FP</x:v>
      </x:c>
    </x:row>
    <x:row r="271" ht="36" customHeight="1">
      <x:c r="A271" s="118" t="n">
        <x:v>266</x:v>
      </x:c>
      <x:c r="B271" s="35" t="str">
        <x:v>action</x:v>
      </x:c>
      <x:c r="C271" s="35" t="str">
        <x:v>sys_wait</x:v>
      </x:c>
      <x:c r="D271" s="35" t="str">
        <x:v>min_damage</x:v>
      </x:c>
      <x:c r="E271" s="38" t="str">
        <x:v>int</x:v>
      </x:c>
      <x:c r="F271" s="56" t="n">
        <x:f>'Actions'!P8</x:f>
        <x:v>0</x:v>
      </x:c>
      <x:c r="G271" s="38" t="str"/>
      <x:c r="H271" s="35" t="str">
        <x:v>Actions</x:v>
      </x:c>
      <x:c r="I271" s="35" t="str">
        <x:v>P8</x:v>
      </x:c>
      <x:c r="J271" s="85" t="b">
        <x:v>1</x:v>
      </x:c>
      <x:c r="K271" s="85" t="b">
        <x:v>1</x:v>
      </x:c>
      <x:c r="L271" s="56" t="str">
        <x:f>'Actions'!BE8</x:f>
        <x:v>OK</x:v>
      </x:c>
      <x:c r="M271" s="44" t="str">
        <x:v>Источник Actions.Min Damage</x:v>
      </x:c>
    </x:row>
    <x:row r="272" ht="36" customHeight="1">
      <x:c r="A272" s="118" t="n">
        <x:v>267</x:v>
      </x:c>
      <x:c r="B272" s="35" t="str">
        <x:v>action</x:v>
      </x:c>
      <x:c r="C272" s="35" t="str">
        <x:v>sys_wait</x:v>
      </x:c>
      <x:c r="D272" s="35" t="str">
        <x:v>chip_min</x:v>
      </x:c>
      <x:c r="E272" s="38" t="str">
        <x:v>int</x:v>
      </x:c>
      <x:c r="F272" s="56" t="n">
        <x:f>'Actions'!Q8</x:f>
        <x:v>0</x:v>
      </x:c>
      <x:c r="G272" s="38" t="str"/>
      <x:c r="H272" s="35" t="str">
        <x:v>Actions</x:v>
      </x:c>
      <x:c r="I272" s="35" t="str">
        <x:v>Q8</x:v>
      </x:c>
      <x:c r="J272" s="85" t="b">
        <x:v>1</x:v>
      </x:c>
      <x:c r="K272" s="85" t="b">
        <x:v>1</x:v>
      </x:c>
      <x:c r="L272" s="56" t="str">
        <x:f>'Actions'!BE8</x:f>
        <x:v>OK</x:v>
      </x:c>
      <x:c r="M272" s="44" t="str">
        <x:v>Источник Actions.Chip Min</x:v>
      </x:c>
    </x:row>
    <x:row r="273" ht="36" customHeight="1">
      <x:c r="A273" s="118" t="n">
        <x:v>268</x:v>
      </x:c>
      <x:c r="B273" s="35" t="str">
        <x:v>action</x:v>
      </x:c>
      <x:c r="C273" s="35" t="str">
        <x:v>sys_wait</x:v>
      </x:c>
      <x:c r="D273" s="35" t="str">
        <x:v>startup_base_ticks</x:v>
      </x:c>
      <x:c r="E273" s="38" t="str">
        <x:v>int</x:v>
      </x:c>
      <x:c r="F273" s="56" t="n">
        <x:f>'Actions'!R8</x:f>
        <x:v>0</x:v>
      </x:c>
      <x:c r="G273" s="38" t="str"/>
      <x:c r="H273" s="35" t="str">
        <x:v>Actions</x:v>
      </x:c>
      <x:c r="I273" s="35" t="str">
        <x:v>R8</x:v>
      </x:c>
      <x:c r="J273" s="85" t="b">
        <x:v>1</x:v>
      </x:c>
      <x:c r="K273" s="85" t="b">
        <x:v>1</x:v>
      </x:c>
      <x:c r="L273" s="56" t="str">
        <x:f>'Actions'!BE8</x:f>
        <x:v>OK</x:v>
      </x:c>
      <x:c r="M273" s="44" t="str">
        <x:v>Источник Actions.Startup Base Ticks</x:v>
      </x:c>
    </x:row>
    <x:row r="274" ht="36" customHeight="1">
      <x:c r="A274" s="118" t="n">
        <x:v>269</x:v>
      </x:c>
      <x:c r="B274" s="35" t="str">
        <x:v>action</x:v>
      </x:c>
      <x:c r="C274" s="35" t="str">
        <x:v>sys_wait</x:v>
      </x:c>
      <x:c r="D274" s="35" t="str">
        <x:v>startup_min_ticks</x:v>
      </x:c>
      <x:c r="E274" s="38" t="str">
        <x:v>int</x:v>
      </x:c>
      <x:c r="F274" s="56" t="n">
        <x:f>'Actions'!S8</x:f>
        <x:v>0</x:v>
      </x:c>
      <x:c r="G274" s="38" t="str"/>
      <x:c r="H274" s="35" t="str">
        <x:v>Actions</x:v>
      </x:c>
      <x:c r="I274" s="35" t="str">
        <x:v>S8</x:v>
      </x:c>
      <x:c r="J274" s="85" t="b">
        <x:v>1</x:v>
      </x:c>
      <x:c r="K274" s="85" t="b">
        <x:v>1</x:v>
      </x:c>
      <x:c r="L274" s="56" t="str">
        <x:f>'Actions'!BE8</x:f>
        <x:v>OK</x:v>
      </x:c>
      <x:c r="M274" s="44" t="str">
        <x:v>Источник Actions.Startup Min Ticks</x:v>
      </x:c>
    </x:row>
    <x:row r="275" ht="36" customHeight="1">
      <x:c r="A275" s="118" t="n">
        <x:v>270</x:v>
      </x:c>
      <x:c r="B275" s="35" t="str">
        <x:v>action</x:v>
      </x:c>
      <x:c r="C275" s="35" t="str">
        <x:v>sys_wait</x:v>
      </x:c>
      <x:c r="D275" s="35" t="str">
        <x:v>startup_max_ticks</x:v>
      </x:c>
      <x:c r="E275" s="38" t="str">
        <x:v>int</x:v>
      </x:c>
      <x:c r="F275" s="56" t="n">
        <x:f>'Actions'!T8</x:f>
        <x:v>0</x:v>
      </x:c>
      <x:c r="G275" s="38" t="str"/>
      <x:c r="H275" s="35" t="str">
        <x:v>Actions</x:v>
      </x:c>
      <x:c r="I275" s="35" t="str">
        <x:v>T8</x:v>
      </x:c>
      <x:c r="J275" s="85" t="b">
        <x:v>1</x:v>
      </x:c>
      <x:c r="K275" s="85" t="b">
        <x:v>1</x:v>
      </x:c>
      <x:c r="L275" s="56" t="str">
        <x:f>'Actions'!BE8</x:f>
        <x:v>OK</x:v>
      </x:c>
      <x:c r="M275" s="44" t="str">
        <x:v>Источник Actions.Startup Max Ticks</x:v>
      </x:c>
    </x:row>
    <x:row r="276" ht="36" customHeight="1">
      <x:c r="A276" s="118" t="n">
        <x:v>271</x:v>
      </x:c>
      <x:c r="B276" s="35" t="str">
        <x:v>action</x:v>
      </x:c>
      <x:c r="C276" s="35" t="str">
        <x:v>sys_wait</x:v>
      </x:c>
      <x:c r="D276" s="35" t="str">
        <x:v>active_ticks</x:v>
      </x:c>
      <x:c r="E276" s="38" t="str">
        <x:v>int</x:v>
      </x:c>
      <x:c r="F276" s="56" t="n">
        <x:f>'Actions'!U8</x:f>
        <x:v>3</x:v>
      </x:c>
      <x:c r="G276" s="38" t="str"/>
      <x:c r="H276" s="35" t="str">
        <x:v>Actions</x:v>
      </x:c>
      <x:c r="I276" s="35" t="str">
        <x:v>U8</x:v>
      </x:c>
      <x:c r="J276" s="85" t="b">
        <x:v>1</x:v>
      </x:c>
      <x:c r="K276" s="85" t="b">
        <x:v>1</x:v>
      </x:c>
      <x:c r="L276" s="56" t="str">
        <x:f>'Actions'!BE8</x:f>
        <x:v>OK</x:v>
      </x:c>
      <x:c r="M276" s="44" t="str">
        <x:v>Источник Actions.Active Ticks</x:v>
      </x:c>
    </x:row>
    <x:row r="277" ht="36" customHeight="1">
      <x:c r="A277" s="118" t="n">
        <x:v>272</x:v>
      </x:c>
      <x:c r="B277" s="35" t="str">
        <x:v>action</x:v>
      </x:c>
      <x:c r="C277" s="35" t="str">
        <x:v>sys_wait</x:v>
      </x:c>
      <x:c r="D277" s="35" t="str">
        <x:v>hit_schedule</x:v>
      </x:c>
      <x:c r="E277" s="38" t="str">
        <x:v>string</x:v>
      </x:c>
      <x:c r="F277" s="56" t="str">
        <x:f>'Actions'!V8</x:f>
      </x:c>
      <x:c r="G277" s="38" t="str"/>
      <x:c r="H277" s="35" t="str">
        <x:v>Actions</x:v>
      </x:c>
      <x:c r="I277" s="35" t="str">
        <x:v>V8</x:v>
      </x:c>
      <x:c r="J277" s="85" t="b">
        <x:v>1</x:v>
      </x:c>
      <x:c r="K277" s="85" t="b">
        <x:v>1</x:v>
      </x:c>
      <x:c r="L277" s="56" t="str">
        <x:f>'Actions'!BE8</x:f>
        <x:v>OK</x:v>
      </x:c>
      <x:c r="M277" s="44" t="str">
        <x:v>Источник Actions.Hit Schedule</x:v>
      </x:c>
    </x:row>
    <x:row r="278" ht="36" customHeight="1">
      <x:c r="A278" s="118" t="n">
        <x:v>273</x:v>
      </x:c>
      <x:c r="B278" s="35" t="str">
        <x:v>action</x:v>
      </x:c>
      <x:c r="C278" s="35" t="str">
        <x:v>sys_wait</x:v>
      </x:c>
      <x:c r="D278" s="35" t="str">
        <x:v>hit_count</x:v>
      </x:c>
      <x:c r="E278" s="38" t="str">
        <x:v>int</x:v>
      </x:c>
      <x:c r="F278" s="56" t="n">
        <x:f>'Actions'!W8</x:f>
        <x:v>0</x:v>
      </x:c>
      <x:c r="G278" s="38" t="str"/>
      <x:c r="H278" s="35" t="str">
        <x:v>Actions</x:v>
      </x:c>
      <x:c r="I278" s="35" t="str">
        <x:v>W8</x:v>
      </x:c>
      <x:c r="J278" s="85" t="b">
        <x:v>1</x:v>
      </x:c>
      <x:c r="K278" s="85" t="b">
        <x:v>1</x:v>
      </x:c>
      <x:c r="L278" s="56" t="str">
        <x:f>'Actions'!BE8</x:f>
        <x:v>OK</x:v>
      </x:c>
      <x:c r="M278" s="44" t="str">
        <x:v>Источник Actions.Hit Count</x:v>
      </x:c>
    </x:row>
    <x:row r="279" ht="36" customHeight="1">
      <x:c r="A279" s="118" t="n">
        <x:v>274</x:v>
      </x:c>
      <x:c r="B279" s="35" t="str">
        <x:v>action</x:v>
      </x:c>
      <x:c r="C279" s="35" t="str">
        <x:v>sys_wait</x:v>
      </x:c>
      <x:c r="D279" s="35" t="str">
        <x:v>recovery_base_ticks</x:v>
      </x:c>
      <x:c r="E279" s="38" t="str">
        <x:v>int</x:v>
      </x:c>
      <x:c r="F279" s="56" t="n">
        <x:f>'Actions'!X8</x:f>
        <x:v>0</x:v>
      </x:c>
      <x:c r="G279" s="38" t="str"/>
      <x:c r="H279" s="35" t="str">
        <x:v>Actions</x:v>
      </x:c>
      <x:c r="I279" s="35" t="str">
        <x:v>X8</x:v>
      </x:c>
      <x:c r="J279" s="85" t="b">
        <x:v>1</x:v>
      </x:c>
      <x:c r="K279" s="85" t="b">
        <x:v>1</x:v>
      </x:c>
      <x:c r="L279" s="56" t="str">
        <x:f>'Actions'!BE8</x:f>
        <x:v>OK</x:v>
      </x:c>
      <x:c r="M279" s="44" t="str">
        <x:v>Источник Actions.Recovery Base Ticks</x:v>
      </x:c>
    </x:row>
    <x:row r="280" ht="36" customHeight="1">
      <x:c r="A280" s="118" t="n">
        <x:v>275</x:v>
      </x:c>
      <x:c r="B280" s="35" t="str">
        <x:v>action</x:v>
      </x:c>
      <x:c r="C280" s="35" t="str">
        <x:v>sys_wait</x:v>
      </x:c>
      <x:c r="D280" s="35" t="str">
        <x:v>recovery_min_ticks</x:v>
      </x:c>
      <x:c r="E280" s="38" t="str">
        <x:v>int</x:v>
      </x:c>
      <x:c r="F280" s="56" t="n">
        <x:f>'Actions'!Y8</x:f>
        <x:v>0</x:v>
      </x:c>
      <x:c r="G280" s="38" t="str"/>
      <x:c r="H280" s="35" t="str">
        <x:v>Actions</x:v>
      </x:c>
      <x:c r="I280" s="35" t="str">
        <x:v>Y8</x:v>
      </x:c>
      <x:c r="J280" s="85" t="b">
        <x:v>1</x:v>
      </x:c>
      <x:c r="K280" s="85" t="b">
        <x:v>1</x:v>
      </x:c>
      <x:c r="L280" s="56" t="str">
        <x:f>'Actions'!BE8</x:f>
        <x:v>OK</x:v>
      </x:c>
      <x:c r="M280" s="44" t="str">
        <x:v>Источник Actions.Recovery Min Ticks</x:v>
      </x:c>
    </x:row>
    <x:row r="281" ht="36" customHeight="1">
      <x:c r="A281" s="118" t="n">
        <x:v>276</x:v>
      </x:c>
      <x:c r="B281" s="35" t="str">
        <x:v>action</x:v>
      </x:c>
      <x:c r="C281" s="35" t="str">
        <x:v>sys_wait</x:v>
      </x:c>
      <x:c r="D281" s="35" t="str">
        <x:v>recovery_max_ticks</x:v>
      </x:c>
      <x:c r="E281" s="38" t="str">
        <x:v>int</x:v>
      </x:c>
      <x:c r="F281" s="56" t="n">
        <x:f>'Actions'!Z8</x:f>
        <x:v>0</x:v>
      </x:c>
      <x:c r="G281" s="38" t="str"/>
      <x:c r="H281" s="35" t="str">
        <x:v>Actions</x:v>
      </x:c>
      <x:c r="I281" s="35" t="str">
        <x:v>Z8</x:v>
      </x:c>
      <x:c r="J281" s="85" t="b">
        <x:v>1</x:v>
      </x:c>
      <x:c r="K281" s="85" t="b">
        <x:v>1</x:v>
      </x:c>
      <x:c r="L281" s="56" t="str">
        <x:f>'Actions'!BE8</x:f>
        <x:v>OK</x:v>
      </x:c>
      <x:c r="M281" s="44" t="str">
        <x:v>Источник Actions.Recovery Max Ticks</x:v>
      </x:c>
    </x:row>
    <x:row r="282" ht="36" customHeight="1">
      <x:c r="A282" s="118" t="n">
        <x:v>277</x:v>
      </x:c>
      <x:c r="B282" s="35" t="str">
        <x:v>action</x:v>
      </x:c>
      <x:c r="C282" s="35" t="str">
        <x:v>sys_wait</x:v>
      </x:c>
      <x:c r="D282" s="35" t="str">
        <x:v>cooldown_ticks</x:v>
      </x:c>
      <x:c r="E282" s="38" t="str">
        <x:v>int</x:v>
      </x:c>
      <x:c r="F282" s="56" t="n">
        <x:f>'Actions'!AA8</x:f>
        <x:v>0</x:v>
      </x:c>
      <x:c r="G282" s="38" t="str"/>
      <x:c r="H282" s="35" t="str">
        <x:v>Actions</x:v>
      </x:c>
      <x:c r="I282" s="35" t="str">
        <x:v>AA8</x:v>
      </x:c>
      <x:c r="J282" s="85" t="b">
        <x:v>1</x:v>
      </x:c>
      <x:c r="K282" s="85" t="b">
        <x:v>1</x:v>
      </x:c>
      <x:c r="L282" s="56" t="str">
        <x:f>'Actions'!BE8</x:f>
        <x:v>OK</x:v>
      </x:c>
      <x:c r="M282" s="44" t="str">
        <x:v>Источник Actions.Cooldown Ticks</x:v>
      </x:c>
    </x:row>
    <x:row r="283" ht="36" customHeight="1">
      <x:c r="A283" s="118" t="n">
        <x:v>278</x:v>
      </x:c>
      <x:c r="B283" s="35" t="str">
        <x:v>action</x:v>
      </x:c>
      <x:c r="C283" s="35" t="str">
        <x:v>sys_wait</x:v>
      </x:c>
      <x:c r="D283" s="35" t="str">
        <x:v>action_priority</x:v>
      </x:c>
      <x:c r="E283" s="38" t="str">
        <x:v>int</x:v>
      </x:c>
      <x:c r="F283" s="56" t="n">
        <x:f>'Actions'!AB8</x:f>
        <x:v>1</x:v>
      </x:c>
      <x:c r="G283" s="38" t="str"/>
      <x:c r="H283" s="35" t="str">
        <x:v>Actions</x:v>
      </x:c>
      <x:c r="I283" s="35" t="str">
        <x:v>AB8</x:v>
      </x:c>
      <x:c r="J283" s="85" t="b">
        <x:v>1</x:v>
      </x:c>
      <x:c r="K283" s="85" t="b">
        <x:v>1</x:v>
      </x:c>
      <x:c r="L283" s="56" t="str">
        <x:f>'Actions'!BE8</x:f>
        <x:v>OK</x:v>
      </x:c>
      <x:c r="M283" s="44" t="str">
        <x:v>Источник Actions.Action Priority</x:v>
      </x:c>
    </x:row>
    <x:row r="284" ht="36" customHeight="1">
      <x:c r="A284" s="118" t="n">
        <x:v>279</x:v>
      </x:c>
      <x:c r="B284" s="35" t="str">
        <x:v>action</x:v>
      </x:c>
      <x:c r="C284" s="35" t="str">
        <x:v>sys_wait</x:v>
      </x:c>
      <x:c r="D284" s="35" t="str">
        <x:v>clash_priority</x:v>
      </x:c>
      <x:c r="E284" s="38" t="str">
        <x:v>int</x:v>
      </x:c>
      <x:c r="F284" s="56" t="n">
        <x:f>'Actions'!AC8</x:f>
        <x:v>0</x:v>
      </x:c>
      <x:c r="G284" s="38" t="str"/>
      <x:c r="H284" s="35" t="str">
        <x:v>Actions</x:v>
      </x:c>
      <x:c r="I284" s="35" t="str">
        <x:v>AC8</x:v>
      </x:c>
      <x:c r="J284" s="85" t="b">
        <x:v>1</x:v>
      </x:c>
      <x:c r="K284" s="85" t="b">
        <x:v>1</x:v>
      </x:c>
      <x:c r="L284" s="56" t="str">
        <x:f>'Actions'!BE8</x:f>
        <x:v>OK</x:v>
      </x:c>
      <x:c r="M284" s="44" t="str">
        <x:v>Источник Actions.Clash Priority</x:v>
      </x:c>
    </x:row>
    <x:row r="285" ht="36" customHeight="1">
      <x:c r="A285" s="118" t="n">
        <x:v>280</x:v>
      </x:c>
      <x:c r="B285" s="35" t="str">
        <x:v>action</x:v>
      </x:c>
      <x:c r="C285" s="35" t="str">
        <x:v>sys_wait</x:v>
      </x:c>
      <x:c r="D285" s="35" t="str">
        <x:v>grab_priority</x:v>
      </x:c>
      <x:c r="E285" s="38" t="str">
        <x:v>int</x:v>
      </x:c>
      <x:c r="F285" s="56" t="n">
        <x:f>'Actions'!AD8</x:f>
        <x:v>0</x:v>
      </x:c>
      <x:c r="G285" s="38" t="str"/>
      <x:c r="H285" s="35" t="str">
        <x:v>Actions</x:v>
      </x:c>
      <x:c r="I285" s="35" t="str">
        <x:v>AD8</x:v>
      </x:c>
      <x:c r="J285" s="85" t="b">
        <x:v>1</x:v>
      </x:c>
      <x:c r="K285" s="85" t="b">
        <x:v>1</x:v>
      </x:c>
      <x:c r="L285" s="56" t="str">
        <x:f>'Actions'!BE8</x:f>
        <x:v>OK</x:v>
      </x:c>
      <x:c r="M285" s="44" t="str">
        <x:v>Источник Actions.Grab Priority</x:v>
      </x:c>
    </x:row>
    <x:row r="286" ht="36" customHeight="1">
      <x:c r="A286" s="118" t="n">
        <x:v>281</x:v>
      </x:c>
      <x:c r="B286" s="35" t="str">
        <x:v>action</x:v>
      </x:c>
      <x:c r="C286" s="35" t="str">
        <x:v>sys_wait</x:v>
      </x:c>
      <x:c r="D286" s="35" t="str">
        <x:v>resolution_priority</x:v>
      </x:c>
      <x:c r="E286" s="38" t="str">
        <x:v>int</x:v>
      </x:c>
      <x:c r="F286" s="56" t="n">
        <x:f>'Actions'!AE8</x:f>
        <x:v>1</x:v>
      </x:c>
      <x:c r="G286" s="38" t="str"/>
      <x:c r="H286" s="35" t="str">
        <x:v>Actions</x:v>
      </x:c>
      <x:c r="I286" s="35" t="str">
        <x:v>AE8</x:v>
      </x:c>
      <x:c r="J286" s="85" t="b">
        <x:v>1</x:v>
      </x:c>
      <x:c r="K286" s="85" t="b">
        <x:v>1</x:v>
      </x:c>
      <x:c r="L286" s="56" t="str">
        <x:f>'Actions'!BE8</x:f>
        <x:v>OK</x:v>
      </x:c>
      <x:c r="M286" s="44" t="str">
        <x:v>Источник Actions.Resolution Priority</x:v>
      </x:c>
    </x:row>
    <x:row r="287" ht="36" customHeight="1">
      <x:c r="A287" s="118" t="n">
        <x:v>282</x:v>
      </x:c>
      <x:c r="B287" s="35" t="str">
        <x:v>action</x:v>
      </x:c>
      <x:c r="C287" s="35" t="str">
        <x:v>sys_wait</x:v>
      </x:c>
      <x:c r="D287" s="35" t="str">
        <x:v>interrupt_profile</x:v>
      </x:c>
      <x:c r="E287" s="38" t="str">
        <x:v>string</x:v>
      </x:c>
      <x:c r="F287" s="56" t="str">
        <x:f>'Actions'!AF8</x:f>
        <x:v>Cancelable</x:v>
      </x:c>
      <x:c r="G287" s="38" t="str"/>
      <x:c r="H287" s="35" t="str">
        <x:v>Actions</x:v>
      </x:c>
      <x:c r="I287" s="35" t="str">
        <x:v>AF8</x:v>
      </x:c>
      <x:c r="J287" s="85" t="b">
        <x:v>1</x:v>
      </x:c>
      <x:c r="K287" s="85" t="b">
        <x:v>1</x:v>
      </x:c>
      <x:c r="L287" s="56" t="str">
        <x:f>'Actions'!BE8</x:f>
        <x:v>OK</x:v>
      </x:c>
      <x:c r="M287" s="44" t="str">
        <x:v>Источник Actions.Interrupt Profile</x:v>
      </x:c>
    </x:row>
    <x:row r="288" ht="36" customHeight="1">
      <x:c r="A288" s="118" t="n">
        <x:v>283</x:v>
      </x:c>
      <x:c r="B288" s="35" t="str">
        <x:v>action</x:v>
      </x:c>
      <x:c r="C288" s="35" t="str">
        <x:v>sys_wait</x:v>
      </x:c>
      <x:c r="D288" s="35" t="str">
        <x:v>blockable</x:v>
      </x:c>
      <x:c r="E288" s="38" t="str">
        <x:v>bool</x:v>
      </x:c>
      <x:c r="F288" s="56" t="b">
        <x:f>'Actions'!AG8</x:f>
        <x:v>0</x:v>
      </x:c>
      <x:c r="G288" s="38" t="str"/>
      <x:c r="H288" s="35" t="str">
        <x:v>Actions</x:v>
      </x:c>
      <x:c r="I288" s="35" t="str">
        <x:v>AG8</x:v>
      </x:c>
      <x:c r="J288" s="85" t="b">
        <x:v>1</x:v>
      </x:c>
      <x:c r="K288" s="85" t="b">
        <x:v>1</x:v>
      </x:c>
      <x:c r="L288" s="56" t="str">
        <x:f>'Actions'!BE8</x:f>
        <x:v>OK</x:v>
      </x:c>
      <x:c r="M288" s="44" t="str">
        <x:v>Источник Actions.Blockable</x:v>
      </x:c>
    </x:row>
    <x:row r="289" ht="36" customHeight="1">
      <x:c r="A289" s="118" t="n">
        <x:v>284</x:v>
      </x:c>
      <x:c r="B289" s="35" t="str">
        <x:v>action</x:v>
      </x:c>
      <x:c r="C289" s="35" t="str">
        <x:v>sys_wait</x:v>
      </x:c>
      <x:c r="D289" s="35" t="str">
        <x:v>dodgeable</x:v>
      </x:c>
      <x:c r="E289" s="38" t="str">
        <x:v>bool</x:v>
      </x:c>
      <x:c r="F289" s="56" t="b">
        <x:f>'Actions'!AH8</x:f>
        <x:v>0</x:v>
      </x:c>
      <x:c r="G289" s="38" t="str"/>
      <x:c r="H289" s="35" t="str">
        <x:v>Actions</x:v>
      </x:c>
      <x:c r="I289" s="35" t="str">
        <x:v>AH8</x:v>
      </x:c>
      <x:c r="J289" s="85" t="b">
        <x:v>1</x:v>
      </x:c>
      <x:c r="K289" s="85" t="b">
        <x:v>1</x:v>
      </x:c>
      <x:c r="L289" s="56" t="str">
        <x:f>'Actions'!BE8</x:f>
        <x:v>OK</x:v>
      </x:c>
      <x:c r="M289" s="44" t="str">
        <x:v>Источник Actions.Dodgeable</x:v>
      </x:c>
    </x:row>
    <x:row r="290" ht="36" customHeight="1">
      <x:c r="A290" s="118" t="n">
        <x:v>285</x:v>
      </x:c>
      <x:c r="B290" s="35" t="str">
        <x:v>action</x:v>
      </x:c>
      <x:c r="C290" s="35" t="str">
        <x:v>sys_wait</x:v>
      </x:c>
      <x:c r="D290" s="35" t="str">
        <x:v>undodgeable</x:v>
      </x:c>
      <x:c r="E290" s="38" t="str">
        <x:v>bool</x:v>
      </x:c>
      <x:c r="F290" s="56" t="b">
        <x:f>'Actions'!AI8</x:f>
        <x:v>0</x:v>
      </x:c>
      <x:c r="G290" s="38" t="str"/>
      <x:c r="H290" s="35" t="str">
        <x:v>Actions</x:v>
      </x:c>
      <x:c r="I290" s="35" t="str">
        <x:v>AI8</x:v>
      </x:c>
      <x:c r="J290" s="85" t="b">
        <x:v>1</x:v>
      </x:c>
      <x:c r="K290" s="85" t="b">
        <x:v>1</x:v>
      </x:c>
      <x:c r="L290" s="56" t="str">
        <x:f>'Actions'!BE8</x:f>
        <x:v>OK</x:v>
      </x:c>
      <x:c r="M290" s="44" t="str">
        <x:v>Источник Actions.Undodgeable</x:v>
      </x:c>
    </x:row>
    <x:row r="291" ht="36" customHeight="1">
      <x:c r="A291" s="118" t="n">
        <x:v>286</x:v>
      </x:c>
      <x:c r="B291" s="35" t="str">
        <x:v>action</x:v>
      </x:c>
      <x:c r="C291" s="35" t="str">
        <x:v>sys_wait</x:v>
      </x:c>
      <x:c r="D291" s="35" t="str">
        <x:v>wall_impact</x:v>
      </x:c>
      <x:c r="E291" s="38" t="str">
        <x:v>bool</x:v>
      </x:c>
      <x:c r="F291" s="56" t="b">
        <x:f>'Actions'!AJ8</x:f>
        <x:v>0</x:v>
      </x:c>
      <x:c r="G291" s="38" t="str"/>
      <x:c r="H291" s="35" t="str">
        <x:v>Actions</x:v>
      </x:c>
      <x:c r="I291" s="35" t="str">
        <x:v>AJ8</x:v>
      </x:c>
      <x:c r="J291" s="85" t="b">
        <x:v>1</x:v>
      </x:c>
      <x:c r="K291" s="85" t="b">
        <x:v>1</x:v>
      </x:c>
      <x:c r="L291" s="56" t="str">
        <x:f>'Actions'!BE8</x:f>
        <x:v>OK</x:v>
      </x:c>
      <x:c r="M291" s="44" t="str">
        <x:v>Источник Actions.Wall Impact</x:v>
      </x:c>
    </x:row>
    <x:row r="292" ht="36" customHeight="1">
      <x:c r="A292" s="118" t="n">
        <x:v>287</x:v>
      </x:c>
      <x:c r="B292" s="35" t="str">
        <x:v>action</x:v>
      </x:c>
      <x:c r="C292" s="35" t="str">
        <x:v>sys_wait</x:v>
      </x:c>
      <x:c r="D292" s="35" t="str">
        <x:v>track_target</x:v>
      </x:c>
      <x:c r="E292" s="38" t="str">
        <x:v>bool</x:v>
      </x:c>
      <x:c r="F292" s="56" t="b">
        <x:f>'Actions'!AK8</x:f>
        <x:v>0</x:v>
      </x:c>
      <x:c r="G292" s="38" t="str"/>
      <x:c r="H292" s="35" t="str">
        <x:v>Actions</x:v>
      </x:c>
      <x:c r="I292" s="35" t="str">
        <x:v>AK8</x:v>
      </x:c>
      <x:c r="J292" s="85" t="b">
        <x:v>1</x:v>
      </x:c>
      <x:c r="K292" s="85" t="b">
        <x:v>1</x:v>
      </x:c>
      <x:c r="L292" s="56" t="str">
        <x:f>'Actions'!BE8</x:f>
        <x:v>OK</x:v>
      </x:c>
      <x:c r="M292" s="44" t="str">
        <x:v>Источник Actions.Track Target</x:v>
      </x:c>
    </x:row>
    <x:row r="293" ht="36" customHeight="1">
      <x:c r="A293" s="118" t="n">
        <x:v>288</x:v>
      </x:c>
      <x:c r="B293" s="35" t="str">
        <x:v>action</x:v>
      </x:c>
      <x:c r="C293" s="35" t="str">
        <x:v>sys_wait</x:v>
      </x:c>
      <x:c r="D293" s="35" t="str">
        <x:v>block_base_chance_fp</x:v>
      </x:c>
      <x:c r="E293" s="38" t="str">
        <x:v>int</x:v>
      </x:c>
      <x:c r="F293" s="56" t="n">
        <x:f>'Actions'!AL8</x:f>
        <x:v>0</x:v>
      </x:c>
      <x:c r="G293" s="38" t="str"/>
      <x:c r="H293" s="35" t="str">
        <x:v>Actions</x:v>
      </x:c>
      <x:c r="I293" s="35" t="str">
        <x:v>AL8</x:v>
      </x:c>
      <x:c r="J293" s="85" t="b">
        <x:v>1</x:v>
      </x:c>
      <x:c r="K293" s="85" t="b">
        <x:v>1</x:v>
      </x:c>
      <x:c r="L293" s="56" t="str">
        <x:f>'Actions'!BE8</x:f>
        <x:v>OK</x:v>
      </x:c>
      <x:c r="M293" s="44" t="str">
        <x:v>Источник Actions.Block Base Chance FP</x:v>
      </x:c>
    </x:row>
    <x:row r="294" ht="36" customHeight="1">
      <x:c r="A294" s="118" t="n">
        <x:v>289</x:v>
      </x:c>
      <x:c r="B294" s="35" t="str">
        <x:v>action</x:v>
      </x:c>
      <x:c r="C294" s="35" t="str">
        <x:v>sys_wait</x:v>
      </x:c>
      <x:c r="D294" s="35" t="str">
        <x:v>block_reduction_fp</x:v>
      </x:c>
      <x:c r="E294" s="38" t="str">
        <x:v>int</x:v>
      </x:c>
      <x:c r="F294" s="56" t="n">
        <x:f>'Actions'!AM8</x:f>
        <x:v>0</x:v>
      </x:c>
      <x:c r="G294" s="38" t="str"/>
      <x:c r="H294" s="35" t="str">
        <x:v>Actions</x:v>
      </x:c>
      <x:c r="I294" s="35" t="str">
        <x:v>AM8</x:v>
      </x:c>
      <x:c r="J294" s="85" t="b">
        <x:v>1</x:v>
      </x:c>
      <x:c r="K294" s="85" t="b">
        <x:v>1</x:v>
      </x:c>
      <x:c r="L294" s="56" t="str">
        <x:f>'Actions'!BE8</x:f>
        <x:v>OK</x:v>
      </x:c>
      <x:c r="M294" s="44" t="str">
        <x:v>Источник Actions.Block Reduction FP</x:v>
      </x:c>
    </x:row>
    <x:row r="295" ht="36" customHeight="1">
      <x:c r="A295" s="118" t="n">
        <x:v>290</x:v>
      </x:c>
      <x:c r="B295" s="35" t="str">
        <x:v>action</x:v>
      </x:c>
      <x:c r="C295" s="35" t="str">
        <x:v>sys_wait</x:v>
      </x:c>
      <x:c r="D295" s="35" t="str">
        <x:v>dodge_base_chance_fp</x:v>
      </x:c>
      <x:c r="E295" s="38" t="str">
        <x:v>int</x:v>
      </x:c>
      <x:c r="F295" s="56" t="n">
        <x:f>'Actions'!AN8</x:f>
        <x:v>0</x:v>
      </x:c>
      <x:c r="G295" s="38" t="str"/>
      <x:c r="H295" s="35" t="str">
        <x:v>Actions</x:v>
      </x:c>
      <x:c r="I295" s="35" t="str">
        <x:v>AN8</x:v>
      </x:c>
      <x:c r="J295" s="85" t="b">
        <x:v>1</x:v>
      </x:c>
      <x:c r="K295" s="85" t="b">
        <x:v>1</x:v>
      </x:c>
      <x:c r="L295" s="56" t="str">
        <x:f>'Actions'!BE8</x:f>
        <x:v>OK</x:v>
      </x:c>
      <x:c r="M295" s="44" t="str">
        <x:v>Источник Actions.Dodge Base Chance FP</x:v>
      </x:c>
    </x:row>
    <x:row r="296" ht="36" customHeight="1">
      <x:c r="A296" s="118" t="n">
        <x:v>291</x:v>
      </x:c>
      <x:c r="B296" s="35" t="str">
        <x:v>action</x:v>
      </x:c>
      <x:c r="C296" s="35" t="str">
        <x:v>sys_wait</x:v>
      </x:c>
      <x:c r="D296" s="35" t="str">
        <x:v>movement_mode</x:v>
      </x:c>
      <x:c r="E296" s="38" t="str">
        <x:v>string</x:v>
      </x:c>
      <x:c r="F296" s="56" t="str">
        <x:f>'Actions'!AO8</x:f>
        <x:v>None</x:v>
      </x:c>
      <x:c r="G296" s="38" t="str"/>
      <x:c r="H296" s="35" t="str">
        <x:v>Actions</x:v>
      </x:c>
      <x:c r="I296" s="35" t="str">
        <x:v>AO8</x:v>
      </x:c>
      <x:c r="J296" s="85" t="b">
        <x:v>1</x:v>
      </x:c>
      <x:c r="K296" s="85" t="b">
        <x:v>1</x:v>
      </x:c>
      <x:c r="L296" s="56" t="str">
        <x:f>'Actions'!BE8</x:f>
        <x:v>OK</x:v>
      </x:c>
      <x:c r="M296" s="44" t="str">
        <x:v>Источник Actions.Movement Mode</x:v>
      </x:c>
    </x:row>
    <x:row r="297" ht="36" customHeight="1">
      <x:c r="A297" s="118" t="n">
        <x:v>292</x:v>
      </x:c>
      <x:c r="B297" s="35" t="str">
        <x:v>action</x:v>
      </x:c>
      <x:c r="C297" s="35" t="str">
        <x:v>sys_wait</x:v>
      </x:c>
      <x:c r="D297" s="35" t="str">
        <x:v>move_distance</x:v>
      </x:c>
      <x:c r="E297" s="38" t="str">
        <x:v>int</x:v>
      </x:c>
      <x:c r="F297" s="56" t="n">
        <x:f>'Actions'!AP8</x:f>
        <x:v>0</x:v>
      </x:c>
      <x:c r="G297" s="38" t="str"/>
      <x:c r="H297" s="35" t="str">
        <x:v>Actions</x:v>
      </x:c>
      <x:c r="I297" s="35" t="str">
        <x:v>AP8</x:v>
      </x:c>
      <x:c r="J297" s="85" t="b">
        <x:v>1</x:v>
      </x:c>
      <x:c r="K297" s="85" t="b">
        <x:v>1</x:v>
      </x:c>
      <x:c r="L297" s="56" t="str">
        <x:f>'Actions'!BE8</x:f>
        <x:v>OK</x:v>
      </x:c>
      <x:c r="M297" s="44" t="str">
        <x:v>Источник Actions.Move Distance</x:v>
      </x:c>
    </x:row>
    <x:row r="298" ht="36" customHeight="1">
      <x:c r="A298" s="118" t="n">
        <x:v>293</x:v>
      </x:c>
      <x:c r="B298" s="35" t="str">
        <x:v>action</x:v>
      </x:c>
      <x:c r="C298" s="35" t="str">
        <x:v>sys_wait</x:v>
      </x:c>
      <x:c r="D298" s="35" t="str">
        <x:v>base_stagger</x:v>
      </x:c>
      <x:c r="E298" s="38" t="str">
        <x:v>int</x:v>
      </x:c>
      <x:c r="F298" s="56" t="n">
        <x:f>'Actions'!AQ8</x:f>
        <x:v>0</x:v>
      </x:c>
      <x:c r="G298" s="38" t="str"/>
      <x:c r="H298" s="35" t="str">
        <x:v>Actions</x:v>
      </x:c>
      <x:c r="I298" s="35" t="str">
        <x:v>AQ8</x:v>
      </x:c>
      <x:c r="J298" s="85" t="b">
        <x:v>1</x:v>
      </x:c>
      <x:c r="K298" s="85" t="b">
        <x:v>1</x:v>
      </x:c>
      <x:c r="L298" s="56" t="str">
        <x:f>'Actions'!BE8</x:f>
        <x:v>OK</x:v>
      </x:c>
      <x:c r="M298" s="44" t="str">
        <x:v>Источник Actions.Base Stagger</x:v>
      </x:c>
    </x:row>
    <x:row r="299" ht="36" customHeight="1">
      <x:c r="A299" s="118" t="n">
        <x:v>294</x:v>
      </x:c>
      <x:c r="B299" s="35" t="str">
        <x:v>action</x:v>
      </x:c>
      <x:c r="C299" s="35" t="str">
        <x:v>sys_wait</x:v>
      </x:c>
      <x:c r="D299" s="35" t="str">
        <x:v>base_stun_ticks</x:v>
      </x:c>
      <x:c r="E299" s="38" t="str">
        <x:v>int</x:v>
      </x:c>
      <x:c r="F299" s="56" t="n">
        <x:f>'Actions'!AR8</x:f>
        <x:v>0</x:v>
      </x:c>
      <x:c r="G299" s="38" t="str"/>
      <x:c r="H299" s="35" t="str">
        <x:v>Actions</x:v>
      </x:c>
      <x:c r="I299" s="35" t="str">
        <x:v>AR8</x:v>
      </x:c>
      <x:c r="J299" s="85" t="b">
        <x:v>1</x:v>
      </x:c>
      <x:c r="K299" s="85" t="b">
        <x:v>1</x:v>
      </x:c>
      <x:c r="L299" s="56" t="str">
        <x:f>'Actions'!BE8</x:f>
        <x:v>OK</x:v>
      </x:c>
      <x:c r="M299" s="44" t="str">
        <x:v>Источник Actions.Base Stun Ticks</x:v>
      </x:c>
    </x:row>
    <x:row r="300" ht="36" customHeight="1">
      <x:c r="A300" s="118" t="n">
        <x:v>295</x:v>
      </x:c>
      <x:c r="B300" s="35" t="str">
        <x:v>action</x:v>
      </x:c>
      <x:c r="C300" s="35" t="str">
        <x:v>sys_wait</x:v>
      </x:c>
      <x:c r="D300" s="35" t="str">
        <x:v>base_knockback</x:v>
      </x:c>
      <x:c r="E300" s="38" t="str">
        <x:v>int</x:v>
      </x:c>
      <x:c r="F300" s="56" t="n">
        <x:f>'Actions'!AS8</x:f>
        <x:v>0</x:v>
      </x:c>
      <x:c r="G300" s="38" t="str"/>
      <x:c r="H300" s="35" t="str">
        <x:v>Actions</x:v>
      </x:c>
      <x:c r="I300" s="35" t="str">
        <x:v>AS8</x:v>
      </x:c>
      <x:c r="J300" s="85" t="b">
        <x:v>1</x:v>
      </x:c>
      <x:c r="K300" s="85" t="b">
        <x:v>1</x:v>
      </x:c>
      <x:c r="L300" s="56" t="str">
        <x:f>'Actions'!BE8</x:f>
        <x:v>OK</x:v>
      </x:c>
      <x:c r="M300" s="44" t="str">
        <x:v>Источник Actions.Base Knockback</x:v>
      </x:c>
    </x:row>
    <x:row r="301" ht="36" customHeight="1">
      <x:c r="A301" s="118" t="n">
        <x:v>296</x:v>
      </x:c>
      <x:c r="B301" s="35" t="str">
        <x:v>action</x:v>
      </x:c>
      <x:c r="C301" s="35" t="str">
        <x:v>sys_wait</x:v>
      </x:c>
      <x:c r="D301" s="35" t="str">
        <x:v>knockback_min</x:v>
      </x:c>
      <x:c r="E301" s="38" t="str">
        <x:v>int</x:v>
      </x:c>
      <x:c r="F301" s="56" t="n">
        <x:f>'Actions'!AT8</x:f>
        <x:v>0</x:v>
      </x:c>
      <x:c r="G301" s="38" t="str"/>
      <x:c r="H301" s="35" t="str">
        <x:v>Actions</x:v>
      </x:c>
      <x:c r="I301" s="35" t="str">
        <x:v>AT8</x:v>
      </x:c>
      <x:c r="J301" s="85" t="b">
        <x:v>1</x:v>
      </x:c>
      <x:c r="K301" s="85" t="b">
        <x:v>1</x:v>
      </x:c>
      <x:c r="L301" s="56" t="str">
        <x:f>'Actions'!BE8</x:f>
        <x:v>OK</x:v>
      </x:c>
      <x:c r="M301" s="44" t="str">
        <x:v>Источник Actions.Knockback Min</x:v>
      </x:c>
    </x:row>
    <x:row r="302" ht="36" customHeight="1">
      <x:c r="A302" s="118" t="n">
        <x:v>297</x:v>
      </x:c>
      <x:c r="B302" s="35" t="str">
        <x:v>action</x:v>
      </x:c>
      <x:c r="C302" s="35" t="str">
        <x:v>sys_wait</x:v>
      </x:c>
      <x:c r="D302" s="35" t="str">
        <x:v>knockback_max</x:v>
      </x:c>
      <x:c r="E302" s="38" t="str">
        <x:v>int</x:v>
      </x:c>
      <x:c r="F302" s="56" t="n">
        <x:f>'Actions'!AU8</x:f>
        <x:v>0</x:v>
      </x:c>
      <x:c r="G302" s="38" t="str"/>
      <x:c r="H302" s="35" t="str">
        <x:v>Actions</x:v>
      </x:c>
      <x:c r="I302" s="35" t="str">
        <x:v>AU8</x:v>
      </x:c>
      <x:c r="J302" s="85" t="b">
        <x:v>1</x:v>
      </x:c>
      <x:c r="K302" s="85" t="b">
        <x:v>1</x:v>
      </x:c>
      <x:c r="L302" s="56" t="str">
        <x:f>'Actions'!BE8</x:f>
        <x:v>OK</x:v>
      </x:c>
      <x:c r="M302" s="44" t="str">
        <x:v>Источник Actions.Knockback Max</x:v>
      </x:c>
    </x:row>
    <x:row r="303" ht="36" customHeight="1">
      <x:c r="A303" s="118" t="n">
        <x:v>298</x:v>
      </x:c>
      <x:c r="B303" s="35" t="str">
        <x:v>action</x:v>
      </x:c>
      <x:c r="C303" s="35" t="str">
        <x:v>sys_wait</x:v>
      </x:c>
      <x:c r="D303" s="35" t="str">
        <x:v>wall_damage_per_unit_fp</x:v>
      </x:c>
      <x:c r="E303" s="38" t="str">
        <x:v>int</x:v>
      </x:c>
      <x:c r="F303" s="56" t="n">
        <x:f>'Actions'!AV8</x:f>
        <x:v>0</x:v>
      </x:c>
      <x:c r="G303" s="38" t="str"/>
      <x:c r="H303" s="35" t="str">
        <x:v>Actions</x:v>
      </x:c>
      <x:c r="I303" s="35" t="str">
        <x:v>AV8</x:v>
      </x:c>
      <x:c r="J303" s="85" t="b">
        <x:v>1</x:v>
      </x:c>
      <x:c r="K303" s="85" t="b">
        <x:v>1</x:v>
      </x:c>
      <x:c r="L303" s="56" t="str">
        <x:f>'Actions'!BE8</x:f>
        <x:v>OK</x:v>
      </x:c>
      <x:c r="M303" s="44" t="str">
        <x:v>Источник Actions.Wall Damage / Unit FP</x:v>
      </x:c>
    </x:row>
    <x:row r="304" ht="36" customHeight="1">
      <x:c r="A304" s="118" t="n">
        <x:v>299</x:v>
      </x:c>
      <x:c r="B304" s="35" t="str">
        <x:v>action</x:v>
      </x:c>
      <x:c r="C304" s="35" t="str">
        <x:v>sys_wait</x:v>
      </x:c>
      <x:c r="D304" s="35" t="str">
        <x:v>wall_damage_min</x:v>
      </x:c>
      <x:c r="E304" s="38" t="str">
        <x:v>int</x:v>
      </x:c>
      <x:c r="F304" s="56" t="n">
        <x:f>'Actions'!AW8</x:f>
        <x:v>0</x:v>
      </x:c>
      <x:c r="G304" s="38" t="str"/>
      <x:c r="H304" s="35" t="str">
        <x:v>Actions</x:v>
      </x:c>
      <x:c r="I304" s="35" t="str">
        <x:v>AW8</x:v>
      </x:c>
      <x:c r="J304" s="85" t="b">
        <x:v>1</x:v>
      </x:c>
      <x:c r="K304" s="85" t="b">
        <x:v>1</x:v>
      </x:c>
      <x:c r="L304" s="56" t="str">
        <x:f>'Actions'!BE8</x:f>
        <x:v>OK</x:v>
      </x:c>
      <x:c r="M304" s="44" t="str">
        <x:v>Источник Actions.Wall Damage Min</x:v>
      </x:c>
    </x:row>
    <x:row r="305" ht="36" customHeight="1">
      <x:c r="A305" s="118" t="n">
        <x:v>300</x:v>
      </x:c>
      <x:c r="B305" s="35" t="str">
        <x:v>action</x:v>
      </x:c>
      <x:c r="C305" s="35" t="str">
        <x:v>sys_wait</x:v>
      </x:c>
      <x:c r="D305" s="35" t="str">
        <x:v>wall_damage_max</x:v>
      </x:c>
      <x:c r="E305" s="38" t="str">
        <x:v>int</x:v>
      </x:c>
      <x:c r="F305" s="56" t="n">
        <x:f>'Actions'!AX8</x:f>
        <x:v>0</x:v>
      </x:c>
      <x:c r="G305" s="38" t="str"/>
      <x:c r="H305" s="35" t="str">
        <x:v>Actions</x:v>
      </x:c>
      <x:c r="I305" s="35" t="str">
        <x:v>AX8</x:v>
      </x:c>
      <x:c r="J305" s="85" t="b">
        <x:v>1</x:v>
      </x:c>
      <x:c r="K305" s="85" t="b">
        <x:v>1</x:v>
      </x:c>
      <x:c r="L305" s="56" t="str">
        <x:f>'Actions'!BE8</x:f>
        <x:v>OK</x:v>
      </x:c>
      <x:c r="M305" s="44" t="str">
        <x:v>Источник Actions.Wall Damage Max</x:v>
      </x:c>
    </x:row>
    <x:row r="306" ht="36" customHeight="1">
      <x:c r="A306" s="118" t="n">
        <x:v>301</x:v>
      </x:c>
      <x:c r="B306" s="35" t="str">
        <x:v>action</x:v>
      </x:c>
      <x:c r="C306" s="35" t="str">
        <x:v>sys_wait</x:v>
      </x:c>
      <x:c r="D306" s="35" t="str">
        <x:v>max_consecutive_uses</x:v>
      </x:c>
      <x:c r="E306" s="38" t="str">
        <x:v>int</x:v>
      </x:c>
      <x:c r="F306" s="56" t="n">
        <x:f>'Actions'!AY8</x:f>
        <x:v>2</x:v>
      </x:c>
      <x:c r="G306" s="38" t="str"/>
      <x:c r="H306" s="35" t="str">
        <x:v>Actions</x:v>
      </x:c>
      <x:c r="I306" s="35" t="str">
        <x:v>AY8</x:v>
      </x:c>
      <x:c r="J306" s="85" t="b">
        <x:v>1</x:v>
      </x:c>
      <x:c r="K306" s="85" t="b">
        <x:v>1</x:v>
      </x:c>
      <x:c r="L306" s="56" t="str">
        <x:f>'Actions'!BE8</x:f>
        <x:v>OK</x:v>
      </x:c>
      <x:c r="M306" s="44" t="str">
        <x:v>Источник Actions.Max Consecutive Uses</x:v>
      </x:c>
    </x:row>
    <x:row r="307" ht="36" customHeight="1">
      <x:c r="A307" s="118" t="n">
        <x:v>302</x:v>
      </x:c>
      <x:c r="B307" s="35" t="str">
        <x:v>action</x:v>
      </x:c>
      <x:c r="C307" s="35" t="str">
        <x:v>sys_wait</x:v>
      </x:c>
      <x:c r="D307" s="35" t="str">
        <x:v>opportunity_cap_fp</x:v>
      </x:c>
      <x:c r="E307" s="38" t="str">
        <x:v>int</x:v>
      </x:c>
      <x:c r="F307" s="56" t="n">
        <x:f>'Actions'!AZ8</x:f>
        <x:v>1000</x:v>
      </x:c>
      <x:c r="G307" s="38" t="str"/>
      <x:c r="H307" s="35" t="str">
        <x:v>Actions</x:v>
      </x:c>
      <x:c r="I307" s="35" t="str">
        <x:v>AZ8</x:v>
      </x:c>
      <x:c r="J307" s="85" t="b">
        <x:v>1</x:v>
      </x:c>
      <x:c r="K307" s="85" t="b">
        <x:v>1</x:v>
      </x:c>
      <x:c r="L307" s="56" t="str">
        <x:f>'Actions'!BE8</x:f>
        <x:v>OK</x:v>
      </x:c>
      <x:c r="M307" s="44" t="str">
        <x:v>Источник Actions.Opportunity Cap FP</x:v>
      </x:c>
    </x:row>
    <x:row r="308" ht="36" customHeight="1">
      <x:c r="A308" s="118" t="n">
        <x:v>303</x:v>
      </x:c>
      <x:c r="B308" s="35" t="str">
        <x:v>action</x:v>
      </x:c>
      <x:c r="C308" s="35" t="str">
        <x:v>sys_wait</x:v>
      </x:c>
      <x:c r="D308" s="35" t="str">
        <x:v>hard_opportunity_misses</x:v>
      </x:c>
      <x:c r="E308" s="38" t="str">
        <x:v>int</x:v>
      </x:c>
      <x:c r="F308" s="56" t="n">
        <x:f>'Actions'!BA8</x:f>
        <x:v>0</x:v>
      </x:c>
      <x:c r="G308" s="38" t="str"/>
      <x:c r="H308" s="35" t="str">
        <x:v>Actions</x:v>
      </x:c>
      <x:c r="I308" s="35" t="str">
        <x:v>BA8</x:v>
      </x:c>
      <x:c r="J308" s="85" t="b">
        <x:v>1</x:v>
      </x:c>
      <x:c r="K308" s="85" t="b">
        <x:v>1</x:v>
      </x:c>
      <x:c r="L308" s="56" t="str">
        <x:f>'Actions'!BE8</x:f>
        <x:v>OK</x:v>
      </x:c>
      <x:c r="M308" s="44" t="str">
        <x:v>Источник Actions.Hard Opportunity Misses</x:v>
      </x:c>
    </x:row>
    <x:row r="309" ht="36" customHeight="1">
      <x:c r="A309" s="118" t="n">
        <x:v>304</x:v>
      </x:c>
      <x:c r="B309" s="35" t="str">
        <x:v>action</x:v>
      </x:c>
      <x:c r="C309" s="35" t="str">
        <x:v>bear_paw_jab</x:v>
      </x:c>
      <x:c r="D309" s="35" t="str">
        <x:v>action_id</x:v>
      </x:c>
      <x:c r="E309" s="38" t="str">
        <x:v>string</x:v>
      </x:c>
      <x:c r="F309" s="56" t="str">
        <x:f>'Actions'!A9</x:f>
        <x:v>bear_paw_jab</x:v>
      </x:c>
      <x:c r="G309" s="38" t="str"/>
      <x:c r="H309" s="35" t="str">
        <x:v>Actions</x:v>
      </x:c>
      <x:c r="I309" s="35" t="str">
        <x:v>A9</x:v>
      </x:c>
      <x:c r="J309" s="85" t="b">
        <x:v>1</x:v>
      </x:c>
      <x:c r="K309" s="85" t="b">
        <x:v>1</x:v>
      </x:c>
      <x:c r="L309" s="56" t="str">
        <x:f>'Actions'!BE9</x:f>
        <x:v>OK</x:v>
      </x:c>
      <x:c r="M309" s="44" t="str">
        <x:v>Источник Actions.Action ID</x:v>
      </x:c>
    </x:row>
    <x:row r="310" ht="36" customHeight="1">
      <x:c r="A310" s="118" t="n">
        <x:v>305</x:v>
      </x:c>
      <x:c r="B310" s="35" t="str">
        <x:v>action</x:v>
      </x:c>
      <x:c r="C310" s="35" t="str">
        <x:v>bear_paw_jab</x:v>
      </x:c>
      <x:c r="D310" s="35" t="str">
        <x:v>animal_id</x:v>
      </x:c>
      <x:c r="E310" s="38" t="str">
        <x:v>string</x:v>
      </x:c>
      <x:c r="F310" s="56" t="str">
        <x:f>'Actions'!B9</x:f>
        <x:v>bear</x:v>
      </x:c>
      <x:c r="G310" s="38" t="str"/>
      <x:c r="H310" s="35" t="str">
        <x:v>Actions</x:v>
      </x:c>
      <x:c r="I310" s="35" t="str">
        <x:v>B9</x:v>
      </x:c>
      <x:c r="J310" s="85" t="b">
        <x:v>1</x:v>
      </x:c>
      <x:c r="K310" s="85" t="b">
        <x:v>1</x:v>
      </x:c>
      <x:c r="L310" s="56" t="str">
        <x:f>'Actions'!BE9</x:f>
        <x:v>OK</x:v>
      </x:c>
      <x:c r="M310" s="44" t="str">
        <x:v>Источник Actions.Animal ID</x:v>
      </x:c>
    </x:row>
    <x:row r="311" ht="36" customHeight="1">
      <x:c r="A311" s="118" t="n">
        <x:v>306</x:v>
      </x:c>
      <x:c r="B311" s="35" t="str">
        <x:v>action</x:v>
      </x:c>
      <x:c r="C311" s="35" t="str">
        <x:v>bear_paw_jab</x:v>
      </x:c>
      <x:c r="D311" s="35" t="str">
        <x:v>slot_type</x:v>
      </x:c>
      <x:c r="E311" s="38" t="str">
        <x:v>string</x:v>
      </x:c>
      <x:c r="F311" s="56" t="str">
        <x:f>'Actions'!D9</x:f>
        <x:v>Basic</x:v>
      </x:c>
      <x:c r="G311" s="38" t="str"/>
      <x:c r="H311" s="35" t="str">
        <x:v>Actions</x:v>
      </x:c>
      <x:c r="I311" s="35" t="str">
        <x:v>D9</x:v>
      </x:c>
      <x:c r="J311" s="85" t="b">
        <x:v>1</x:v>
      </x:c>
      <x:c r="K311" s="85" t="b">
        <x:v>1</x:v>
      </x:c>
      <x:c r="L311" s="56" t="str">
        <x:f>'Actions'!BE9</x:f>
        <x:v>OK</x:v>
      </x:c>
      <x:c r="M311" s="44" t="str">
        <x:v>Источник Actions.Slot Type</x:v>
      </x:c>
    </x:row>
    <x:row r="312" ht="36" customHeight="1">
      <x:c r="A312" s="118" t="n">
        <x:v>307</x:v>
      </x:c>
      <x:c r="B312" s="35" t="str">
        <x:v>action</x:v>
      </x:c>
      <x:c r="C312" s="35" t="str">
        <x:v>bear_paw_jab</x:v>
      </x:c>
      <x:c r="D312" s="35" t="str">
        <x:v>category</x:v>
      </x:c>
      <x:c r="E312" s="38" t="str">
        <x:v>string</x:v>
      </x:c>
      <x:c r="F312" s="56" t="str">
        <x:f>'Actions'!E9</x:f>
        <x:v>LightStrike</x:v>
      </x:c>
      <x:c r="G312" s="38" t="str"/>
      <x:c r="H312" s="35" t="str">
        <x:v>Actions</x:v>
      </x:c>
      <x:c r="I312" s="35" t="str">
        <x:v>E9</x:v>
      </x:c>
      <x:c r="J312" s="85" t="b">
        <x:v>1</x:v>
      </x:c>
      <x:c r="K312" s="85" t="b">
        <x:v>1</x:v>
      </x:c>
      <x:c r="L312" s="56" t="str">
        <x:f>'Actions'!BE9</x:f>
        <x:v>OK</x:v>
      </x:c>
      <x:c r="M312" s="44" t="str">
        <x:v>Источник Actions.Category</x:v>
      </x:c>
    </x:row>
    <x:row r="313" ht="36" customHeight="1">
      <x:c r="A313" s="118" t="n">
        <x:v>308</x:v>
      </x:c>
      <x:c r="B313" s="35" t="str">
        <x:v>action</x:v>
      </x:c>
      <x:c r="C313" s="35" t="str">
        <x:v>bear_paw_jab</x:v>
      </x:c>
      <x:c r="D313" s="35" t="str">
        <x:v>tags</x:v>
      </x:c>
      <x:c r="E313" s="38" t="str">
        <x:v>string</x:v>
      </x:c>
      <x:c r="F313" s="56" t="str">
        <x:f>'Actions'!F9</x:f>
        <x:v>strike|light|fallback</x:v>
      </x:c>
      <x:c r="G313" s="38" t="str"/>
      <x:c r="H313" s="35" t="str">
        <x:v>Actions</x:v>
      </x:c>
      <x:c r="I313" s="35" t="str">
        <x:v>F9</x:v>
      </x:c>
      <x:c r="J313" s="85" t="b">
        <x:v>1</x:v>
      </x:c>
      <x:c r="K313" s="85" t="b">
        <x:v>1</x:v>
      </x:c>
      <x:c r="L313" s="56" t="str">
        <x:f>'Actions'!BE9</x:f>
        <x:v>OK</x:v>
      </x:c>
      <x:c r="M313" s="44" t="str">
        <x:v>Источник Actions.Tags</x:v>
      </x:c>
    </x:row>
    <x:row r="314" ht="36" customHeight="1">
      <x:c r="A314" s="118" t="n">
        <x:v>309</x:v>
      </x:c>
      <x:c r="B314" s="35" t="str">
        <x:v>action</x:v>
      </x:c>
      <x:c r="C314" s="35" t="str">
        <x:v>bear_paw_jab</x:v>
      </x:c>
      <x:c r="D314" s="35" t="str">
        <x:v>base_weight</x:v>
      </x:c>
      <x:c r="E314" s="38" t="str">
        <x:v>int</x:v>
      </x:c>
      <x:c r="F314" s="56" t="n">
        <x:f>'Actions'!G9</x:f>
        <x:v>1000</x:v>
      </x:c>
      <x:c r="G314" s="38" t="str"/>
      <x:c r="H314" s="35" t="str">
        <x:v>Actions</x:v>
      </x:c>
      <x:c r="I314" s="35" t="str">
        <x:v>G9</x:v>
      </x:c>
      <x:c r="J314" s="85" t="b">
        <x:v>1</x:v>
      </x:c>
      <x:c r="K314" s="85" t="b">
        <x:v>1</x:v>
      </x:c>
      <x:c r="L314" s="56" t="str">
        <x:f>'Actions'!BE9</x:f>
        <x:v>OK</x:v>
      </x:c>
      <x:c r="M314" s="44" t="str">
        <x:v>Источник Actions.Base Weight</x:v>
      </x:c>
    </x:row>
    <x:row r="315" ht="36" customHeight="1">
      <x:c r="A315" s="118" t="n">
        <x:v>310</x:v>
      </x:c>
      <x:c r="B315" s="35" t="str">
        <x:v>action</x:v>
      </x:c>
      <x:c r="C315" s="35" t="str">
        <x:v>bear_paw_jab</x:v>
      </x:c>
      <x:c r="D315" s="35" t="str">
        <x:v>preferred_range_min</x:v>
      </x:c>
      <x:c r="E315" s="38" t="str">
        <x:v>int</x:v>
      </x:c>
      <x:c r="F315" s="56" t="n">
        <x:f>'Actions'!H9</x:f>
        <x:v>100</x:v>
      </x:c>
      <x:c r="G315" s="38" t="str"/>
      <x:c r="H315" s="35" t="str">
        <x:v>Actions</x:v>
      </x:c>
      <x:c r="I315" s="35" t="str">
        <x:v>H9</x:v>
      </x:c>
      <x:c r="J315" s="85" t="b">
        <x:v>1</x:v>
      </x:c>
      <x:c r="K315" s="85" t="b">
        <x:v>1</x:v>
      </x:c>
      <x:c r="L315" s="56" t="str">
        <x:f>'Actions'!BE9</x:f>
        <x:v>OK</x:v>
      </x:c>
      <x:c r="M315" s="44" t="str">
        <x:v>Источник Actions.Preferred Range Min</x:v>
      </x:c>
    </x:row>
    <x:row r="316" ht="36" customHeight="1">
      <x:c r="A316" s="118" t="n">
        <x:v>311</x:v>
      </x:c>
      <x:c r="B316" s="35" t="str">
        <x:v>action</x:v>
      </x:c>
      <x:c r="C316" s="35" t="str">
        <x:v>bear_paw_jab</x:v>
      </x:c>
      <x:c r="D316" s="35" t="str">
        <x:v>preferred_range_max</x:v>
      </x:c>
      <x:c r="E316" s="38" t="str">
        <x:v>int</x:v>
      </x:c>
      <x:c r="F316" s="56" t="n">
        <x:f>'Actions'!I9</x:f>
        <x:v>900</x:v>
      </x:c>
      <x:c r="G316" s="38" t="str"/>
      <x:c r="H316" s="35" t="str">
        <x:v>Actions</x:v>
      </x:c>
      <x:c r="I316" s="35" t="str">
        <x:v>I9</x:v>
      </x:c>
      <x:c r="J316" s="85" t="b">
        <x:v>1</x:v>
      </x:c>
      <x:c r="K316" s="85" t="b">
        <x:v>1</x:v>
      </x:c>
      <x:c r="L316" s="56" t="str">
        <x:f>'Actions'!BE9</x:f>
        <x:v>OK</x:v>
      </x:c>
      <x:c r="M316" s="44" t="str">
        <x:v>Источник Actions.Preferred Range Max</x:v>
      </x:c>
    </x:row>
    <x:row r="317" ht="36" customHeight="1">
      <x:c r="A317" s="118" t="n">
        <x:v>312</x:v>
      </x:c>
      <x:c r="B317" s="35" t="str">
        <x:v>action</x:v>
      </x:c>
      <x:c r="C317" s="35" t="str">
        <x:v>bear_paw_jab</x:v>
      </x:c>
      <x:c r="D317" s="35" t="str">
        <x:v>hit_range_min</x:v>
      </x:c>
      <x:c r="E317" s="38" t="str">
        <x:v>int</x:v>
      </x:c>
      <x:c r="F317" s="56" t="n">
        <x:f>'Actions'!J9</x:f>
        <x:v>0</x:v>
      </x:c>
      <x:c r="G317" s="38" t="str"/>
      <x:c r="H317" s="35" t="str">
        <x:v>Actions</x:v>
      </x:c>
      <x:c r="I317" s="35" t="str">
        <x:v>J9</x:v>
      </x:c>
      <x:c r="J317" s="85" t="b">
        <x:v>1</x:v>
      </x:c>
      <x:c r="K317" s="85" t="b">
        <x:v>1</x:v>
      </x:c>
      <x:c r="L317" s="56" t="str">
        <x:f>'Actions'!BE9</x:f>
        <x:v>OK</x:v>
      </x:c>
      <x:c r="M317" s="44" t="str">
        <x:v>Источник Actions.Hit Range Min</x:v>
      </x:c>
    </x:row>
    <x:row r="318" ht="36" customHeight="1">
      <x:c r="A318" s="118" t="n">
        <x:v>313</x:v>
      </x:c>
      <x:c r="B318" s="35" t="str">
        <x:v>action</x:v>
      </x:c>
      <x:c r="C318" s="35" t="str">
        <x:v>bear_paw_jab</x:v>
      </x:c>
      <x:c r="D318" s="35" t="str">
        <x:v>hit_range_max</x:v>
      </x:c>
      <x:c r="E318" s="38" t="str">
        <x:v>int</x:v>
      </x:c>
      <x:c r="F318" s="56" t="n">
        <x:f>'Actions'!K9</x:f>
        <x:v>1050</x:v>
      </x:c>
      <x:c r="G318" s="38" t="str"/>
      <x:c r="H318" s="35" t="str">
        <x:v>Actions</x:v>
      </x:c>
      <x:c r="I318" s="35" t="str">
        <x:v>K9</x:v>
      </x:c>
      <x:c r="J318" s="85" t="b">
        <x:v>1</x:v>
      </x:c>
      <x:c r="K318" s="85" t="b">
        <x:v>1</x:v>
      </x:c>
      <x:c r="L318" s="56" t="str">
        <x:f>'Actions'!BE9</x:f>
        <x:v>OK</x:v>
      </x:c>
      <x:c r="M318" s="44" t="str">
        <x:v>Источник Actions.Hit Range Max</x:v>
      </x:c>
    </x:row>
    <x:row r="319" ht="36" customHeight="1">
      <x:c r="A319" s="118" t="n">
        <x:v>314</x:v>
      </x:c>
      <x:c r="B319" s="35" t="str">
        <x:v>action</x:v>
      </x:c>
      <x:c r="C319" s="35" t="str">
        <x:v>bear_paw_jab</x:v>
      </x:c>
      <x:c r="D319" s="35" t="str">
        <x:v>energy_cost</x:v>
      </x:c>
      <x:c r="E319" s="38" t="str">
        <x:v>int</x:v>
      </x:c>
      <x:c r="F319" s="56" t="n">
        <x:f>'Actions'!L9</x:f>
        <x:v>0</x:v>
      </x:c>
      <x:c r="G319" s="38" t="str"/>
      <x:c r="H319" s="35" t="str">
        <x:v>Actions</x:v>
      </x:c>
      <x:c r="I319" s="35" t="str">
        <x:v>L9</x:v>
      </x:c>
      <x:c r="J319" s="85" t="b">
        <x:v>1</x:v>
      </x:c>
      <x:c r="K319" s="85" t="b">
        <x:v>1</x:v>
      </x:c>
      <x:c r="L319" s="56" t="str">
        <x:f>'Actions'!BE9</x:f>
        <x:v>OK</x:v>
      </x:c>
      <x:c r="M319" s="44" t="str">
        <x:v>Источник Actions.Energy Cost</x:v>
      </x:c>
    </x:row>
    <x:row r="320" ht="36" customHeight="1">
      <x:c r="A320" s="118" t="n">
        <x:v>315</x:v>
      </x:c>
      <x:c r="B320" s="35" t="str">
        <x:v>action</x:v>
      </x:c>
      <x:c r="C320" s="35" t="str">
        <x:v>bear_paw_jab</x:v>
      </x:c>
      <x:c r="D320" s="35" t="str">
        <x:v>resource_cost</x:v>
      </x:c>
      <x:c r="E320" s="38" t="str">
        <x:v>int</x:v>
      </x:c>
      <x:c r="F320" s="56" t="n">
        <x:f>'Actions'!M9</x:f>
        <x:v>0</x:v>
      </x:c>
      <x:c r="G320" s="38" t="str"/>
      <x:c r="H320" s="35" t="str">
        <x:v>Actions</x:v>
      </x:c>
      <x:c r="I320" s="35" t="str">
        <x:v>M9</x:v>
      </x:c>
      <x:c r="J320" s="85" t="b">
        <x:v>1</x:v>
      </x:c>
      <x:c r="K320" s="85" t="b">
        <x:v>1</x:v>
      </x:c>
      <x:c r="L320" s="56" t="str">
        <x:f>'Actions'!BE9</x:f>
        <x:v>OK</x:v>
      </x:c>
      <x:c r="M320" s="44" t="str">
        <x:v>Источник Actions.Resource Cost</x:v>
      </x:c>
    </x:row>
    <x:row r="321" ht="36" customHeight="1">
      <x:c r="A321" s="118" t="n">
        <x:v>316</x:v>
      </x:c>
      <x:c r="B321" s="35" t="str">
        <x:v>action</x:v>
      </x:c>
      <x:c r="C321" s="35" t="str">
        <x:v>bear_paw_jab</x:v>
      </x:c>
      <x:c r="D321" s="35" t="str">
        <x:v>base_damage</x:v>
      </x:c>
      <x:c r="E321" s="38" t="str">
        <x:v>int</x:v>
      </x:c>
      <x:c r="F321" s="56" t="n">
        <x:f>'Actions'!N9</x:f>
        <x:v>30</x:v>
      </x:c>
      <x:c r="G321" s="38" t="str"/>
      <x:c r="H321" s="35" t="str">
        <x:v>Actions</x:v>
      </x:c>
      <x:c r="I321" s="35" t="str">
        <x:v>N9</x:v>
      </x:c>
      <x:c r="J321" s="85" t="b">
        <x:v>1</x:v>
      </x:c>
      <x:c r="K321" s="85" t="b">
        <x:v>1</x:v>
      </x:c>
      <x:c r="L321" s="56" t="str">
        <x:f>'Actions'!BE9</x:f>
        <x:v>OK</x:v>
      </x:c>
      <x:c r="M321" s="44" t="str">
        <x:v>Источник Actions.Base Damage / hit</x:v>
      </x:c>
    </x:row>
    <x:row r="322" ht="36" customHeight="1">
      <x:c r="A322" s="118" t="n">
        <x:v>317</x:v>
      </x:c>
      <x:c r="B322" s="35" t="str">
        <x:v>action</x:v>
      </x:c>
      <x:c r="C322" s="35" t="str">
        <x:v>bear_paw_jab</x:v>
      </x:c>
      <x:c r="D322" s="35" t="str">
        <x:v>power_ratio_fp</x:v>
      </x:c>
      <x:c r="E322" s="38" t="str">
        <x:v>int</x:v>
      </x:c>
      <x:c r="F322" s="56" t="n">
        <x:f>'Actions'!O9</x:f>
        <x:v>450</x:v>
      </x:c>
      <x:c r="G322" s="38" t="str"/>
      <x:c r="H322" s="35" t="str">
        <x:v>Actions</x:v>
      </x:c>
      <x:c r="I322" s="35" t="str">
        <x:v>O9</x:v>
      </x:c>
      <x:c r="J322" s="85" t="b">
        <x:v>1</x:v>
      </x:c>
      <x:c r="K322" s="85" t="b">
        <x:v>1</x:v>
      </x:c>
      <x:c r="L322" s="56" t="str">
        <x:f>'Actions'!BE9</x:f>
        <x:v>OK</x:v>
      </x:c>
      <x:c r="M322" s="44" t="str">
        <x:v>Источник Actions.Power Ratio FP</x:v>
      </x:c>
    </x:row>
    <x:row r="323" ht="36" customHeight="1">
      <x:c r="A323" s="118" t="n">
        <x:v>318</x:v>
      </x:c>
      <x:c r="B323" s="35" t="str">
        <x:v>action</x:v>
      </x:c>
      <x:c r="C323" s="35" t="str">
        <x:v>bear_paw_jab</x:v>
      </x:c>
      <x:c r="D323" s="35" t="str">
        <x:v>min_damage</x:v>
      </x:c>
      <x:c r="E323" s="38" t="str">
        <x:v>int</x:v>
      </x:c>
      <x:c r="F323" s="56" t="n">
        <x:f>'Actions'!P9</x:f>
        <x:v>12</x:v>
      </x:c>
      <x:c r="G323" s="38" t="str"/>
      <x:c r="H323" s="35" t="str">
        <x:v>Actions</x:v>
      </x:c>
      <x:c r="I323" s="35" t="str">
        <x:v>P9</x:v>
      </x:c>
      <x:c r="J323" s="85" t="b">
        <x:v>1</x:v>
      </x:c>
      <x:c r="K323" s="85" t="b">
        <x:v>1</x:v>
      </x:c>
      <x:c r="L323" s="56" t="str">
        <x:f>'Actions'!BE9</x:f>
        <x:v>OK</x:v>
      </x:c>
      <x:c r="M323" s="44" t="str">
        <x:v>Источник Actions.Min Damage</x:v>
      </x:c>
    </x:row>
    <x:row r="324" ht="36" customHeight="1">
      <x:c r="A324" s="118" t="n">
        <x:v>319</x:v>
      </x:c>
      <x:c r="B324" s="35" t="str">
        <x:v>action</x:v>
      </x:c>
      <x:c r="C324" s="35" t="str">
        <x:v>bear_paw_jab</x:v>
      </x:c>
      <x:c r="D324" s="35" t="str">
        <x:v>chip_min</x:v>
      </x:c>
      <x:c r="E324" s="38" t="str">
        <x:v>int</x:v>
      </x:c>
      <x:c r="F324" s="56" t="n">
        <x:f>'Actions'!Q9</x:f>
        <x:v>4</x:v>
      </x:c>
      <x:c r="G324" s="38" t="str"/>
      <x:c r="H324" s="35" t="str">
        <x:v>Actions</x:v>
      </x:c>
      <x:c r="I324" s="35" t="str">
        <x:v>Q9</x:v>
      </x:c>
      <x:c r="J324" s="85" t="b">
        <x:v>1</x:v>
      </x:c>
      <x:c r="K324" s="85" t="b">
        <x:v>1</x:v>
      </x:c>
      <x:c r="L324" s="56" t="str">
        <x:f>'Actions'!BE9</x:f>
        <x:v>OK</x:v>
      </x:c>
      <x:c r="M324" s="44" t="str">
        <x:v>Источник Actions.Chip Min</x:v>
      </x:c>
    </x:row>
    <x:row r="325" ht="36" customHeight="1">
      <x:c r="A325" s="118" t="n">
        <x:v>320</x:v>
      </x:c>
      <x:c r="B325" s="35" t="str">
        <x:v>action</x:v>
      </x:c>
      <x:c r="C325" s="35" t="str">
        <x:v>bear_paw_jab</x:v>
      </x:c>
      <x:c r="D325" s="35" t="str">
        <x:v>startup_base_ticks</x:v>
      </x:c>
      <x:c r="E325" s="38" t="str">
        <x:v>int</x:v>
      </x:c>
      <x:c r="F325" s="56" t="n">
        <x:f>'Actions'!R9</x:f>
        <x:v>3</x:v>
      </x:c>
      <x:c r="G325" s="38" t="str"/>
      <x:c r="H325" s="35" t="str">
        <x:v>Actions</x:v>
      </x:c>
      <x:c r="I325" s="35" t="str">
        <x:v>R9</x:v>
      </x:c>
      <x:c r="J325" s="85" t="b">
        <x:v>1</x:v>
      </x:c>
      <x:c r="K325" s="85" t="b">
        <x:v>1</x:v>
      </x:c>
      <x:c r="L325" s="56" t="str">
        <x:f>'Actions'!BE9</x:f>
        <x:v>OK</x:v>
      </x:c>
      <x:c r="M325" s="44" t="str">
        <x:v>Источник Actions.Startup Base Ticks</x:v>
      </x:c>
    </x:row>
    <x:row r="326" ht="36" customHeight="1">
      <x:c r="A326" s="118" t="n">
        <x:v>321</x:v>
      </x:c>
      <x:c r="B326" s="35" t="str">
        <x:v>action</x:v>
      </x:c>
      <x:c r="C326" s="35" t="str">
        <x:v>bear_paw_jab</x:v>
      </x:c>
      <x:c r="D326" s="35" t="str">
        <x:v>startup_min_ticks</x:v>
      </x:c>
      <x:c r="E326" s="38" t="str">
        <x:v>int</x:v>
      </x:c>
      <x:c r="F326" s="56" t="n">
        <x:f>'Actions'!S9</x:f>
        <x:v>2</x:v>
      </x:c>
      <x:c r="G326" s="38" t="str"/>
      <x:c r="H326" s="35" t="str">
        <x:v>Actions</x:v>
      </x:c>
      <x:c r="I326" s="35" t="str">
        <x:v>S9</x:v>
      </x:c>
      <x:c r="J326" s="85" t="b">
        <x:v>1</x:v>
      </x:c>
      <x:c r="K326" s="85" t="b">
        <x:v>1</x:v>
      </x:c>
      <x:c r="L326" s="56" t="str">
        <x:f>'Actions'!BE9</x:f>
        <x:v>OK</x:v>
      </x:c>
      <x:c r="M326" s="44" t="str">
        <x:v>Источник Actions.Startup Min Ticks</x:v>
      </x:c>
    </x:row>
    <x:row r="327" ht="36" customHeight="1">
      <x:c r="A327" s="118" t="n">
        <x:v>322</x:v>
      </x:c>
      <x:c r="B327" s="35" t="str">
        <x:v>action</x:v>
      </x:c>
      <x:c r="C327" s="35" t="str">
        <x:v>bear_paw_jab</x:v>
      </x:c>
      <x:c r="D327" s="35" t="str">
        <x:v>startup_max_ticks</x:v>
      </x:c>
      <x:c r="E327" s="38" t="str">
        <x:v>int</x:v>
      </x:c>
      <x:c r="F327" s="56" t="n">
        <x:f>'Actions'!T9</x:f>
        <x:v>5</x:v>
      </x:c>
      <x:c r="G327" s="38" t="str"/>
      <x:c r="H327" s="35" t="str">
        <x:v>Actions</x:v>
      </x:c>
      <x:c r="I327" s="35" t="str">
        <x:v>T9</x:v>
      </x:c>
      <x:c r="J327" s="85" t="b">
        <x:v>1</x:v>
      </x:c>
      <x:c r="K327" s="85" t="b">
        <x:v>1</x:v>
      </x:c>
      <x:c r="L327" s="56" t="str">
        <x:f>'Actions'!BE9</x:f>
        <x:v>OK</x:v>
      </x:c>
      <x:c r="M327" s="44" t="str">
        <x:v>Источник Actions.Startup Max Ticks</x:v>
      </x:c>
    </x:row>
    <x:row r="328" ht="36" customHeight="1">
      <x:c r="A328" s="118" t="n">
        <x:v>323</x:v>
      </x:c>
      <x:c r="B328" s="35" t="str">
        <x:v>action</x:v>
      </x:c>
      <x:c r="C328" s="35" t="str">
        <x:v>bear_paw_jab</x:v>
      </x:c>
      <x:c r="D328" s="35" t="str">
        <x:v>active_ticks</x:v>
      </x:c>
      <x:c r="E328" s="38" t="str">
        <x:v>int</x:v>
      </x:c>
      <x:c r="F328" s="56" t="n">
        <x:f>'Actions'!U9</x:f>
        <x:v>1</x:v>
      </x:c>
      <x:c r="G328" s="38" t="str"/>
      <x:c r="H328" s="35" t="str">
        <x:v>Actions</x:v>
      </x:c>
      <x:c r="I328" s="35" t="str">
        <x:v>U9</x:v>
      </x:c>
      <x:c r="J328" s="85" t="b">
        <x:v>1</x:v>
      </x:c>
      <x:c r="K328" s="85" t="b">
        <x:v>1</x:v>
      </x:c>
      <x:c r="L328" s="56" t="str">
        <x:f>'Actions'!BE9</x:f>
        <x:v>OK</x:v>
      </x:c>
      <x:c r="M328" s="44" t="str">
        <x:v>Источник Actions.Active Ticks</x:v>
      </x:c>
    </x:row>
    <x:row r="329" ht="36" customHeight="1">
      <x:c r="A329" s="118" t="n">
        <x:v>324</x:v>
      </x:c>
      <x:c r="B329" s="35" t="str">
        <x:v>action</x:v>
      </x:c>
      <x:c r="C329" s="35" t="str">
        <x:v>bear_paw_jab</x:v>
      </x:c>
      <x:c r="D329" s="35" t="str">
        <x:v>hit_schedule</x:v>
      </x:c>
      <x:c r="E329" s="38" t="str">
        <x:v>string</x:v>
      </x:c>
      <x:c r="F329" s="56" t="str">
        <x:f>'Actions'!V9</x:f>
        <x:v>0</x:v>
      </x:c>
      <x:c r="G329" s="38" t="str"/>
      <x:c r="H329" s="35" t="str">
        <x:v>Actions</x:v>
      </x:c>
      <x:c r="I329" s="35" t="str">
        <x:v>V9</x:v>
      </x:c>
      <x:c r="J329" s="85" t="b">
        <x:v>1</x:v>
      </x:c>
      <x:c r="K329" s="85" t="b">
        <x:v>1</x:v>
      </x:c>
      <x:c r="L329" s="56" t="str">
        <x:f>'Actions'!BE9</x:f>
        <x:v>OK</x:v>
      </x:c>
      <x:c r="M329" s="44" t="str">
        <x:v>Источник Actions.Hit Schedule</x:v>
      </x:c>
    </x:row>
    <x:row r="330" ht="36" customHeight="1">
      <x:c r="A330" s="118" t="n">
        <x:v>325</x:v>
      </x:c>
      <x:c r="B330" s="35" t="str">
        <x:v>action</x:v>
      </x:c>
      <x:c r="C330" s="35" t="str">
        <x:v>bear_paw_jab</x:v>
      </x:c>
      <x:c r="D330" s="35" t="str">
        <x:v>hit_count</x:v>
      </x:c>
      <x:c r="E330" s="38" t="str">
        <x:v>int</x:v>
      </x:c>
      <x:c r="F330" s="56" t="n">
        <x:f>'Actions'!W9</x:f>
        <x:v>1</x:v>
      </x:c>
      <x:c r="G330" s="38" t="str"/>
      <x:c r="H330" s="35" t="str">
        <x:v>Actions</x:v>
      </x:c>
      <x:c r="I330" s="35" t="str">
        <x:v>W9</x:v>
      </x:c>
      <x:c r="J330" s="85" t="b">
        <x:v>1</x:v>
      </x:c>
      <x:c r="K330" s="85" t="b">
        <x:v>1</x:v>
      </x:c>
      <x:c r="L330" s="56" t="str">
        <x:f>'Actions'!BE9</x:f>
        <x:v>OK</x:v>
      </x:c>
      <x:c r="M330" s="44" t="str">
        <x:v>Источник Actions.Hit Count</x:v>
      </x:c>
    </x:row>
    <x:row r="331" ht="36" customHeight="1">
      <x:c r="A331" s="118" t="n">
        <x:v>326</x:v>
      </x:c>
      <x:c r="B331" s="35" t="str">
        <x:v>action</x:v>
      </x:c>
      <x:c r="C331" s="35" t="str">
        <x:v>bear_paw_jab</x:v>
      </x:c>
      <x:c r="D331" s="35" t="str">
        <x:v>recovery_base_ticks</x:v>
      </x:c>
      <x:c r="E331" s="38" t="str">
        <x:v>int</x:v>
      </x:c>
      <x:c r="F331" s="56" t="n">
        <x:f>'Actions'!X9</x:f>
        <x:v>5</x:v>
      </x:c>
      <x:c r="G331" s="38" t="str"/>
      <x:c r="H331" s="35" t="str">
        <x:v>Actions</x:v>
      </x:c>
      <x:c r="I331" s="35" t="str">
        <x:v>X9</x:v>
      </x:c>
      <x:c r="J331" s="85" t="b">
        <x:v>1</x:v>
      </x:c>
      <x:c r="K331" s="85" t="b">
        <x:v>1</x:v>
      </x:c>
      <x:c r="L331" s="56" t="str">
        <x:f>'Actions'!BE9</x:f>
        <x:v>OK</x:v>
      </x:c>
      <x:c r="M331" s="44" t="str">
        <x:v>Источник Actions.Recovery Base Ticks</x:v>
      </x:c>
    </x:row>
    <x:row r="332" ht="36" customHeight="1">
      <x:c r="A332" s="118" t="n">
        <x:v>327</x:v>
      </x:c>
      <x:c r="B332" s="35" t="str">
        <x:v>action</x:v>
      </x:c>
      <x:c r="C332" s="35" t="str">
        <x:v>bear_paw_jab</x:v>
      </x:c>
      <x:c r="D332" s="35" t="str">
        <x:v>recovery_min_ticks</x:v>
      </x:c>
      <x:c r="E332" s="38" t="str">
        <x:v>int</x:v>
      </x:c>
      <x:c r="F332" s="56" t="n">
        <x:f>'Actions'!Y9</x:f>
        <x:v>3</x:v>
      </x:c>
      <x:c r="G332" s="38" t="str"/>
      <x:c r="H332" s="35" t="str">
        <x:v>Actions</x:v>
      </x:c>
      <x:c r="I332" s="35" t="str">
        <x:v>Y9</x:v>
      </x:c>
      <x:c r="J332" s="85" t="b">
        <x:v>1</x:v>
      </x:c>
      <x:c r="K332" s="85" t="b">
        <x:v>1</x:v>
      </x:c>
      <x:c r="L332" s="56" t="str">
        <x:f>'Actions'!BE9</x:f>
        <x:v>OK</x:v>
      </x:c>
      <x:c r="M332" s="44" t="str">
        <x:v>Источник Actions.Recovery Min Ticks</x:v>
      </x:c>
    </x:row>
    <x:row r="333" ht="36" customHeight="1">
      <x:c r="A333" s="118" t="n">
        <x:v>328</x:v>
      </x:c>
      <x:c r="B333" s="35" t="str">
        <x:v>action</x:v>
      </x:c>
      <x:c r="C333" s="35" t="str">
        <x:v>bear_paw_jab</x:v>
      </x:c>
      <x:c r="D333" s="35" t="str">
        <x:v>recovery_max_ticks</x:v>
      </x:c>
      <x:c r="E333" s="38" t="str">
        <x:v>int</x:v>
      </x:c>
      <x:c r="F333" s="56" t="n">
        <x:f>'Actions'!Z9</x:f>
        <x:v>8</x:v>
      </x:c>
      <x:c r="G333" s="38" t="str"/>
      <x:c r="H333" s="35" t="str">
        <x:v>Actions</x:v>
      </x:c>
      <x:c r="I333" s="35" t="str">
        <x:v>Z9</x:v>
      </x:c>
      <x:c r="J333" s="85" t="b">
        <x:v>1</x:v>
      </x:c>
      <x:c r="K333" s="85" t="b">
        <x:v>1</x:v>
      </x:c>
      <x:c r="L333" s="56" t="str">
        <x:f>'Actions'!BE9</x:f>
        <x:v>OK</x:v>
      </x:c>
      <x:c r="M333" s="44" t="str">
        <x:v>Источник Actions.Recovery Max Ticks</x:v>
      </x:c>
    </x:row>
    <x:row r="334" ht="36" customHeight="1">
      <x:c r="A334" s="118" t="n">
        <x:v>329</x:v>
      </x:c>
      <x:c r="B334" s="35" t="str">
        <x:v>action</x:v>
      </x:c>
      <x:c r="C334" s="35" t="str">
        <x:v>bear_paw_jab</x:v>
      </x:c>
      <x:c r="D334" s="35" t="str">
        <x:v>cooldown_ticks</x:v>
      </x:c>
      <x:c r="E334" s="38" t="str">
        <x:v>int</x:v>
      </x:c>
      <x:c r="F334" s="56" t="n">
        <x:f>'Actions'!AA9</x:f>
        <x:v>0</x:v>
      </x:c>
      <x:c r="G334" s="38" t="str"/>
      <x:c r="H334" s="35" t="str">
        <x:v>Actions</x:v>
      </x:c>
      <x:c r="I334" s="35" t="str">
        <x:v>AA9</x:v>
      </x:c>
      <x:c r="J334" s="85" t="b">
        <x:v>1</x:v>
      </x:c>
      <x:c r="K334" s="85" t="b">
        <x:v>1</x:v>
      </x:c>
      <x:c r="L334" s="56" t="str">
        <x:f>'Actions'!BE9</x:f>
        <x:v>OK</x:v>
      </x:c>
      <x:c r="M334" s="44" t="str">
        <x:v>Источник Actions.Cooldown Ticks</x:v>
      </x:c>
    </x:row>
    <x:row r="335" ht="36" customHeight="1">
      <x:c r="A335" s="118" t="n">
        <x:v>330</x:v>
      </x:c>
      <x:c r="B335" s="35" t="str">
        <x:v>action</x:v>
      </x:c>
      <x:c r="C335" s="35" t="str">
        <x:v>bear_paw_jab</x:v>
      </x:c>
      <x:c r="D335" s="35" t="str">
        <x:v>action_priority</x:v>
      </x:c>
      <x:c r="E335" s="38" t="str">
        <x:v>int</x:v>
      </x:c>
      <x:c r="F335" s="56" t="n">
        <x:f>'Actions'!AB9</x:f>
        <x:v>20</x:v>
      </x:c>
      <x:c r="G335" s="38" t="str"/>
      <x:c r="H335" s="35" t="str">
        <x:v>Actions</x:v>
      </x:c>
      <x:c r="I335" s="35" t="str">
        <x:v>AB9</x:v>
      </x:c>
      <x:c r="J335" s="85" t="b">
        <x:v>1</x:v>
      </x:c>
      <x:c r="K335" s="85" t="b">
        <x:v>1</x:v>
      </x:c>
      <x:c r="L335" s="56" t="str">
        <x:f>'Actions'!BE9</x:f>
        <x:v>OK</x:v>
      </x:c>
      <x:c r="M335" s="44" t="str">
        <x:v>Источник Actions.Action Priority</x:v>
      </x:c>
    </x:row>
    <x:row r="336" ht="36" customHeight="1">
      <x:c r="A336" s="118" t="n">
        <x:v>331</x:v>
      </x:c>
      <x:c r="B336" s="35" t="str">
        <x:v>action</x:v>
      </x:c>
      <x:c r="C336" s="35" t="str">
        <x:v>bear_paw_jab</x:v>
      </x:c>
      <x:c r="D336" s="35" t="str">
        <x:v>clash_priority</x:v>
      </x:c>
      <x:c r="E336" s="38" t="str">
        <x:v>int</x:v>
      </x:c>
      <x:c r="F336" s="56" t="n">
        <x:f>'Actions'!AC9</x:f>
        <x:v>20</x:v>
      </x:c>
      <x:c r="G336" s="38" t="str"/>
      <x:c r="H336" s="35" t="str">
        <x:v>Actions</x:v>
      </x:c>
      <x:c r="I336" s="35" t="str">
        <x:v>AC9</x:v>
      </x:c>
      <x:c r="J336" s="85" t="b">
        <x:v>1</x:v>
      </x:c>
      <x:c r="K336" s="85" t="b">
        <x:v>1</x:v>
      </x:c>
      <x:c r="L336" s="56" t="str">
        <x:f>'Actions'!BE9</x:f>
        <x:v>OK</x:v>
      </x:c>
      <x:c r="M336" s="44" t="str">
        <x:v>Источник Actions.Clash Priority</x:v>
      </x:c>
    </x:row>
    <x:row r="337" ht="36" customHeight="1">
      <x:c r="A337" s="118" t="n">
        <x:v>332</x:v>
      </x:c>
      <x:c r="B337" s="35" t="str">
        <x:v>action</x:v>
      </x:c>
      <x:c r="C337" s="35" t="str">
        <x:v>bear_paw_jab</x:v>
      </x:c>
      <x:c r="D337" s="35" t="str">
        <x:v>grab_priority</x:v>
      </x:c>
      <x:c r="E337" s="38" t="str">
        <x:v>int</x:v>
      </x:c>
      <x:c r="F337" s="56" t="n">
        <x:f>'Actions'!AD9</x:f>
        <x:v>0</x:v>
      </x:c>
      <x:c r="G337" s="38" t="str"/>
      <x:c r="H337" s="35" t="str">
        <x:v>Actions</x:v>
      </x:c>
      <x:c r="I337" s="35" t="str">
        <x:v>AD9</x:v>
      </x:c>
      <x:c r="J337" s="85" t="b">
        <x:v>1</x:v>
      </x:c>
      <x:c r="K337" s="85" t="b">
        <x:v>1</x:v>
      </x:c>
      <x:c r="L337" s="56" t="str">
        <x:f>'Actions'!BE9</x:f>
        <x:v>OK</x:v>
      </x:c>
      <x:c r="M337" s="44" t="str">
        <x:v>Источник Actions.Grab Priority</x:v>
      </x:c>
    </x:row>
    <x:row r="338" ht="36" customHeight="1">
      <x:c r="A338" s="118" t="n">
        <x:v>333</x:v>
      </x:c>
      <x:c r="B338" s="35" t="str">
        <x:v>action</x:v>
      </x:c>
      <x:c r="C338" s="35" t="str">
        <x:v>bear_paw_jab</x:v>
      </x:c>
      <x:c r="D338" s="35" t="str">
        <x:v>resolution_priority</x:v>
      </x:c>
      <x:c r="E338" s="38" t="str">
        <x:v>int</x:v>
      </x:c>
      <x:c r="F338" s="56" t="n">
        <x:f>'Actions'!AE9</x:f>
        <x:v>20</x:v>
      </x:c>
      <x:c r="G338" s="38" t="str"/>
      <x:c r="H338" s="35" t="str">
        <x:v>Actions</x:v>
      </x:c>
      <x:c r="I338" s="35" t="str">
        <x:v>AE9</x:v>
      </x:c>
      <x:c r="J338" s="85" t="b">
        <x:v>1</x:v>
      </x:c>
      <x:c r="K338" s="85" t="b">
        <x:v>1</x:v>
      </x:c>
      <x:c r="L338" s="56" t="str">
        <x:f>'Actions'!BE9</x:f>
        <x:v>OK</x:v>
      </x:c>
      <x:c r="M338" s="44" t="str">
        <x:v>Источник Actions.Resolution Priority</x:v>
      </x:c>
    </x:row>
    <x:row r="339" ht="36" customHeight="1">
      <x:c r="A339" s="118" t="n">
        <x:v>334</x:v>
      </x:c>
      <x:c r="B339" s="35" t="str">
        <x:v>action</x:v>
      </x:c>
      <x:c r="C339" s="35" t="str">
        <x:v>bear_paw_jab</x:v>
      </x:c>
      <x:c r="D339" s="35" t="str">
        <x:v>interrupt_profile</x:v>
      </x:c>
      <x:c r="E339" s="38" t="str">
        <x:v>string</x:v>
      </x:c>
      <x:c r="F339" s="56" t="str">
        <x:f>'Actions'!AF9</x:f>
        <x:v>Committed</x:v>
      </x:c>
      <x:c r="G339" s="38" t="str"/>
      <x:c r="H339" s="35" t="str">
        <x:v>Actions</x:v>
      </x:c>
      <x:c r="I339" s="35" t="str">
        <x:v>AF9</x:v>
      </x:c>
      <x:c r="J339" s="85" t="b">
        <x:v>1</x:v>
      </x:c>
      <x:c r="K339" s="85" t="b">
        <x:v>1</x:v>
      </x:c>
      <x:c r="L339" s="56" t="str">
        <x:f>'Actions'!BE9</x:f>
        <x:v>OK</x:v>
      </x:c>
      <x:c r="M339" s="44" t="str">
        <x:v>Источник Actions.Interrupt Profile</x:v>
      </x:c>
    </x:row>
    <x:row r="340" ht="36" customHeight="1">
      <x:c r="A340" s="118" t="n">
        <x:v>335</x:v>
      </x:c>
      <x:c r="B340" s="35" t="str">
        <x:v>action</x:v>
      </x:c>
      <x:c r="C340" s="35" t="str">
        <x:v>bear_paw_jab</x:v>
      </x:c>
      <x:c r="D340" s="35" t="str">
        <x:v>blockable</x:v>
      </x:c>
      <x:c r="E340" s="38" t="str">
        <x:v>bool</x:v>
      </x:c>
      <x:c r="F340" s="56" t="b">
        <x:f>'Actions'!AG9</x:f>
        <x:v>1</x:v>
      </x:c>
      <x:c r="G340" s="38" t="str"/>
      <x:c r="H340" s="35" t="str">
        <x:v>Actions</x:v>
      </x:c>
      <x:c r="I340" s="35" t="str">
        <x:v>AG9</x:v>
      </x:c>
      <x:c r="J340" s="85" t="b">
        <x:v>1</x:v>
      </x:c>
      <x:c r="K340" s="85" t="b">
        <x:v>1</x:v>
      </x:c>
      <x:c r="L340" s="56" t="str">
        <x:f>'Actions'!BE9</x:f>
        <x:v>OK</x:v>
      </x:c>
      <x:c r="M340" s="44" t="str">
        <x:v>Источник Actions.Blockable</x:v>
      </x:c>
    </x:row>
    <x:row r="341" ht="36" customHeight="1">
      <x:c r="A341" s="118" t="n">
        <x:v>336</x:v>
      </x:c>
      <x:c r="B341" s="35" t="str">
        <x:v>action</x:v>
      </x:c>
      <x:c r="C341" s="35" t="str">
        <x:v>bear_paw_jab</x:v>
      </x:c>
      <x:c r="D341" s="35" t="str">
        <x:v>dodgeable</x:v>
      </x:c>
      <x:c r="E341" s="38" t="str">
        <x:v>bool</x:v>
      </x:c>
      <x:c r="F341" s="56" t="b">
        <x:f>'Actions'!AH9</x:f>
        <x:v>1</x:v>
      </x:c>
      <x:c r="G341" s="38" t="str"/>
      <x:c r="H341" s="35" t="str">
        <x:v>Actions</x:v>
      </x:c>
      <x:c r="I341" s="35" t="str">
        <x:v>AH9</x:v>
      </x:c>
      <x:c r="J341" s="85" t="b">
        <x:v>1</x:v>
      </x:c>
      <x:c r="K341" s="85" t="b">
        <x:v>1</x:v>
      </x:c>
      <x:c r="L341" s="56" t="str">
        <x:f>'Actions'!BE9</x:f>
        <x:v>OK</x:v>
      </x:c>
      <x:c r="M341" s="44" t="str">
        <x:v>Источник Actions.Dodgeable</x:v>
      </x:c>
    </x:row>
    <x:row r="342" ht="36" customHeight="1">
      <x:c r="A342" s="118" t="n">
        <x:v>337</x:v>
      </x:c>
      <x:c r="B342" s="35" t="str">
        <x:v>action</x:v>
      </x:c>
      <x:c r="C342" s="35" t="str">
        <x:v>bear_paw_jab</x:v>
      </x:c>
      <x:c r="D342" s="35" t="str">
        <x:v>undodgeable</x:v>
      </x:c>
      <x:c r="E342" s="38" t="str">
        <x:v>bool</x:v>
      </x:c>
      <x:c r="F342" s="56" t="b">
        <x:f>'Actions'!AI9</x:f>
        <x:v>0</x:v>
      </x:c>
      <x:c r="G342" s="38" t="str"/>
      <x:c r="H342" s="35" t="str">
        <x:v>Actions</x:v>
      </x:c>
      <x:c r="I342" s="35" t="str">
        <x:v>AI9</x:v>
      </x:c>
      <x:c r="J342" s="85" t="b">
        <x:v>1</x:v>
      </x:c>
      <x:c r="K342" s="85" t="b">
        <x:v>1</x:v>
      </x:c>
      <x:c r="L342" s="56" t="str">
        <x:f>'Actions'!BE9</x:f>
        <x:v>OK</x:v>
      </x:c>
      <x:c r="M342" s="44" t="str">
        <x:v>Источник Actions.Undodgeable</x:v>
      </x:c>
    </x:row>
    <x:row r="343" ht="36" customHeight="1">
      <x:c r="A343" s="118" t="n">
        <x:v>338</x:v>
      </x:c>
      <x:c r="B343" s="35" t="str">
        <x:v>action</x:v>
      </x:c>
      <x:c r="C343" s="35" t="str">
        <x:v>bear_paw_jab</x:v>
      </x:c>
      <x:c r="D343" s="35" t="str">
        <x:v>wall_impact</x:v>
      </x:c>
      <x:c r="E343" s="38" t="str">
        <x:v>bool</x:v>
      </x:c>
      <x:c r="F343" s="56" t="b">
        <x:f>'Actions'!AJ9</x:f>
        <x:v>0</x:v>
      </x:c>
      <x:c r="G343" s="38" t="str"/>
      <x:c r="H343" s="35" t="str">
        <x:v>Actions</x:v>
      </x:c>
      <x:c r="I343" s="35" t="str">
        <x:v>AJ9</x:v>
      </x:c>
      <x:c r="J343" s="85" t="b">
        <x:v>1</x:v>
      </x:c>
      <x:c r="K343" s="85" t="b">
        <x:v>1</x:v>
      </x:c>
      <x:c r="L343" s="56" t="str">
        <x:f>'Actions'!BE9</x:f>
        <x:v>OK</x:v>
      </x:c>
      <x:c r="M343" s="44" t="str">
        <x:v>Источник Actions.Wall Impact</x:v>
      </x:c>
    </x:row>
    <x:row r="344" ht="36" customHeight="1">
      <x:c r="A344" s="118" t="n">
        <x:v>339</x:v>
      </x:c>
      <x:c r="B344" s="35" t="str">
        <x:v>action</x:v>
      </x:c>
      <x:c r="C344" s="35" t="str">
        <x:v>bear_paw_jab</x:v>
      </x:c>
      <x:c r="D344" s="35" t="str">
        <x:v>track_target</x:v>
      </x:c>
      <x:c r="E344" s="38" t="str">
        <x:v>bool</x:v>
      </x:c>
      <x:c r="F344" s="56" t="b">
        <x:f>'Actions'!AK9</x:f>
        <x:v>0</x:v>
      </x:c>
      <x:c r="G344" s="38" t="str"/>
      <x:c r="H344" s="35" t="str">
        <x:v>Actions</x:v>
      </x:c>
      <x:c r="I344" s="35" t="str">
        <x:v>AK9</x:v>
      </x:c>
      <x:c r="J344" s="85" t="b">
        <x:v>1</x:v>
      </x:c>
      <x:c r="K344" s="85" t="b">
        <x:v>1</x:v>
      </x:c>
      <x:c r="L344" s="56" t="str">
        <x:f>'Actions'!BE9</x:f>
        <x:v>OK</x:v>
      </x:c>
      <x:c r="M344" s="44" t="str">
        <x:v>Источник Actions.Track Target</x:v>
      </x:c>
    </x:row>
    <x:row r="345" ht="36" customHeight="1">
      <x:c r="A345" s="118" t="n">
        <x:v>340</x:v>
      </x:c>
      <x:c r="B345" s="35" t="str">
        <x:v>action</x:v>
      </x:c>
      <x:c r="C345" s="35" t="str">
        <x:v>bear_paw_jab</x:v>
      </x:c>
      <x:c r="D345" s="35" t="str">
        <x:v>block_base_chance_fp</x:v>
      </x:c>
      <x:c r="E345" s="38" t="str">
        <x:v>int</x:v>
      </x:c>
      <x:c r="F345" s="56" t="n">
        <x:f>'Actions'!AL9</x:f>
        <x:v>0</x:v>
      </x:c>
      <x:c r="G345" s="38" t="str"/>
      <x:c r="H345" s="35" t="str">
        <x:v>Actions</x:v>
      </x:c>
      <x:c r="I345" s="35" t="str">
        <x:v>AL9</x:v>
      </x:c>
      <x:c r="J345" s="85" t="b">
        <x:v>1</x:v>
      </x:c>
      <x:c r="K345" s="85" t="b">
        <x:v>1</x:v>
      </x:c>
      <x:c r="L345" s="56" t="str">
        <x:f>'Actions'!BE9</x:f>
        <x:v>OK</x:v>
      </x:c>
      <x:c r="M345" s="44" t="str">
        <x:v>Источник Actions.Block Base Chance FP</x:v>
      </x:c>
    </x:row>
    <x:row r="346" ht="36" customHeight="1">
      <x:c r="A346" s="118" t="n">
        <x:v>341</x:v>
      </x:c>
      <x:c r="B346" s="35" t="str">
        <x:v>action</x:v>
      </x:c>
      <x:c r="C346" s="35" t="str">
        <x:v>bear_paw_jab</x:v>
      </x:c>
      <x:c r="D346" s="35" t="str">
        <x:v>block_reduction_fp</x:v>
      </x:c>
      <x:c r="E346" s="38" t="str">
        <x:v>int</x:v>
      </x:c>
      <x:c r="F346" s="56" t="n">
        <x:f>'Actions'!AM9</x:f>
        <x:v>0</x:v>
      </x:c>
      <x:c r="G346" s="38" t="str"/>
      <x:c r="H346" s="35" t="str">
        <x:v>Actions</x:v>
      </x:c>
      <x:c r="I346" s="35" t="str">
        <x:v>AM9</x:v>
      </x:c>
      <x:c r="J346" s="85" t="b">
        <x:v>1</x:v>
      </x:c>
      <x:c r="K346" s="85" t="b">
        <x:v>1</x:v>
      </x:c>
      <x:c r="L346" s="56" t="str">
        <x:f>'Actions'!BE9</x:f>
        <x:v>OK</x:v>
      </x:c>
      <x:c r="M346" s="44" t="str">
        <x:v>Источник Actions.Block Reduction FP</x:v>
      </x:c>
    </x:row>
    <x:row r="347" ht="36" customHeight="1">
      <x:c r="A347" s="118" t="n">
        <x:v>342</x:v>
      </x:c>
      <x:c r="B347" s="35" t="str">
        <x:v>action</x:v>
      </x:c>
      <x:c r="C347" s="35" t="str">
        <x:v>bear_paw_jab</x:v>
      </x:c>
      <x:c r="D347" s="35" t="str">
        <x:v>dodge_base_chance_fp</x:v>
      </x:c>
      <x:c r="E347" s="38" t="str">
        <x:v>int</x:v>
      </x:c>
      <x:c r="F347" s="56" t="n">
        <x:f>'Actions'!AN9</x:f>
        <x:v>0</x:v>
      </x:c>
      <x:c r="G347" s="38" t="str"/>
      <x:c r="H347" s="35" t="str">
        <x:v>Actions</x:v>
      </x:c>
      <x:c r="I347" s="35" t="str">
        <x:v>AN9</x:v>
      </x:c>
      <x:c r="J347" s="85" t="b">
        <x:v>1</x:v>
      </x:c>
      <x:c r="K347" s="85" t="b">
        <x:v>1</x:v>
      </x:c>
      <x:c r="L347" s="56" t="str">
        <x:f>'Actions'!BE9</x:f>
        <x:v>OK</x:v>
      </x:c>
      <x:c r="M347" s="44" t="str">
        <x:v>Источник Actions.Dodge Base Chance FP</x:v>
      </x:c>
    </x:row>
    <x:row r="348" ht="36" customHeight="1">
      <x:c r="A348" s="118" t="n">
        <x:v>343</x:v>
      </x:c>
      <x:c r="B348" s="35" t="str">
        <x:v>action</x:v>
      </x:c>
      <x:c r="C348" s="35" t="str">
        <x:v>bear_paw_jab</x:v>
      </x:c>
      <x:c r="D348" s="35" t="str">
        <x:v>movement_mode</x:v>
      </x:c>
      <x:c r="E348" s="38" t="str">
        <x:v>string</x:v>
      </x:c>
      <x:c r="F348" s="56" t="str">
        <x:f>'Actions'!AO9</x:f>
        <x:v>None</x:v>
      </x:c>
      <x:c r="G348" s="38" t="str"/>
      <x:c r="H348" s="35" t="str">
        <x:v>Actions</x:v>
      </x:c>
      <x:c r="I348" s="35" t="str">
        <x:v>AO9</x:v>
      </x:c>
      <x:c r="J348" s="85" t="b">
        <x:v>1</x:v>
      </x:c>
      <x:c r="K348" s="85" t="b">
        <x:v>1</x:v>
      </x:c>
      <x:c r="L348" s="56" t="str">
        <x:f>'Actions'!BE9</x:f>
        <x:v>OK</x:v>
      </x:c>
      <x:c r="M348" s="44" t="str">
        <x:v>Источник Actions.Movement Mode</x:v>
      </x:c>
    </x:row>
    <x:row r="349" ht="36" customHeight="1">
      <x:c r="A349" s="118" t="n">
        <x:v>344</x:v>
      </x:c>
      <x:c r="B349" s="35" t="str">
        <x:v>action</x:v>
      </x:c>
      <x:c r="C349" s="35" t="str">
        <x:v>bear_paw_jab</x:v>
      </x:c>
      <x:c r="D349" s="35" t="str">
        <x:v>move_distance</x:v>
      </x:c>
      <x:c r="E349" s="38" t="str">
        <x:v>int</x:v>
      </x:c>
      <x:c r="F349" s="56" t="n">
        <x:f>'Actions'!AP9</x:f>
        <x:v>0</x:v>
      </x:c>
      <x:c r="G349" s="38" t="str"/>
      <x:c r="H349" s="35" t="str">
        <x:v>Actions</x:v>
      </x:c>
      <x:c r="I349" s="35" t="str">
        <x:v>AP9</x:v>
      </x:c>
      <x:c r="J349" s="85" t="b">
        <x:v>1</x:v>
      </x:c>
      <x:c r="K349" s="85" t="b">
        <x:v>1</x:v>
      </x:c>
      <x:c r="L349" s="56" t="str">
        <x:f>'Actions'!BE9</x:f>
        <x:v>OK</x:v>
      </x:c>
      <x:c r="M349" s="44" t="str">
        <x:v>Источник Actions.Move Distance</x:v>
      </x:c>
    </x:row>
    <x:row r="350" ht="36" customHeight="1">
      <x:c r="A350" s="118" t="n">
        <x:v>345</x:v>
      </x:c>
      <x:c r="B350" s="35" t="str">
        <x:v>action</x:v>
      </x:c>
      <x:c r="C350" s="35" t="str">
        <x:v>bear_paw_jab</x:v>
      </x:c>
      <x:c r="D350" s="35" t="str">
        <x:v>base_stagger</x:v>
      </x:c>
      <x:c r="E350" s="38" t="str">
        <x:v>int</x:v>
      </x:c>
      <x:c r="F350" s="56" t="n">
        <x:f>'Actions'!AQ9</x:f>
        <x:v>20</x:v>
      </x:c>
      <x:c r="G350" s="38" t="str"/>
      <x:c r="H350" s="35" t="str">
        <x:v>Actions</x:v>
      </x:c>
      <x:c r="I350" s="35" t="str">
        <x:v>AQ9</x:v>
      </x:c>
      <x:c r="J350" s="85" t="b">
        <x:v>1</x:v>
      </x:c>
      <x:c r="K350" s="85" t="b">
        <x:v>1</x:v>
      </x:c>
      <x:c r="L350" s="56" t="str">
        <x:f>'Actions'!BE9</x:f>
        <x:v>OK</x:v>
      </x:c>
      <x:c r="M350" s="44" t="str">
        <x:v>Источник Actions.Base Stagger</x:v>
      </x:c>
    </x:row>
    <x:row r="351" ht="36" customHeight="1">
      <x:c r="A351" s="118" t="n">
        <x:v>346</x:v>
      </x:c>
      <x:c r="B351" s="35" t="str">
        <x:v>action</x:v>
      </x:c>
      <x:c r="C351" s="35" t="str">
        <x:v>bear_paw_jab</x:v>
      </x:c>
      <x:c r="D351" s="35" t="str">
        <x:v>base_stun_ticks</x:v>
      </x:c>
      <x:c r="E351" s="38" t="str">
        <x:v>int</x:v>
      </x:c>
      <x:c r="F351" s="56" t="n">
        <x:f>'Actions'!AR9</x:f>
        <x:v>0</x:v>
      </x:c>
      <x:c r="G351" s="38" t="str"/>
      <x:c r="H351" s="35" t="str">
        <x:v>Actions</x:v>
      </x:c>
      <x:c r="I351" s="35" t="str">
        <x:v>AR9</x:v>
      </x:c>
      <x:c r="J351" s="85" t="b">
        <x:v>1</x:v>
      </x:c>
      <x:c r="K351" s="85" t="b">
        <x:v>1</x:v>
      </x:c>
      <x:c r="L351" s="56" t="str">
        <x:f>'Actions'!BE9</x:f>
        <x:v>OK</x:v>
      </x:c>
      <x:c r="M351" s="44" t="str">
        <x:v>Источник Actions.Base Stun Ticks</x:v>
      </x:c>
    </x:row>
    <x:row r="352" ht="36" customHeight="1">
      <x:c r="A352" s="118" t="n">
        <x:v>347</x:v>
      </x:c>
      <x:c r="B352" s="35" t="str">
        <x:v>action</x:v>
      </x:c>
      <x:c r="C352" s="35" t="str">
        <x:v>bear_paw_jab</x:v>
      </x:c>
      <x:c r="D352" s="35" t="str">
        <x:v>base_knockback</x:v>
      </x:c>
      <x:c r="E352" s="38" t="str">
        <x:v>int</x:v>
      </x:c>
      <x:c r="F352" s="56" t="n">
        <x:f>'Actions'!AS9</x:f>
        <x:v>0</x:v>
      </x:c>
      <x:c r="G352" s="38" t="str"/>
      <x:c r="H352" s="35" t="str">
        <x:v>Actions</x:v>
      </x:c>
      <x:c r="I352" s="35" t="str">
        <x:v>AS9</x:v>
      </x:c>
      <x:c r="J352" s="85" t="b">
        <x:v>1</x:v>
      </x:c>
      <x:c r="K352" s="85" t="b">
        <x:v>1</x:v>
      </x:c>
      <x:c r="L352" s="56" t="str">
        <x:f>'Actions'!BE9</x:f>
        <x:v>OK</x:v>
      </x:c>
      <x:c r="M352" s="44" t="str">
        <x:v>Источник Actions.Base Knockback</x:v>
      </x:c>
    </x:row>
    <x:row r="353" ht="36" customHeight="1">
      <x:c r="A353" s="118" t="n">
        <x:v>348</x:v>
      </x:c>
      <x:c r="B353" s="35" t="str">
        <x:v>action</x:v>
      </x:c>
      <x:c r="C353" s="35" t="str">
        <x:v>bear_paw_jab</x:v>
      </x:c>
      <x:c r="D353" s="35" t="str">
        <x:v>knockback_min</x:v>
      </x:c>
      <x:c r="E353" s="38" t="str">
        <x:v>int</x:v>
      </x:c>
      <x:c r="F353" s="56" t="n">
        <x:f>'Actions'!AT9</x:f>
        <x:v>0</x:v>
      </x:c>
      <x:c r="G353" s="38" t="str"/>
      <x:c r="H353" s="35" t="str">
        <x:v>Actions</x:v>
      </x:c>
      <x:c r="I353" s="35" t="str">
        <x:v>AT9</x:v>
      </x:c>
      <x:c r="J353" s="85" t="b">
        <x:v>1</x:v>
      </x:c>
      <x:c r="K353" s="85" t="b">
        <x:v>1</x:v>
      </x:c>
      <x:c r="L353" s="56" t="str">
        <x:f>'Actions'!BE9</x:f>
        <x:v>OK</x:v>
      </x:c>
      <x:c r="M353" s="44" t="str">
        <x:v>Источник Actions.Knockback Min</x:v>
      </x:c>
    </x:row>
    <x:row r="354" ht="36" customHeight="1">
      <x:c r="A354" s="118" t="n">
        <x:v>349</x:v>
      </x:c>
      <x:c r="B354" s="35" t="str">
        <x:v>action</x:v>
      </x:c>
      <x:c r="C354" s="35" t="str">
        <x:v>bear_paw_jab</x:v>
      </x:c>
      <x:c r="D354" s="35" t="str">
        <x:v>knockback_max</x:v>
      </x:c>
      <x:c r="E354" s="38" t="str">
        <x:v>int</x:v>
      </x:c>
      <x:c r="F354" s="56" t="n">
        <x:f>'Actions'!AU9</x:f>
        <x:v>0</x:v>
      </x:c>
      <x:c r="G354" s="38" t="str"/>
      <x:c r="H354" s="35" t="str">
        <x:v>Actions</x:v>
      </x:c>
      <x:c r="I354" s="35" t="str">
        <x:v>AU9</x:v>
      </x:c>
      <x:c r="J354" s="85" t="b">
        <x:v>1</x:v>
      </x:c>
      <x:c r="K354" s="85" t="b">
        <x:v>1</x:v>
      </x:c>
      <x:c r="L354" s="56" t="str">
        <x:f>'Actions'!BE9</x:f>
        <x:v>OK</x:v>
      </x:c>
      <x:c r="M354" s="44" t="str">
        <x:v>Источник Actions.Knockback Max</x:v>
      </x:c>
    </x:row>
    <x:row r="355" ht="36" customHeight="1">
      <x:c r="A355" s="118" t="n">
        <x:v>350</x:v>
      </x:c>
      <x:c r="B355" s="35" t="str">
        <x:v>action</x:v>
      </x:c>
      <x:c r="C355" s="35" t="str">
        <x:v>bear_paw_jab</x:v>
      </x:c>
      <x:c r="D355" s="35" t="str">
        <x:v>wall_damage_per_unit_fp</x:v>
      </x:c>
      <x:c r="E355" s="38" t="str">
        <x:v>int</x:v>
      </x:c>
      <x:c r="F355" s="56" t="n">
        <x:f>'Actions'!AV9</x:f>
        <x:v>0</x:v>
      </x:c>
      <x:c r="G355" s="38" t="str"/>
      <x:c r="H355" s="35" t="str">
        <x:v>Actions</x:v>
      </x:c>
      <x:c r="I355" s="35" t="str">
        <x:v>AV9</x:v>
      </x:c>
      <x:c r="J355" s="85" t="b">
        <x:v>1</x:v>
      </x:c>
      <x:c r="K355" s="85" t="b">
        <x:v>1</x:v>
      </x:c>
      <x:c r="L355" s="56" t="str">
        <x:f>'Actions'!BE9</x:f>
        <x:v>OK</x:v>
      </x:c>
      <x:c r="M355" s="44" t="str">
        <x:v>Источник Actions.Wall Damage / Unit FP</x:v>
      </x:c>
    </x:row>
    <x:row r="356" ht="36" customHeight="1">
      <x:c r="A356" s="118" t="n">
        <x:v>351</x:v>
      </x:c>
      <x:c r="B356" s="35" t="str">
        <x:v>action</x:v>
      </x:c>
      <x:c r="C356" s="35" t="str">
        <x:v>bear_paw_jab</x:v>
      </x:c>
      <x:c r="D356" s="35" t="str">
        <x:v>wall_damage_min</x:v>
      </x:c>
      <x:c r="E356" s="38" t="str">
        <x:v>int</x:v>
      </x:c>
      <x:c r="F356" s="56" t="n">
        <x:f>'Actions'!AW9</x:f>
        <x:v>0</x:v>
      </x:c>
      <x:c r="G356" s="38" t="str"/>
      <x:c r="H356" s="35" t="str">
        <x:v>Actions</x:v>
      </x:c>
      <x:c r="I356" s="35" t="str">
        <x:v>AW9</x:v>
      </x:c>
      <x:c r="J356" s="85" t="b">
        <x:v>1</x:v>
      </x:c>
      <x:c r="K356" s="85" t="b">
        <x:v>1</x:v>
      </x:c>
      <x:c r="L356" s="56" t="str">
        <x:f>'Actions'!BE9</x:f>
        <x:v>OK</x:v>
      </x:c>
      <x:c r="M356" s="44" t="str">
        <x:v>Источник Actions.Wall Damage Min</x:v>
      </x:c>
    </x:row>
    <x:row r="357" ht="36" customHeight="1">
      <x:c r="A357" s="118" t="n">
        <x:v>352</x:v>
      </x:c>
      <x:c r="B357" s="35" t="str">
        <x:v>action</x:v>
      </x:c>
      <x:c r="C357" s="35" t="str">
        <x:v>bear_paw_jab</x:v>
      </x:c>
      <x:c r="D357" s="35" t="str">
        <x:v>wall_damage_max</x:v>
      </x:c>
      <x:c r="E357" s="38" t="str">
        <x:v>int</x:v>
      </x:c>
      <x:c r="F357" s="56" t="n">
        <x:f>'Actions'!AX9</x:f>
        <x:v>0</x:v>
      </x:c>
      <x:c r="G357" s="38" t="str"/>
      <x:c r="H357" s="35" t="str">
        <x:v>Actions</x:v>
      </x:c>
      <x:c r="I357" s="35" t="str">
        <x:v>AX9</x:v>
      </x:c>
      <x:c r="J357" s="85" t="b">
        <x:v>1</x:v>
      </x:c>
      <x:c r="K357" s="85" t="b">
        <x:v>1</x:v>
      </x:c>
      <x:c r="L357" s="56" t="str">
        <x:f>'Actions'!BE9</x:f>
        <x:v>OK</x:v>
      </x:c>
      <x:c r="M357" s="44" t="str">
        <x:v>Источник Actions.Wall Damage Max</x:v>
      </x:c>
    </x:row>
    <x:row r="358" ht="36" customHeight="1">
      <x:c r="A358" s="118" t="n">
        <x:v>353</x:v>
      </x:c>
      <x:c r="B358" s="35" t="str">
        <x:v>action</x:v>
      </x:c>
      <x:c r="C358" s="35" t="str">
        <x:v>bear_paw_jab</x:v>
      </x:c>
      <x:c r="D358" s="35" t="str">
        <x:v>max_consecutive_uses</x:v>
      </x:c>
      <x:c r="E358" s="38" t="str">
        <x:v>int</x:v>
      </x:c>
      <x:c r="F358" s="56" t="n">
        <x:f>'Actions'!AY9</x:f>
        <x:v>2</x:v>
      </x:c>
      <x:c r="G358" s="38" t="str"/>
      <x:c r="H358" s="35" t="str">
        <x:v>Actions</x:v>
      </x:c>
      <x:c r="I358" s="35" t="str">
        <x:v>AY9</x:v>
      </x:c>
      <x:c r="J358" s="85" t="b">
        <x:v>1</x:v>
      </x:c>
      <x:c r="K358" s="85" t="b">
        <x:v>1</x:v>
      </x:c>
      <x:c r="L358" s="56" t="str">
        <x:f>'Actions'!BE9</x:f>
        <x:v>OK</x:v>
      </x:c>
      <x:c r="M358" s="44" t="str">
        <x:v>Источник Actions.Max Consecutive Uses</x:v>
      </x:c>
    </x:row>
    <x:row r="359" ht="36" customHeight="1">
      <x:c r="A359" s="118" t="n">
        <x:v>354</x:v>
      </x:c>
      <x:c r="B359" s="35" t="str">
        <x:v>action</x:v>
      </x:c>
      <x:c r="C359" s="35" t="str">
        <x:v>bear_paw_jab</x:v>
      </x:c>
      <x:c r="D359" s="35" t="str">
        <x:v>opportunity_cap_fp</x:v>
      </x:c>
      <x:c r="E359" s="38" t="str">
        <x:v>int</x:v>
      </x:c>
      <x:c r="F359" s="56" t="n">
        <x:f>'Actions'!AZ9</x:f>
        <x:v>1000</x:v>
      </x:c>
      <x:c r="G359" s="38" t="str"/>
      <x:c r="H359" s="35" t="str">
        <x:v>Actions</x:v>
      </x:c>
      <x:c r="I359" s="35" t="str">
        <x:v>AZ9</x:v>
      </x:c>
      <x:c r="J359" s="85" t="b">
        <x:v>1</x:v>
      </x:c>
      <x:c r="K359" s="85" t="b">
        <x:v>1</x:v>
      </x:c>
      <x:c r="L359" s="56" t="str">
        <x:f>'Actions'!BE9</x:f>
        <x:v>OK</x:v>
      </x:c>
      <x:c r="M359" s="44" t="str">
        <x:v>Источник Actions.Opportunity Cap FP</x:v>
      </x:c>
    </x:row>
    <x:row r="360" ht="36" customHeight="1">
      <x:c r="A360" s="118" t="n">
        <x:v>355</x:v>
      </x:c>
      <x:c r="B360" s="35" t="str">
        <x:v>action</x:v>
      </x:c>
      <x:c r="C360" s="35" t="str">
        <x:v>bear_paw_jab</x:v>
      </x:c>
      <x:c r="D360" s="35" t="str">
        <x:v>hard_opportunity_misses</x:v>
      </x:c>
      <x:c r="E360" s="38" t="str">
        <x:v>int</x:v>
      </x:c>
      <x:c r="F360" s="56" t="n">
        <x:f>'Actions'!BA9</x:f>
        <x:v>0</x:v>
      </x:c>
      <x:c r="G360" s="38" t="str"/>
      <x:c r="H360" s="35" t="str">
        <x:v>Actions</x:v>
      </x:c>
      <x:c r="I360" s="35" t="str">
        <x:v>BA9</x:v>
      </x:c>
      <x:c r="J360" s="85" t="b">
        <x:v>1</x:v>
      </x:c>
      <x:c r="K360" s="85" t="b">
        <x:v>1</x:v>
      </x:c>
      <x:c r="L360" s="56" t="str">
        <x:f>'Actions'!BE9</x:f>
        <x:v>OK</x:v>
      </x:c>
      <x:c r="M360" s="44" t="str">
        <x:v>Источник Actions.Hard Opportunity Misses</x:v>
      </x:c>
    </x:row>
    <x:row r="361" ht="36" customHeight="1">
      <x:c r="A361" s="118" t="n">
        <x:v>356</x:v>
      </x:c>
      <x:c r="B361" s="35" t="str">
        <x:v>action</x:v>
      </x:c>
      <x:c r="C361" s="35" t="str">
        <x:v>bear_crushing_swipe</x:v>
      </x:c>
      <x:c r="D361" s="35" t="str">
        <x:v>action_id</x:v>
      </x:c>
      <x:c r="E361" s="38" t="str">
        <x:v>string</x:v>
      </x:c>
      <x:c r="F361" s="56" t="str">
        <x:f>'Actions'!A10</x:f>
        <x:v>bear_crushing_swipe</x:v>
      </x:c>
      <x:c r="G361" s="38" t="str"/>
      <x:c r="H361" s="35" t="str">
        <x:v>Actions</x:v>
      </x:c>
      <x:c r="I361" s="35" t="str">
        <x:v>A10</x:v>
      </x:c>
      <x:c r="J361" s="85" t="b">
        <x:v>1</x:v>
      </x:c>
      <x:c r="K361" s="85" t="b">
        <x:v>1</x:v>
      </x:c>
      <x:c r="L361" s="56" t="str">
        <x:f>'Actions'!BE10</x:f>
        <x:v>OK</x:v>
      </x:c>
      <x:c r="M361" s="44" t="str">
        <x:v>Источник Actions.Action ID</x:v>
      </x:c>
    </x:row>
    <x:row r="362" ht="36" customHeight="1">
      <x:c r="A362" s="118" t="n">
        <x:v>357</x:v>
      </x:c>
      <x:c r="B362" s="35" t="str">
        <x:v>action</x:v>
      </x:c>
      <x:c r="C362" s="35" t="str">
        <x:v>bear_crushing_swipe</x:v>
      </x:c>
      <x:c r="D362" s="35" t="str">
        <x:v>animal_id</x:v>
      </x:c>
      <x:c r="E362" s="38" t="str">
        <x:v>string</x:v>
      </x:c>
      <x:c r="F362" s="56" t="str">
        <x:f>'Actions'!B10</x:f>
        <x:v>bear</x:v>
      </x:c>
      <x:c r="G362" s="38" t="str"/>
      <x:c r="H362" s="35" t="str">
        <x:v>Actions</x:v>
      </x:c>
      <x:c r="I362" s="35" t="str">
        <x:v>B10</x:v>
      </x:c>
      <x:c r="J362" s="85" t="b">
        <x:v>1</x:v>
      </x:c>
      <x:c r="K362" s="85" t="b">
        <x:v>1</x:v>
      </x:c>
      <x:c r="L362" s="56" t="str">
        <x:f>'Actions'!BE10</x:f>
        <x:v>OK</x:v>
      </x:c>
      <x:c r="M362" s="44" t="str">
        <x:v>Источник Actions.Animal ID</x:v>
      </x:c>
    </x:row>
    <x:row r="363" ht="36" customHeight="1">
      <x:c r="A363" s="118" t="n">
        <x:v>358</x:v>
      </x:c>
      <x:c r="B363" s="35" t="str">
        <x:v>action</x:v>
      </x:c>
      <x:c r="C363" s="35" t="str">
        <x:v>bear_crushing_swipe</x:v>
      </x:c>
      <x:c r="D363" s="35" t="str">
        <x:v>slot_type</x:v>
      </x:c>
      <x:c r="E363" s="38" t="str">
        <x:v>string</x:v>
      </x:c>
      <x:c r="F363" s="56" t="str">
        <x:f>'Actions'!D10</x:f>
        <x:v>Basic</x:v>
      </x:c>
      <x:c r="G363" s="38" t="str"/>
      <x:c r="H363" s="35" t="str">
        <x:v>Actions</x:v>
      </x:c>
      <x:c r="I363" s="35" t="str">
        <x:v>D10</x:v>
      </x:c>
      <x:c r="J363" s="85" t="b">
        <x:v>1</x:v>
      </x:c>
      <x:c r="K363" s="85" t="b">
        <x:v>1</x:v>
      </x:c>
      <x:c r="L363" s="56" t="str">
        <x:f>'Actions'!BE10</x:f>
        <x:v>OK</x:v>
      </x:c>
      <x:c r="M363" s="44" t="str">
        <x:v>Источник Actions.Slot Type</x:v>
      </x:c>
    </x:row>
    <x:row r="364" ht="36" customHeight="1">
      <x:c r="A364" s="118" t="n">
        <x:v>359</x:v>
      </x:c>
      <x:c r="B364" s="35" t="str">
        <x:v>action</x:v>
      </x:c>
      <x:c r="C364" s="35" t="str">
        <x:v>bear_crushing_swipe</x:v>
      </x:c>
      <x:c r="D364" s="35" t="str">
        <x:v>category</x:v>
      </x:c>
      <x:c r="E364" s="38" t="str">
        <x:v>string</x:v>
      </x:c>
      <x:c r="F364" s="56" t="str">
        <x:f>'Actions'!E10</x:f>
        <x:v>HeavyStrike</x:v>
      </x:c>
      <x:c r="G364" s="38" t="str"/>
      <x:c r="H364" s="35" t="str">
        <x:v>Actions</x:v>
      </x:c>
      <x:c r="I364" s="35" t="str">
        <x:v>E10</x:v>
      </x:c>
      <x:c r="J364" s="85" t="b">
        <x:v>1</x:v>
      </x:c>
      <x:c r="K364" s="85" t="b">
        <x:v>1</x:v>
      </x:c>
      <x:c r="L364" s="56" t="str">
        <x:f>'Actions'!BE10</x:f>
        <x:v>OK</x:v>
      </x:c>
      <x:c r="M364" s="44" t="str">
        <x:v>Источник Actions.Category</x:v>
      </x:c>
    </x:row>
    <x:row r="365" ht="36" customHeight="1">
      <x:c r="A365" s="118" t="n">
        <x:v>360</x:v>
      </x:c>
      <x:c r="B365" s="35" t="str">
        <x:v>action</x:v>
      </x:c>
      <x:c r="C365" s="35" t="str">
        <x:v>bear_crushing_swipe</x:v>
      </x:c>
      <x:c r="D365" s="35" t="str">
        <x:v>tags</x:v>
      </x:c>
      <x:c r="E365" s="38" t="str">
        <x:v>string</x:v>
      </x:c>
      <x:c r="F365" s="56" t="str">
        <x:f>'Actions'!F10</x:f>
        <x:v>strike|heavy|guard_break|knockback</x:v>
      </x:c>
      <x:c r="G365" s="38" t="str"/>
      <x:c r="H365" s="35" t="str">
        <x:v>Actions</x:v>
      </x:c>
      <x:c r="I365" s="35" t="str">
        <x:v>F10</x:v>
      </x:c>
      <x:c r="J365" s="85" t="b">
        <x:v>1</x:v>
      </x:c>
      <x:c r="K365" s="85" t="b">
        <x:v>1</x:v>
      </x:c>
      <x:c r="L365" s="56" t="str">
        <x:f>'Actions'!BE10</x:f>
        <x:v>OK</x:v>
      </x:c>
      <x:c r="M365" s="44" t="str">
        <x:v>Источник Actions.Tags</x:v>
      </x:c>
    </x:row>
    <x:row r="366" ht="36" customHeight="1">
      <x:c r="A366" s="118" t="n">
        <x:v>361</x:v>
      </x:c>
      <x:c r="B366" s="35" t="str">
        <x:v>action</x:v>
      </x:c>
      <x:c r="C366" s="35" t="str">
        <x:v>bear_crushing_swipe</x:v>
      </x:c>
      <x:c r="D366" s="35" t="str">
        <x:v>base_weight</x:v>
      </x:c>
      <x:c r="E366" s="38" t="str">
        <x:v>int</x:v>
      </x:c>
      <x:c r="F366" s="56" t="n">
        <x:f>'Actions'!G10</x:f>
        <x:v>720</x:v>
      </x:c>
      <x:c r="G366" s="38" t="str"/>
      <x:c r="H366" s="35" t="str">
        <x:v>Actions</x:v>
      </x:c>
      <x:c r="I366" s="35" t="str">
        <x:v>G10</x:v>
      </x:c>
      <x:c r="J366" s="85" t="b">
        <x:v>1</x:v>
      </x:c>
      <x:c r="K366" s="85" t="b">
        <x:v>1</x:v>
      </x:c>
      <x:c r="L366" s="56" t="str">
        <x:f>'Actions'!BE10</x:f>
        <x:v>OK</x:v>
      </x:c>
      <x:c r="M366" s="44" t="str">
        <x:v>Источник Actions.Base Weight</x:v>
      </x:c>
    </x:row>
    <x:row r="367" ht="36" customHeight="1">
      <x:c r="A367" s="118" t="n">
        <x:v>362</x:v>
      </x:c>
      <x:c r="B367" s="35" t="str">
        <x:v>action</x:v>
      </x:c>
      <x:c r="C367" s="35" t="str">
        <x:v>bear_crushing_swipe</x:v>
      </x:c>
      <x:c r="D367" s="35" t="str">
        <x:v>preferred_range_min</x:v>
      </x:c>
      <x:c r="E367" s="38" t="str">
        <x:v>int</x:v>
      </x:c>
      <x:c r="F367" s="56" t="n">
        <x:f>'Actions'!H10</x:f>
        <x:v>400</x:v>
      </x:c>
      <x:c r="G367" s="38" t="str"/>
      <x:c r="H367" s="35" t="str">
        <x:v>Actions</x:v>
      </x:c>
      <x:c r="I367" s="35" t="str">
        <x:v>H10</x:v>
      </x:c>
      <x:c r="J367" s="85" t="b">
        <x:v>1</x:v>
      </x:c>
      <x:c r="K367" s="85" t="b">
        <x:v>1</x:v>
      </x:c>
      <x:c r="L367" s="56" t="str">
        <x:f>'Actions'!BE10</x:f>
        <x:v>OK</x:v>
      </x:c>
      <x:c r="M367" s="44" t="str">
        <x:v>Источник Actions.Preferred Range Min</x:v>
      </x:c>
    </x:row>
    <x:row r="368" ht="36" customHeight="1">
      <x:c r="A368" s="118" t="n">
        <x:v>363</x:v>
      </x:c>
      <x:c r="B368" s="35" t="str">
        <x:v>action</x:v>
      </x:c>
      <x:c r="C368" s="35" t="str">
        <x:v>bear_crushing_swipe</x:v>
      </x:c>
      <x:c r="D368" s="35" t="str">
        <x:v>preferred_range_max</x:v>
      </x:c>
      <x:c r="E368" s="38" t="str">
        <x:v>int</x:v>
      </x:c>
      <x:c r="F368" s="56" t="n">
        <x:f>'Actions'!I10</x:f>
        <x:v>1350</x:v>
      </x:c>
      <x:c r="G368" s="38" t="str"/>
      <x:c r="H368" s="35" t="str">
        <x:v>Actions</x:v>
      </x:c>
      <x:c r="I368" s="35" t="str">
        <x:v>I10</x:v>
      </x:c>
      <x:c r="J368" s="85" t="b">
        <x:v>1</x:v>
      </x:c>
      <x:c r="K368" s="85" t="b">
        <x:v>1</x:v>
      </x:c>
      <x:c r="L368" s="56" t="str">
        <x:f>'Actions'!BE10</x:f>
        <x:v>OK</x:v>
      </x:c>
      <x:c r="M368" s="44" t="str">
        <x:v>Источник Actions.Preferred Range Max</x:v>
      </x:c>
    </x:row>
    <x:row r="369" ht="36" customHeight="1">
      <x:c r="A369" s="118" t="n">
        <x:v>364</x:v>
      </x:c>
      <x:c r="B369" s="35" t="str">
        <x:v>action</x:v>
      </x:c>
      <x:c r="C369" s="35" t="str">
        <x:v>bear_crushing_swipe</x:v>
      </x:c>
      <x:c r="D369" s="35" t="str">
        <x:v>hit_range_min</x:v>
      </x:c>
      <x:c r="E369" s="38" t="str">
        <x:v>int</x:v>
      </x:c>
      <x:c r="F369" s="56" t="n">
        <x:f>'Actions'!J10</x:f>
        <x:v>150</x:v>
      </x:c>
      <x:c r="G369" s="38" t="str"/>
      <x:c r="H369" s="35" t="str">
        <x:v>Actions</x:v>
      </x:c>
      <x:c r="I369" s="35" t="str">
        <x:v>J10</x:v>
      </x:c>
      <x:c r="J369" s="85" t="b">
        <x:v>1</x:v>
      </x:c>
      <x:c r="K369" s="85" t="b">
        <x:v>1</x:v>
      </x:c>
      <x:c r="L369" s="56" t="str">
        <x:f>'Actions'!BE10</x:f>
        <x:v>OK</x:v>
      </x:c>
      <x:c r="M369" s="44" t="str">
        <x:v>Источник Actions.Hit Range Min</x:v>
      </x:c>
    </x:row>
    <x:row r="370" ht="36" customHeight="1">
      <x:c r="A370" s="118" t="n">
        <x:v>365</x:v>
      </x:c>
      <x:c r="B370" s="35" t="str">
        <x:v>action</x:v>
      </x:c>
      <x:c r="C370" s="35" t="str">
        <x:v>bear_crushing_swipe</x:v>
      </x:c>
      <x:c r="D370" s="35" t="str">
        <x:v>hit_range_max</x:v>
      </x:c>
      <x:c r="E370" s="38" t="str">
        <x:v>int</x:v>
      </x:c>
      <x:c r="F370" s="56" t="n">
        <x:f>'Actions'!K10</x:f>
        <x:v>1700</x:v>
      </x:c>
      <x:c r="G370" s="38" t="str"/>
      <x:c r="H370" s="35" t="str">
        <x:v>Actions</x:v>
      </x:c>
      <x:c r="I370" s="35" t="str">
        <x:v>K10</x:v>
      </x:c>
      <x:c r="J370" s="85" t="b">
        <x:v>1</x:v>
      </x:c>
      <x:c r="K370" s="85" t="b">
        <x:v>1</x:v>
      </x:c>
      <x:c r="L370" s="56" t="str">
        <x:f>'Actions'!BE10</x:f>
        <x:v>OK</x:v>
      </x:c>
      <x:c r="M370" s="44" t="str">
        <x:v>Источник Actions.Hit Range Max</x:v>
      </x:c>
    </x:row>
    <x:row r="371" ht="36" customHeight="1">
      <x:c r="A371" s="118" t="n">
        <x:v>366</x:v>
      </x:c>
      <x:c r="B371" s="35" t="str">
        <x:v>action</x:v>
      </x:c>
      <x:c r="C371" s="35" t="str">
        <x:v>bear_crushing_swipe</x:v>
      </x:c>
      <x:c r="D371" s="35" t="str">
        <x:v>energy_cost</x:v>
      </x:c>
      <x:c r="E371" s="38" t="str">
        <x:v>int</x:v>
      </x:c>
      <x:c r="F371" s="56" t="n">
        <x:f>'Actions'!L10</x:f>
        <x:v>180</x:v>
      </x:c>
      <x:c r="G371" s="38" t="str"/>
      <x:c r="H371" s="35" t="str">
        <x:v>Actions</x:v>
      </x:c>
      <x:c r="I371" s="35" t="str">
        <x:v>L10</x:v>
      </x:c>
      <x:c r="J371" s="85" t="b">
        <x:v>1</x:v>
      </x:c>
      <x:c r="K371" s="85" t="b">
        <x:v>1</x:v>
      </x:c>
      <x:c r="L371" s="56" t="str">
        <x:f>'Actions'!BE10</x:f>
        <x:v>OK</x:v>
      </x:c>
      <x:c r="M371" s="44" t="str">
        <x:v>Источник Actions.Energy Cost</x:v>
      </x:c>
    </x:row>
    <x:row r="372" ht="36" customHeight="1">
      <x:c r="A372" s="118" t="n">
        <x:v>367</x:v>
      </x:c>
      <x:c r="B372" s="35" t="str">
        <x:v>action</x:v>
      </x:c>
      <x:c r="C372" s="35" t="str">
        <x:v>bear_crushing_swipe</x:v>
      </x:c>
      <x:c r="D372" s="35" t="str">
        <x:v>resource_cost</x:v>
      </x:c>
      <x:c r="E372" s="38" t="str">
        <x:v>int</x:v>
      </x:c>
      <x:c r="F372" s="56" t="n">
        <x:f>'Actions'!M10</x:f>
        <x:v>0</x:v>
      </x:c>
      <x:c r="G372" s="38" t="str"/>
      <x:c r="H372" s="35" t="str">
        <x:v>Actions</x:v>
      </x:c>
      <x:c r="I372" s="35" t="str">
        <x:v>M10</x:v>
      </x:c>
      <x:c r="J372" s="85" t="b">
        <x:v>1</x:v>
      </x:c>
      <x:c r="K372" s="85" t="b">
        <x:v>1</x:v>
      </x:c>
      <x:c r="L372" s="56" t="str">
        <x:f>'Actions'!BE10</x:f>
        <x:v>OK</x:v>
      </x:c>
      <x:c r="M372" s="44" t="str">
        <x:v>Источник Actions.Resource Cost</x:v>
      </x:c>
    </x:row>
    <x:row r="373" ht="36" customHeight="1">
      <x:c r="A373" s="118" t="n">
        <x:v>368</x:v>
      </x:c>
      <x:c r="B373" s="35" t="str">
        <x:v>action</x:v>
      </x:c>
      <x:c r="C373" s="35" t="str">
        <x:v>bear_crushing_swipe</x:v>
      </x:c>
      <x:c r="D373" s="35" t="str">
        <x:v>base_damage</x:v>
      </x:c>
      <x:c r="E373" s="38" t="str">
        <x:v>int</x:v>
      </x:c>
      <x:c r="F373" s="56" t="n">
        <x:f>'Actions'!N10</x:f>
        <x:v>60</x:v>
      </x:c>
      <x:c r="G373" s="38" t="str"/>
      <x:c r="H373" s="35" t="str">
        <x:v>Actions</x:v>
      </x:c>
      <x:c r="I373" s="35" t="str">
        <x:v>N10</x:v>
      </x:c>
      <x:c r="J373" s="85" t="b">
        <x:v>1</x:v>
      </x:c>
      <x:c r="K373" s="85" t="b">
        <x:v>1</x:v>
      </x:c>
      <x:c r="L373" s="56" t="str">
        <x:f>'Actions'!BE10</x:f>
        <x:v>OK</x:v>
      </x:c>
      <x:c r="M373" s="44" t="str">
        <x:v>Источник Actions.Base Damage / hit</x:v>
      </x:c>
    </x:row>
    <x:row r="374" ht="36" customHeight="1">
      <x:c r="A374" s="118" t="n">
        <x:v>369</x:v>
      </x:c>
      <x:c r="B374" s="35" t="str">
        <x:v>action</x:v>
      </x:c>
      <x:c r="C374" s="35" t="str">
        <x:v>bear_crushing_swipe</x:v>
      </x:c>
      <x:c r="D374" s="35" t="str">
        <x:v>power_ratio_fp</x:v>
      </x:c>
      <x:c r="E374" s="38" t="str">
        <x:v>int</x:v>
      </x:c>
      <x:c r="F374" s="56" t="n">
        <x:f>'Actions'!O10</x:f>
        <x:v>900</x:v>
      </x:c>
      <x:c r="G374" s="38" t="str"/>
      <x:c r="H374" s="35" t="str">
        <x:v>Actions</x:v>
      </x:c>
      <x:c r="I374" s="35" t="str">
        <x:v>O10</x:v>
      </x:c>
      <x:c r="J374" s="85" t="b">
        <x:v>1</x:v>
      </x:c>
      <x:c r="K374" s="85" t="b">
        <x:v>1</x:v>
      </x:c>
      <x:c r="L374" s="56" t="str">
        <x:f>'Actions'!BE10</x:f>
        <x:v>OK</x:v>
      </x:c>
      <x:c r="M374" s="44" t="str">
        <x:v>Источник Actions.Power Ratio FP</x:v>
      </x:c>
    </x:row>
    <x:row r="375" ht="36" customHeight="1">
      <x:c r="A375" s="118" t="n">
        <x:v>370</x:v>
      </x:c>
      <x:c r="B375" s="35" t="str">
        <x:v>action</x:v>
      </x:c>
      <x:c r="C375" s="35" t="str">
        <x:v>bear_crushing_swipe</x:v>
      </x:c>
      <x:c r="D375" s="35" t="str">
        <x:v>min_damage</x:v>
      </x:c>
      <x:c r="E375" s="38" t="str">
        <x:v>int</x:v>
      </x:c>
      <x:c r="F375" s="56" t="n">
        <x:f>'Actions'!P10</x:f>
        <x:v>25</x:v>
      </x:c>
      <x:c r="G375" s="38" t="str"/>
      <x:c r="H375" s="35" t="str">
        <x:v>Actions</x:v>
      </x:c>
      <x:c r="I375" s="35" t="str">
        <x:v>P10</x:v>
      </x:c>
      <x:c r="J375" s="85" t="b">
        <x:v>1</x:v>
      </x:c>
      <x:c r="K375" s="85" t="b">
        <x:v>1</x:v>
      </x:c>
      <x:c r="L375" s="56" t="str">
        <x:f>'Actions'!BE10</x:f>
        <x:v>OK</x:v>
      </x:c>
      <x:c r="M375" s="44" t="str">
        <x:v>Источник Actions.Min Damage</x:v>
      </x:c>
    </x:row>
    <x:row r="376" ht="36" customHeight="1">
      <x:c r="A376" s="118" t="n">
        <x:v>371</x:v>
      </x:c>
      <x:c r="B376" s="35" t="str">
        <x:v>action</x:v>
      </x:c>
      <x:c r="C376" s="35" t="str">
        <x:v>bear_crushing_swipe</x:v>
      </x:c>
      <x:c r="D376" s="35" t="str">
        <x:v>chip_min</x:v>
      </x:c>
      <x:c r="E376" s="38" t="str">
        <x:v>int</x:v>
      </x:c>
      <x:c r="F376" s="56" t="n">
        <x:f>'Actions'!Q10</x:f>
        <x:v>8</x:v>
      </x:c>
      <x:c r="G376" s="38" t="str"/>
      <x:c r="H376" s="35" t="str">
        <x:v>Actions</x:v>
      </x:c>
      <x:c r="I376" s="35" t="str">
        <x:v>Q10</x:v>
      </x:c>
      <x:c r="J376" s="85" t="b">
        <x:v>1</x:v>
      </x:c>
      <x:c r="K376" s="85" t="b">
        <x:v>1</x:v>
      </x:c>
      <x:c r="L376" s="56" t="str">
        <x:f>'Actions'!BE10</x:f>
        <x:v>OK</x:v>
      </x:c>
      <x:c r="M376" s="44" t="str">
        <x:v>Источник Actions.Chip Min</x:v>
      </x:c>
    </x:row>
    <x:row r="377" ht="36" customHeight="1">
      <x:c r="A377" s="118" t="n">
        <x:v>372</x:v>
      </x:c>
      <x:c r="B377" s="35" t="str">
        <x:v>action</x:v>
      </x:c>
      <x:c r="C377" s="35" t="str">
        <x:v>bear_crushing_swipe</x:v>
      </x:c>
      <x:c r="D377" s="35" t="str">
        <x:v>startup_base_ticks</x:v>
      </x:c>
      <x:c r="E377" s="38" t="str">
        <x:v>int</x:v>
      </x:c>
      <x:c r="F377" s="56" t="n">
        <x:f>'Actions'!R10</x:f>
        <x:v>8</x:v>
      </x:c>
      <x:c r="G377" s="38" t="str"/>
      <x:c r="H377" s="35" t="str">
        <x:v>Actions</x:v>
      </x:c>
      <x:c r="I377" s="35" t="str">
        <x:v>R10</x:v>
      </x:c>
      <x:c r="J377" s="85" t="b">
        <x:v>1</x:v>
      </x:c>
      <x:c r="K377" s="85" t="b">
        <x:v>1</x:v>
      </x:c>
      <x:c r="L377" s="56" t="str">
        <x:f>'Actions'!BE10</x:f>
        <x:v>OK</x:v>
      </x:c>
      <x:c r="M377" s="44" t="str">
        <x:v>Источник Actions.Startup Base Ticks</x:v>
      </x:c>
    </x:row>
    <x:row r="378" ht="36" customHeight="1">
      <x:c r="A378" s="118" t="n">
        <x:v>373</x:v>
      </x:c>
      <x:c r="B378" s="35" t="str">
        <x:v>action</x:v>
      </x:c>
      <x:c r="C378" s="35" t="str">
        <x:v>bear_crushing_swipe</x:v>
      </x:c>
      <x:c r="D378" s="35" t="str">
        <x:v>startup_min_ticks</x:v>
      </x:c>
      <x:c r="E378" s="38" t="str">
        <x:v>int</x:v>
      </x:c>
      <x:c r="F378" s="56" t="n">
        <x:f>'Actions'!S10</x:f>
        <x:v>5</x:v>
      </x:c>
      <x:c r="G378" s="38" t="str"/>
      <x:c r="H378" s="35" t="str">
        <x:v>Actions</x:v>
      </x:c>
      <x:c r="I378" s="35" t="str">
        <x:v>S10</x:v>
      </x:c>
      <x:c r="J378" s="85" t="b">
        <x:v>1</x:v>
      </x:c>
      <x:c r="K378" s="85" t="b">
        <x:v>1</x:v>
      </x:c>
      <x:c r="L378" s="56" t="str">
        <x:f>'Actions'!BE10</x:f>
        <x:v>OK</x:v>
      </x:c>
      <x:c r="M378" s="44" t="str">
        <x:v>Источник Actions.Startup Min Ticks</x:v>
      </x:c>
    </x:row>
    <x:row r="379" ht="36" customHeight="1">
      <x:c r="A379" s="118" t="n">
        <x:v>374</x:v>
      </x:c>
      <x:c r="B379" s="35" t="str">
        <x:v>action</x:v>
      </x:c>
      <x:c r="C379" s="35" t="str">
        <x:v>bear_crushing_swipe</x:v>
      </x:c>
      <x:c r="D379" s="35" t="str">
        <x:v>startup_max_ticks</x:v>
      </x:c>
      <x:c r="E379" s="38" t="str">
        <x:v>int</x:v>
      </x:c>
      <x:c r="F379" s="56" t="n">
        <x:f>'Actions'!T10</x:f>
        <x:v>12</x:v>
      </x:c>
      <x:c r="G379" s="38" t="str"/>
      <x:c r="H379" s="35" t="str">
        <x:v>Actions</x:v>
      </x:c>
      <x:c r="I379" s="35" t="str">
        <x:v>T10</x:v>
      </x:c>
      <x:c r="J379" s="85" t="b">
        <x:v>1</x:v>
      </x:c>
      <x:c r="K379" s="85" t="b">
        <x:v>1</x:v>
      </x:c>
      <x:c r="L379" s="56" t="str">
        <x:f>'Actions'!BE10</x:f>
        <x:v>OK</x:v>
      </x:c>
      <x:c r="M379" s="44" t="str">
        <x:v>Источник Actions.Startup Max Ticks</x:v>
      </x:c>
    </x:row>
    <x:row r="380" ht="36" customHeight="1">
      <x:c r="A380" s="118" t="n">
        <x:v>375</x:v>
      </x:c>
      <x:c r="B380" s="35" t="str">
        <x:v>action</x:v>
      </x:c>
      <x:c r="C380" s="35" t="str">
        <x:v>bear_crushing_swipe</x:v>
      </x:c>
      <x:c r="D380" s="35" t="str">
        <x:v>active_ticks</x:v>
      </x:c>
      <x:c r="E380" s="38" t="str">
        <x:v>int</x:v>
      </x:c>
      <x:c r="F380" s="56" t="n">
        <x:f>'Actions'!U10</x:f>
        <x:v>2</x:v>
      </x:c>
      <x:c r="G380" s="38" t="str"/>
      <x:c r="H380" s="35" t="str">
        <x:v>Actions</x:v>
      </x:c>
      <x:c r="I380" s="35" t="str">
        <x:v>U10</x:v>
      </x:c>
      <x:c r="J380" s="85" t="b">
        <x:v>1</x:v>
      </x:c>
      <x:c r="K380" s="85" t="b">
        <x:v>1</x:v>
      </x:c>
      <x:c r="L380" s="56" t="str">
        <x:f>'Actions'!BE10</x:f>
        <x:v>OK</x:v>
      </x:c>
      <x:c r="M380" s="44" t="str">
        <x:v>Источник Actions.Active Ticks</x:v>
      </x:c>
    </x:row>
    <x:row r="381" ht="36" customHeight="1">
      <x:c r="A381" s="118" t="n">
        <x:v>376</x:v>
      </x:c>
      <x:c r="B381" s="35" t="str">
        <x:v>action</x:v>
      </x:c>
      <x:c r="C381" s="35" t="str">
        <x:v>bear_crushing_swipe</x:v>
      </x:c>
      <x:c r="D381" s="35" t="str">
        <x:v>hit_schedule</x:v>
      </x:c>
      <x:c r="E381" s="38" t="str">
        <x:v>string</x:v>
      </x:c>
      <x:c r="F381" s="56" t="str">
        <x:f>'Actions'!V10</x:f>
        <x:v>0</x:v>
      </x:c>
      <x:c r="G381" s="38" t="str"/>
      <x:c r="H381" s="35" t="str">
        <x:v>Actions</x:v>
      </x:c>
      <x:c r="I381" s="35" t="str">
        <x:v>V10</x:v>
      </x:c>
      <x:c r="J381" s="85" t="b">
        <x:v>1</x:v>
      </x:c>
      <x:c r="K381" s="85" t="b">
        <x:v>1</x:v>
      </x:c>
      <x:c r="L381" s="56" t="str">
        <x:f>'Actions'!BE10</x:f>
        <x:v>OK</x:v>
      </x:c>
      <x:c r="M381" s="44" t="str">
        <x:v>Источник Actions.Hit Schedule</x:v>
      </x:c>
    </x:row>
    <x:row r="382" ht="36" customHeight="1">
      <x:c r="A382" s="118" t="n">
        <x:v>377</x:v>
      </x:c>
      <x:c r="B382" s="35" t="str">
        <x:v>action</x:v>
      </x:c>
      <x:c r="C382" s="35" t="str">
        <x:v>bear_crushing_swipe</x:v>
      </x:c>
      <x:c r="D382" s="35" t="str">
        <x:v>hit_count</x:v>
      </x:c>
      <x:c r="E382" s="38" t="str">
        <x:v>int</x:v>
      </x:c>
      <x:c r="F382" s="56" t="n">
        <x:f>'Actions'!W10</x:f>
        <x:v>1</x:v>
      </x:c>
      <x:c r="G382" s="38" t="str"/>
      <x:c r="H382" s="35" t="str">
        <x:v>Actions</x:v>
      </x:c>
      <x:c r="I382" s="35" t="str">
        <x:v>W10</x:v>
      </x:c>
      <x:c r="J382" s="85" t="b">
        <x:v>1</x:v>
      </x:c>
      <x:c r="K382" s="85" t="b">
        <x:v>1</x:v>
      </x:c>
      <x:c r="L382" s="56" t="str">
        <x:f>'Actions'!BE10</x:f>
        <x:v>OK</x:v>
      </x:c>
      <x:c r="M382" s="44" t="str">
        <x:v>Источник Actions.Hit Count</x:v>
      </x:c>
    </x:row>
    <x:row r="383" ht="36" customHeight="1">
      <x:c r="A383" s="118" t="n">
        <x:v>378</x:v>
      </x:c>
      <x:c r="B383" s="35" t="str">
        <x:v>action</x:v>
      </x:c>
      <x:c r="C383" s="35" t="str">
        <x:v>bear_crushing_swipe</x:v>
      </x:c>
      <x:c r="D383" s="35" t="str">
        <x:v>recovery_base_ticks</x:v>
      </x:c>
      <x:c r="E383" s="38" t="str">
        <x:v>int</x:v>
      </x:c>
      <x:c r="F383" s="56" t="n">
        <x:f>'Actions'!X10</x:f>
        <x:v>12</x:v>
      </x:c>
      <x:c r="G383" s="38" t="str"/>
      <x:c r="H383" s="35" t="str">
        <x:v>Actions</x:v>
      </x:c>
      <x:c r="I383" s="35" t="str">
        <x:v>X10</x:v>
      </x:c>
      <x:c r="J383" s="85" t="b">
        <x:v>1</x:v>
      </x:c>
      <x:c r="K383" s="85" t="b">
        <x:v>1</x:v>
      </x:c>
      <x:c r="L383" s="56" t="str">
        <x:f>'Actions'!BE10</x:f>
        <x:v>OK</x:v>
      </x:c>
      <x:c r="M383" s="44" t="str">
        <x:v>Источник Actions.Recovery Base Ticks</x:v>
      </x:c>
    </x:row>
    <x:row r="384" ht="36" customHeight="1">
      <x:c r="A384" s="118" t="n">
        <x:v>379</x:v>
      </x:c>
      <x:c r="B384" s="35" t="str">
        <x:v>action</x:v>
      </x:c>
      <x:c r="C384" s="35" t="str">
        <x:v>bear_crushing_swipe</x:v>
      </x:c>
      <x:c r="D384" s="35" t="str">
        <x:v>recovery_min_ticks</x:v>
      </x:c>
      <x:c r="E384" s="38" t="str">
        <x:v>int</x:v>
      </x:c>
      <x:c r="F384" s="56" t="n">
        <x:f>'Actions'!Y10</x:f>
        <x:v>8</x:v>
      </x:c>
      <x:c r="G384" s="38" t="str"/>
      <x:c r="H384" s="35" t="str">
        <x:v>Actions</x:v>
      </x:c>
      <x:c r="I384" s="35" t="str">
        <x:v>Y10</x:v>
      </x:c>
      <x:c r="J384" s="85" t="b">
        <x:v>1</x:v>
      </x:c>
      <x:c r="K384" s="85" t="b">
        <x:v>1</x:v>
      </x:c>
      <x:c r="L384" s="56" t="str">
        <x:f>'Actions'!BE10</x:f>
        <x:v>OK</x:v>
      </x:c>
      <x:c r="M384" s="44" t="str">
        <x:v>Источник Actions.Recovery Min Ticks</x:v>
      </x:c>
    </x:row>
    <x:row r="385" ht="36" customHeight="1">
      <x:c r="A385" s="118" t="n">
        <x:v>380</x:v>
      </x:c>
      <x:c r="B385" s="35" t="str">
        <x:v>action</x:v>
      </x:c>
      <x:c r="C385" s="35" t="str">
        <x:v>bear_crushing_swipe</x:v>
      </x:c>
      <x:c r="D385" s="35" t="str">
        <x:v>recovery_max_ticks</x:v>
      </x:c>
      <x:c r="E385" s="38" t="str">
        <x:v>int</x:v>
      </x:c>
      <x:c r="F385" s="56" t="n">
        <x:f>'Actions'!Z10</x:f>
        <x:v>18</x:v>
      </x:c>
      <x:c r="G385" s="38" t="str"/>
      <x:c r="H385" s="35" t="str">
        <x:v>Actions</x:v>
      </x:c>
      <x:c r="I385" s="35" t="str">
        <x:v>Z10</x:v>
      </x:c>
      <x:c r="J385" s="85" t="b">
        <x:v>1</x:v>
      </x:c>
      <x:c r="K385" s="85" t="b">
        <x:v>1</x:v>
      </x:c>
      <x:c r="L385" s="56" t="str">
        <x:f>'Actions'!BE10</x:f>
        <x:v>OK</x:v>
      </x:c>
      <x:c r="M385" s="44" t="str">
        <x:v>Источник Actions.Recovery Max Ticks</x:v>
      </x:c>
    </x:row>
    <x:row r="386" ht="36" customHeight="1">
      <x:c r="A386" s="118" t="n">
        <x:v>381</x:v>
      </x:c>
      <x:c r="B386" s="35" t="str">
        <x:v>action</x:v>
      </x:c>
      <x:c r="C386" s="35" t="str">
        <x:v>bear_crushing_swipe</x:v>
      </x:c>
      <x:c r="D386" s="35" t="str">
        <x:v>cooldown_ticks</x:v>
      </x:c>
      <x:c r="E386" s="38" t="str">
        <x:v>int</x:v>
      </x:c>
      <x:c r="F386" s="56" t="n">
        <x:f>'Actions'!AA10</x:f>
        <x:v>35</x:v>
      </x:c>
      <x:c r="G386" s="38" t="str"/>
      <x:c r="H386" s="35" t="str">
        <x:v>Actions</x:v>
      </x:c>
      <x:c r="I386" s="35" t="str">
        <x:v>AA10</x:v>
      </x:c>
      <x:c r="J386" s="85" t="b">
        <x:v>1</x:v>
      </x:c>
      <x:c r="K386" s="85" t="b">
        <x:v>1</x:v>
      </x:c>
      <x:c r="L386" s="56" t="str">
        <x:f>'Actions'!BE10</x:f>
        <x:v>OK</x:v>
      </x:c>
      <x:c r="M386" s="44" t="str">
        <x:v>Источник Actions.Cooldown Ticks</x:v>
      </x:c>
    </x:row>
    <x:row r="387" ht="36" customHeight="1">
      <x:c r="A387" s="118" t="n">
        <x:v>382</x:v>
      </x:c>
      <x:c r="B387" s="35" t="str">
        <x:v>action</x:v>
      </x:c>
      <x:c r="C387" s="35" t="str">
        <x:v>bear_crushing_swipe</x:v>
      </x:c>
      <x:c r="D387" s="35" t="str">
        <x:v>action_priority</x:v>
      </x:c>
      <x:c r="E387" s="38" t="str">
        <x:v>int</x:v>
      </x:c>
      <x:c r="F387" s="56" t="n">
        <x:f>'Actions'!AB10</x:f>
        <x:v>40</x:v>
      </x:c>
      <x:c r="G387" s="38" t="str"/>
      <x:c r="H387" s="35" t="str">
        <x:v>Actions</x:v>
      </x:c>
      <x:c r="I387" s="35" t="str">
        <x:v>AB10</x:v>
      </x:c>
      <x:c r="J387" s="85" t="b">
        <x:v>1</x:v>
      </x:c>
      <x:c r="K387" s="85" t="b">
        <x:v>1</x:v>
      </x:c>
      <x:c r="L387" s="56" t="str">
        <x:f>'Actions'!BE10</x:f>
        <x:v>OK</x:v>
      </x:c>
      <x:c r="M387" s="44" t="str">
        <x:v>Источник Actions.Action Priority</x:v>
      </x:c>
    </x:row>
    <x:row r="388" ht="36" customHeight="1">
      <x:c r="A388" s="118" t="n">
        <x:v>383</x:v>
      </x:c>
      <x:c r="B388" s="35" t="str">
        <x:v>action</x:v>
      </x:c>
      <x:c r="C388" s="35" t="str">
        <x:v>bear_crushing_swipe</x:v>
      </x:c>
      <x:c r="D388" s="35" t="str">
        <x:v>clash_priority</x:v>
      </x:c>
      <x:c r="E388" s="38" t="str">
        <x:v>int</x:v>
      </x:c>
      <x:c r="F388" s="56" t="n">
        <x:f>'Actions'!AC10</x:f>
        <x:v>45</x:v>
      </x:c>
      <x:c r="G388" s="38" t="str"/>
      <x:c r="H388" s="35" t="str">
        <x:v>Actions</x:v>
      </x:c>
      <x:c r="I388" s="35" t="str">
        <x:v>AC10</x:v>
      </x:c>
      <x:c r="J388" s="85" t="b">
        <x:v>1</x:v>
      </x:c>
      <x:c r="K388" s="85" t="b">
        <x:v>1</x:v>
      </x:c>
      <x:c r="L388" s="56" t="str">
        <x:f>'Actions'!BE10</x:f>
        <x:v>OK</x:v>
      </x:c>
      <x:c r="M388" s="44" t="str">
        <x:v>Источник Actions.Clash Priority</x:v>
      </x:c>
    </x:row>
    <x:row r="389" ht="36" customHeight="1">
      <x:c r="A389" s="118" t="n">
        <x:v>384</x:v>
      </x:c>
      <x:c r="B389" s="35" t="str">
        <x:v>action</x:v>
      </x:c>
      <x:c r="C389" s="35" t="str">
        <x:v>bear_crushing_swipe</x:v>
      </x:c>
      <x:c r="D389" s="35" t="str">
        <x:v>grab_priority</x:v>
      </x:c>
      <x:c r="E389" s="38" t="str">
        <x:v>int</x:v>
      </x:c>
      <x:c r="F389" s="56" t="n">
        <x:f>'Actions'!AD10</x:f>
        <x:v>0</x:v>
      </x:c>
      <x:c r="G389" s="38" t="str"/>
      <x:c r="H389" s="35" t="str">
        <x:v>Actions</x:v>
      </x:c>
      <x:c r="I389" s="35" t="str">
        <x:v>AD10</x:v>
      </x:c>
      <x:c r="J389" s="85" t="b">
        <x:v>1</x:v>
      </x:c>
      <x:c r="K389" s="85" t="b">
        <x:v>1</x:v>
      </x:c>
      <x:c r="L389" s="56" t="str">
        <x:f>'Actions'!BE10</x:f>
        <x:v>OK</x:v>
      </x:c>
      <x:c r="M389" s="44" t="str">
        <x:v>Источник Actions.Grab Priority</x:v>
      </x:c>
    </x:row>
    <x:row r="390" ht="36" customHeight="1">
      <x:c r="A390" s="118" t="n">
        <x:v>385</x:v>
      </x:c>
      <x:c r="B390" s="35" t="str">
        <x:v>action</x:v>
      </x:c>
      <x:c r="C390" s="35" t="str">
        <x:v>bear_crushing_swipe</x:v>
      </x:c>
      <x:c r="D390" s="35" t="str">
        <x:v>resolution_priority</x:v>
      </x:c>
      <x:c r="E390" s="38" t="str">
        <x:v>int</x:v>
      </x:c>
      <x:c r="F390" s="56" t="n">
        <x:f>'Actions'!AE10</x:f>
        <x:v>40</x:v>
      </x:c>
      <x:c r="G390" s="38" t="str"/>
      <x:c r="H390" s="35" t="str">
        <x:v>Actions</x:v>
      </x:c>
      <x:c r="I390" s="35" t="str">
        <x:v>AE10</x:v>
      </x:c>
      <x:c r="J390" s="85" t="b">
        <x:v>1</x:v>
      </x:c>
      <x:c r="K390" s="85" t="b">
        <x:v>1</x:v>
      </x:c>
      <x:c r="L390" s="56" t="str">
        <x:f>'Actions'!BE10</x:f>
        <x:v>OK</x:v>
      </x:c>
      <x:c r="M390" s="44" t="str">
        <x:v>Источник Actions.Resolution Priority</x:v>
      </x:c>
    </x:row>
    <x:row r="391" ht="36" customHeight="1">
      <x:c r="A391" s="118" t="n">
        <x:v>386</x:v>
      </x:c>
      <x:c r="B391" s="35" t="str">
        <x:v>action</x:v>
      </x:c>
      <x:c r="C391" s="35" t="str">
        <x:v>bear_crushing_swipe</x:v>
      </x:c>
      <x:c r="D391" s="35" t="str">
        <x:v>interrupt_profile</x:v>
      </x:c>
      <x:c r="E391" s="38" t="str">
        <x:v>string</x:v>
      </x:c>
      <x:c r="F391" s="56" t="str">
        <x:f>'Actions'!AF10</x:f>
        <x:v>Armored</x:v>
      </x:c>
      <x:c r="G391" s="38" t="str"/>
      <x:c r="H391" s="35" t="str">
        <x:v>Actions</x:v>
      </x:c>
      <x:c r="I391" s="35" t="str">
        <x:v>AF10</x:v>
      </x:c>
      <x:c r="J391" s="85" t="b">
        <x:v>1</x:v>
      </x:c>
      <x:c r="K391" s="85" t="b">
        <x:v>1</x:v>
      </x:c>
      <x:c r="L391" s="56" t="str">
        <x:f>'Actions'!BE10</x:f>
        <x:v>OK</x:v>
      </x:c>
      <x:c r="M391" s="44" t="str">
        <x:v>Источник Actions.Interrupt Profile</x:v>
      </x:c>
    </x:row>
    <x:row r="392" ht="36" customHeight="1">
      <x:c r="A392" s="118" t="n">
        <x:v>387</x:v>
      </x:c>
      <x:c r="B392" s="35" t="str">
        <x:v>action</x:v>
      </x:c>
      <x:c r="C392" s="35" t="str">
        <x:v>bear_crushing_swipe</x:v>
      </x:c>
      <x:c r="D392" s="35" t="str">
        <x:v>blockable</x:v>
      </x:c>
      <x:c r="E392" s="38" t="str">
        <x:v>bool</x:v>
      </x:c>
      <x:c r="F392" s="56" t="b">
        <x:f>'Actions'!AG10</x:f>
        <x:v>1</x:v>
      </x:c>
      <x:c r="G392" s="38" t="str"/>
      <x:c r="H392" s="35" t="str">
        <x:v>Actions</x:v>
      </x:c>
      <x:c r="I392" s="35" t="str">
        <x:v>AG10</x:v>
      </x:c>
      <x:c r="J392" s="85" t="b">
        <x:v>1</x:v>
      </x:c>
      <x:c r="K392" s="85" t="b">
        <x:v>1</x:v>
      </x:c>
      <x:c r="L392" s="56" t="str">
        <x:f>'Actions'!BE10</x:f>
        <x:v>OK</x:v>
      </x:c>
      <x:c r="M392" s="44" t="str">
        <x:v>Источник Actions.Blockable</x:v>
      </x:c>
    </x:row>
    <x:row r="393" ht="36" customHeight="1">
      <x:c r="A393" s="118" t="n">
        <x:v>388</x:v>
      </x:c>
      <x:c r="B393" s="35" t="str">
        <x:v>action</x:v>
      </x:c>
      <x:c r="C393" s="35" t="str">
        <x:v>bear_crushing_swipe</x:v>
      </x:c>
      <x:c r="D393" s="35" t="str">
        <x:v>dodgeable</x:v>
      </x:c>
      <x:c r="E393" s="38" t="str">
        <x:v>bool</x:v>
      </x:c>
      <x:c r="F393" s="56" t="b">
        <x:f>'Actions'!AH10</x:f>
        <x:v>1</x:v>
      </x:c>
      <x:c r="G393" s="38" t="str"/>
      <x:c r="H393" s="35" t="str">
        <x:v>Actions</x:v>
      </x:c>
      <x:c r="I393" s="35" t="str">
        <x:v>AH10</x:v>
      </x:c>
      <x:c r="J393" s="85" t="b">
        <x:v>1</x:v>
      </x:c>
      <x:c r="K393" s="85" t="b">
        <x:v>1</x:v>
      </x:c>
      <x:c r="L393" s="56" t="str">
        <x:f>'Actions'!BE10</x:f>
        <x:v>OK</x:v>
      </x:c>
      <x:c r="M393" s="44" t="str">
        <x:v>Источник Actions.Dodgeable</x:v>
      </x:c>
    </x:row>
    <x:row r="394" ht="36" customHeight="1">
      <x:c r="A394" s="118" t="n">
        <x:v>389</x:v>
      </x:c>
      <x:c r="B394" s="35" t="str">
        <x:v>action</x:v>
      </x:c>
      <x:c r="C394" s="35" t="str">
        <x:v>bear_crushing_swipe</x:v>
      </x:c>
      <x:c r="D394" s="35" t="str">
        <x:v>undodgeable</x:v>
      </x:c>
      <x:c r="E394" s="38" t="str">
        <x:v>bool</x:v>
      </x:c>
      <x:c r="F394" s="56" t="b">
        <x:f>'Actions'!AI10</x:f>
        <x:v>0</x:v>
      </x:c>
      <x:c r="G394" s="38" t="str"/>
      <x:c r="H394" s="35" t="str">
        <x:v>Actions</x:v>
      </x:c>
      <x:c r="I394" s="35" t="str">
        <x:v>AI10</x:v>
      </x:c>
      <x:c r="J394" s="85" t="b">
        <x:v>1</x:v>
      </x:c>
      <x:c r="K394" s="85" t="b">
        <x:v>1</x:v>
      </x:c>
      <x:c r="L394" s="56" t="str">
        <x:f>'Actions'!BE10</x:f>
        <x:v>OK</x:v>
      </x:c>
      <x:c r="M394" s="44" t="str">
        <x:v>Источник Actions.Undodgeable</x:v>
      </x:c>
    </x:row>
    <x:row r="395" ht="36" customHeight="1">
      <x:c r="A395" s="118" t="n">
        <x:v>390</x:v>
      </x:c>
      <x:c r="B395" s="35" t="str">
        <x:v>action</x:v>
      </x:c>
      <x:c r="C395" s="35" t="str">
        <x:v>bear_crushing_swipe</x:v>
      </x:c>
      <x:c r="D395" s="35" t="str">
        <x:v>wall_impact</x:v>
      </x:c>
      <x:c r="E395" s="38" t="str">
        <x:v>bool</x:v>
      </x:c>
      <x:c r="F395" s="56" t="b">
        <x:f>'Actions'!AJ10</x:f>
        <x:v>0</x:v>
      </x:c>
      <x:c r="G395" s="38" t="str"/>
      <x:c r="H395" s="35" t="str">
        <x:v>Actions</x:v>
      </x:c>
      <x:c r="I395" s="35" t="str">
        <x:v>AJ10</x:v>
      </x:c>
      <x:c r="J395" s="85" t="b">
        <x:v>1</x:v>
      </x:c>
      <x:c r="K395" s="85" t="b">
        <x:v>1</x:v>
      </x:c>
      <x:c r="L395" s="56" t="str">
        <x:f>'Actions'!BE10</x:f>
        <x:v>OK</x:v>
      </x:c>
      <x:c r="M395" s="44" t="str">
        <x:v>Источник Actions.Wall Impact</x:v>
      </x:c>
    </x:row>
    <x:row r="396" ht="36" customHeight="1">
      <x:c r="A396" s="118" t="n">
        <x:v>391</x:v>
      </x:c>
      <x:c r="B396" s="35" t="str">
        <x:v>action</x:v>
      </x:c>
      <x:c r="C396" s="35" t="str">
        <x:v>bear_crushing_swipe</x:v>
      </x:c>
      <x:c r="D396" s="35" t="str">
        <x:v>track_target</x:v>
      </x:c>
      <x:c r="E396" s="38" t="str">
        <x:v>bool</x:v>
      </x:c>
      <x:c r="F396" s="56" t="b">
        <x:f>'Actions'!AK10</x:f>
        <x:v>0</x:v>
      </x:c>
      <x:c r="G396" s="38" t="str"/>
      <x:c r="H396" s="35" t="str">
        <x:v>Actions</x:v>
      </x:c>
      <x:c r="I396" s="35" t="str">
        <x:v>AK10</x:v>
      </x:c>
      <x:c r="J396" s="85" t="b">
        <x:v>1</x:v>
      </x:c>
      <x:c r="K396" s="85" t="b">
        <x:v>1</x:v>
      </x:c>
      <x:c r="L396" s="56" t="str">
        <x:f>'Actions'!BE10</x:f>
        <x:v>OK</x:v>
      </x:c>
      <x:c r="M396" s="44" t="str">
        <x:v>Источник Actions.Track Target</x:v>
      </x:c>
    </x:row>
    <x:row r="397" ht="36" customHeight="1">
      <x:c r="A397" s="118" t="n">
        <x:v>392</x:v>
      </x:c>
      <x:c r="B397" s="35" t="str">
        <x:v>action</x:v>
      </x:c>
      <x:c r="C397" s="35" t="str">
        <x:v>bear_crushing_swipe</x:v>
      </x:c>
      <x:c r="D397" s="35" t="str">
        <x:v>block_base_chance_fp</x:v>
      </x:c>
      <x:c r="E397" s="38" t="str">
        <x:v>int</x:v>
      </x:c>
      <x:c r="F397" s="56" t="n">
        <x:f>'Actions'!AL10</x:f>
        <x:v>0</x:v>
      </x:c>
      <x:c r="G397" s="38" t="str"/>
      <x:c r="H397" s="35" t="str">
        <x:v>Actions</x:v>
      </x:c>
      <x:c r="I397" s="35" t="str">
        <x:v>AL10</x:v>
      </x:c>
      <x:c r="J397" s="85" t="b">
        <x:v>1</x:v>
      </x:c>
      <x:c r="K397" s="85" t="b">
        <x:v>1</x:v>
      </x:c>
      <x:c r="L397" s="56" t="str">
        <x:f>'Actions'!BE10</x:f>
        <x:v>OK</x:v>
      </x:c>
      <x:c r="M397" s="44" t="str">
        <x:v>Источник Actions.Block Base Chance FP</x:v>
      </x:c>
    </x:row>
    <x:row r="398" ht="36" customHeight="1">
      <x:c r="A398" s="118" t="n">
        <x:v>393</x:v>
      </x:c>
      <x:c r="B398" s="35" t="str">
        <x:v>action</x:v>
      </x:c>
      <x:c r="C398" s="35" t="str">
        <x:v>bear_crushing_swipe</x:v>
      </x:c>
      <x:c r="D398" s="35" t="str">
        <x:v>block_reduction_fp</x:v>
      </x:c>
      <x:c r="E398" s="38" t="str">
        <x:v>int</x:v>
      </x:c>
      <x:c r="F398" s="56" t="n">
        <x:f>'Actions'!AM10</x:f>
        <x:v>0</x:v>
      </x:c>
      <x:c r="G398" s="38" t="str"/>
      <x:c r="H398" s="35" t="str">
        <x:v>Actions</x:v>
      </x:c>
      <x:c r="I398" s="35" t="str">
        <x:v>AM10</x:v>
      </x:c>
      <x:c r="J398" s="85" t="b">
        <x:v>1</x:v>
      </x:c>
      <x:c r="K398" s="85" t="b">
        <x:v>1</x:v>
      </x:c>
      <x:c r="L398" s="56" t="str">
        <x:f>'Actions'!BE10</x:f>
        <x:v>OK</x:v>
      </x:c>
      <x:c r="M398" s="44" t="str">
        <x:v>Источник Actions.Block Reduction FP</x:v>
      </x:c>
    </x:row>
    <x:row r="399" ht="36" customHeight="1">
      <x:c r="A399" s="118" t="n">
        <x:v>394</x:v>
      </x:c>
      <x:c r="B399" s="35" t="str">
        <x:v>action</x:v>
      </x:c>
      <x:c r="C399" s="35" t="str">
        <x:v>bear_crushing_swipe</x:v>
      </x:c>
      <x:c r="D399" s="35" t="str">
        <x:v>dodge_base_chance_fp</x:v>
      </x:c>
      <x:c r="E399" s="38" t="str">
        <x:v>int</x:v>
      </x:c>
      <x:c r="F399" s="56" t="n">
        <x:f>'Actions'!AN10</x:f>
        <x:v>0</x:v>
      </x:c>
      <x:c r="G399" s="38" t="str"/>
      <x:c r="H399" s="35" t="str">
        <x:v>Actions</x:v>
      </x:c>
      <x:c r="I399" s="35" t="str">
        <x:v>AN10</x:v>
      </x:c>
      <x:c r="J399" s="85" t="b">
        <x:v>1</x:v>
      </x:c>
      <x:c r="K399" s="85" t="b">
        <x:v>1</x:v>
      </x:c>
      <x:c r="L399" s="56" t="str">
        <x:f>'Actions'!BE10</x:f>
        <x:v>OK</x:v>
      </x:c>
      <x:c r="M399" s="44" t="str">
        <x:v>Источник Actions.Dodge Base Chance FP</x:v>
      </x:c>
    </x:row>
    <x:row r="400" ht="36" customHeight="1">
      <x:c r="A400" s="118" t="n">
        <x:v>395</x:v>
      </x:c>
      <x:c r="B400" s="35" t="str">
        <x:v>action</x:v>
      </x:c>
      <x:c r="C400" s="35" t="str">
        <x:v>bear_crushing_swipe</x:v>
      </x:c>
      <x:c r="D400" s="35" t="str">
        <x:v>movement_mode</x:v>
      </x:c>
      <x:c r="E400" s="38" t="str">
        <x:v>string</x:v>
      </x:c>
      <x:c r="F400" s="56" t="str">
        <x:f>'Actions'!AO10</x:f>
        <x:v>Push</x:v>
      </x:c>
      <x:c r="G400" s="38" t="str"/>
      <x:c r="H400" s="35" t="str">
        <x:v>Actions</x:v>
      </x:c>
      <x:c r="I400" s="35" t="str">
        <x:v>AO10</x:v>
      </x:c>
      <x:c r="J400" s="85" t="b">
        <x:v>1</x:v>
      </x:c>
      <x:c r="K400" s="85" t="b">
        <x:v>1</x:v>
      </x:c>
      <x:c r="L400" s="56" t="str">
        <x:f>'Actions'!BE10</x:f>
        <x:v>OK</x:v>
      </x:c>
      <x:c r="M400" s="44" t="str">
        <x:v>Источник Actions.Movement Mode</x:v>
      </x:c>
    </x:row>
    <x:row r="401" ht="36" customHeight="1">
      <x:c r="A401" s="118" t="n">
        <x:v>396</x:v>
      </x:c>
      <x:c r="B401" s="35" t="str">
        <x:v>action</x:v>
      </x:c>
      <x:c r="C401" s="35" t="str">
        <x:v>bear_crushing_swipe</x:v>
      </x:c>
      <x:c r="D401" s="35" t="str">
        <x:v>move_distance</x:v>
      </x:c>
      <x:c r="E401" s="38" t="str">
        <x:v>int</x:v>
      </x:c>
      <x:c r="F401" s="56" t="n">
        <x:f>'Actions'!AP10</x:f>
        <x:v>0</x:v>
      </x:c>
      <x:c r="G401" s="38" t="str"/>
      <x:c r="H401" s="35" t="str">
        <x:v>Actions</x:v>
      </x:c>
      <x:c r="I401" s="35" t="str">
        <x:v>AP10</x:v>
      </x:c>
      <x:c r="J401" s="85" t="b">
        <x:v>1</x:v>
      </x:c>
      <x:c r="K401" s="85" t="b">
        <x:v>1</x:v>
      </x:c>
      <x:c r="L401" s="56" t="str">
        <x:f>'Actions'!BE10</x:f>
        <x:v>OK</x:v>
      </x:c>
      <x:c r="M401" s="44" t="str">
        <x:v>Источник Actions.Move Distance</x:v>
      </x:c>
    </x:row>
    <x:row r="402" ht="36" customHeight="1">
      <x:c r="A402" s="118" t="n">
        <x:v>397</x:v>
      </x:c>
      <x:c r="B402" s="35" t="str">
        <x:v>action</x:v>
      </x:c>
      <x:c r="C402" s="35" t="str">
        <x:v>bear_crushing_swipe</x:v>
      </x:c>
      <x:c r="D402" s="35" t="str">
        <x:v>base_stagger</x:v>
      </x:c>
      <x:c r="E402" s="38" t="str">
        <x:v>int</x:v>
      </x:c>
      <x:c r="F402" s="56" t="n">
        <x:f>'Actions'!AQ10</x:f>
        <x:v>120</x:v>
      </x:c>
      <x:c r="G402" s="38" t="str"/>
      <x:c r="H402" s="35" t="str">
        <x:v>Actions</x:v>
      </x:c>
      <x:c r="I402" s="35" t="str">
        <x:v>AQ10</x:v>
      </x:c>
      <x:c r="J402" s="85" t="b">
        <x:v>1</x:v>
      </x:c>
      <x:c r="K402" s="85" t="b">
        <x:v>1</x:v>
      </x:c>
      <x:c r="L402" s="56" t="str">
        <x:f>'Actions'!BE10</x:f>
        <x:v>OK</x:v>
      </x:c>
      <x:c r="M402" s="44" t="str">
        <x:v>Источник Actions.Base Stagger</x:v>
      </x:c>
    </x:row>
    <x:row r="403" ht="36" customHeight="1">
      <x:c r="A403" s="118" t="n">
        <x:v>398</x:v>
      </x:c>
      <x:c r="B403" s="35" t="str">
        <x:v>action</x:v>
      </x:c>
      <x:c r="C403" s="35" t="str">
        <x:v>bear_crushing_swipe</x:v>
      </x:c>
      <x:c r="D403" s="35" t="str">
        <x:v>base_stun_ticks</x:v>
      </x:c>
      <x:c r="E403" s="38" t="str">
        <x:v>int</x:v>
      </x:c>
      <x:c r="F403" s="56" t="n">
        <x:f>'Actions'!AR10</x:f>
        <x:v>4</x:v>
      </x:c>
      <x:c r="G403" s="38" t="str"/>
      <x:c r="H403" s="35" t="str">
        <x:v>Actions</x:v>
      </x:c>
      <x:c r="I403" s="35" t="str">
        <x:v>AR10</x:v>
      </x:c>
      <x:c r="J403" s="85" t="b">
        <x:v>1</x:v>
      </x:c>
      <x:c r="K403" s="85" t="b">
        <x:v>1</x:v>
      </x:c>
      <x:c r="L403" s="56" t="str">
        <x:f>'Actions'!BE10</x:f>
        <x:v>OK</x:v>
      </x:c>
      <x:c r="M403" s="44" t="str">
        <x:v>Источник Actions.Base Stun Ticks</x:v>
      </x:c>
    </x:row>
    <x:row r="404" ht="36" customHeight="1">
      <x:c r="A404" s="118" t="n">
        <x:v>399</x:v>
      </x:c>
      <x:c r="B404" s="35" t="str">
        <x:v>action</x:v>
      </x:c>
      <x:c r="C404" s="35" t="str">
        <x:v>bear_crushing_swipe</x:v>
      </x:c>
      <x:c r="D404" s="35" t="str">
        <x:v>base_knockback</x:v>
      </x:c>
      <x:c r="E404" s="38" t="str">
        <x:v>int</x:v>
      </x:c>
      <x:c r="F404" s="56" t="n">
        <x:f>'Actions'!AS10</x:f>
        <x:v>650</x:v>
      </x:c>
      <x:c r="G404" s="38" t="str"/>
      <x:c r="H404" s="35" t="str">
        <x:v>Actions</x:v>
      </x:c>
      <x:c r="I404" s="35" t="str">
        <x:v>AS10</x:v>
      </x:c>
      <x:c r="J404" s="85" t="b">
        <x:v>1</x:v>
      </x:c>
      <x:c r="K404" s="85" t="b">
        <x:v>1</x:v>
      </x:c>
      <x:c r="L404" s="56" t="str">
        <x:f>'Actions'!BE10</x:f>
        <x:v>OK</x:v>
      </x:c>
      <x:c r="M404" s="44" t="str">
        <x:v>Источник Actions.Base Knockback</x:v>
      </x:c>
    </x:row>
    <x:row r="405" ht="36" customHeight="1">
      <x:c r="A405" s="118" t="n">
        <x:v>400</x:v>
      </x:c>
      <x:c r="B405" s="35" t="str">
        <x:v>action</x:v>
      </x:c>
      <x:c r="C405" s="35" t="str">
        <x:v>bear_crushing_swipe</x:v>
      </x:c>
      <x:c r="D405" s="35" t="str">
        <x:v>knockback_min</x:v>
      </x:c>
      <x:c r="E405" s="38" t="str">
        <x:v>int</x:v>
      </x:c>
      <x:c r="F405" s="56" t="n">
        <x:f>'Actions'!AT10</x:f>
        <x:v>200</x:v>
      </x:c>
      <x:c r="G405" s="38" t="str"/>
      <x:c r="H405" s="35" t="str">
        <x:v>Actions</x:v>
      </x:c>
      <x:c r="I405" s="35" t="str">
        <x:v>AT10</x:v>
      </x:c>
      <x:c r="J405" s="85" t="b">
        <x:v>1</x:v>
      </x:c>
      <x:c r="K405" s="85" t="b">
        <x:v>1</x:v>
      </x:c>
      <x:c r="L405" s="56" t="str">
        <x:f>'Actions'!BE10</x:f>
        <x:v>OK</x:v>
      </x:c>
      <x:c r="M405" s="44" t="str">
        <x:v>Источник Actions.Knockback Min</x:v>
      </x:c>
    </x:row>
    <x:row r="406" ht="36" customHeight="1">
      <x:c r="A406" s="118" t="n">
        <x:v>401</x:v>
      </x:c>
      <x:c r="B406" s="35" t="str">
        <x:v>action</x:v>
      </x:c>
      <x:c r="C406" s="35" t="str">
        <x:v>bear_crushing_swipe</x:v>
      </x:c>
      <x:c r="D406" s="35" t="str">
        <x:v>knockback_max</x:v>
      </x:c>
      <x:c r="E406" s="38" t="str">
        <x:v>int</x:v>
      </x:c>
      <x:c r="F406" s="56" t="n">
        <x:f>'Actions'!AU10</x:f>
        <x:v>900</x:v>
      </x:c>
      <x:c r="G406" s="38" t="str"/>
      <x:c r="H406" s="35" t="str">
        <x:v>Actions</x:v>
      </x:c>
      <x:c r="I406" s="35" t="str">
        <x:v>AU10</x:v>
      </x:c>
      <x:c r="J406" s="85" t="b">
        <x:v>1</x:v>
      </x:c>
      <x:c r="K406" s="85" t="b">
        <x:v>1</x:v>
      </x:c>
      <x:c r="L406" s="56" t="str">
        <x:f>'Actions'!BE10</x:f>
        <x:v>OK</x:v>
      </x:c>
      <x:c r="M406" s="44" t="str">
        <x:v>Источник Actions.Knockback Max</x:v>
      </x:c>
    </x:row>
    <x:row r="407" ht="36" customHeight="1">
      <x:c r="A407" s="118" t="n">
        <x:v>402</x:v>
      </x:c>
      <x:c r="B407" s="35" t="str">
        <x:v>action</x:v>
      </x:c>
      <x:c r="C407" s="35" t="str">
        <x:v>bear_crushing_swipe</x:v>
      </x:c>
      <x:c r="D407" s="35" t="str">
        <x:v>wall_damage_per_unit_fp</x:v>
      </x:c>
      <x:c r="E407" s="38" t="str">
        <x:v>int</x:v>
      </x:c>
      <x:c r="F407" s="56" t="n">
        <x:f>'Actions'!AV10</x:f>
        <x:v>0</x:v>
      </x:c>
      <x:c r="G407" s="38" t="str"/>
      <x:c r="H407" s="35" t="str">
        <x:v>Actions</x:v>
      </x:c>
      <x:c r="I407" s="35" t="str">
        <x:v>AV10</x:v>
      </x:c>
      <x:c r="J407" s="85" t="b">
        <x:v>1</x:v>
      </x:c>
      <x:c r="K407" s="85" t="b">
        <x:v>1</x:v>
      </x:c>
      <x:c r="L407" s="56" t="str">
        <x:f>'Actions'!BE10</x:f>
        <x:v>OK</x:v>
      </x:c>
      <x:c r="M407" s="44" t="str">
        <x:v>Источник Actions.Wall Damage / Unit FP</x:v>
      </x:c>
    </x:row>
    <x:row r="408" ht="36" customHeight="1">
      <x:c r="A408" s="118" t="n">
        <x:v>403</x:v>
      </x:c>
      <x:c r="B408" s="35" t="str">
        <x:v>action</x:v>
      </x:c>
      <x:c r="C408" s="35" t="str">
        <x:v>bear_crushing_swipe</x:v>
      </x:c>
      <x:c r="D408" s="35" t="str">
        <x:v>wall_damage_min</x:v>
      </x:c>
      <x:c r="E408" s="38" t="str">
        <x:v>int</x:v>
      </x:c>
      <x:c r="F408" s="56" t="n">
        <x:f>'Actions'!AW10</x:f>
        <x:v>0</x:v>
      </x:c>
      <x:c r="G408" s="38" t="str"/>
      <x:c r="H408" s="35" t="str">
        <x:v>Actions</x:v>
      </x:c>
      <x:c r="I408" s="35" t="str">
        <x:v>AW10</x:v>
      </x:c>
      <x:c r="J408" s="85" t="b">
        <x:v>1</x:v>
      </x:c>
      <x:c r="K408" s="85" t="b">
        <x:v>1</x:v>
      </x:c>
      <x:c r="L408" s="56" t="str">
        <x:f>'Actions'!BE10</x:f>
        <x:v>OK</x:v>
      </x:c>
      <x:c r="M408" s="44" t="str">
        <x:v>Источник Actions.Wall Damage Min</x:v>
      </x:c>
    </x:row>
    <x:row r="409" ht="36" customHeight="1">
      <x:c r="A409" s="118" t="n">
        <x:v>404</x:v>
      </x:c>
      <x:c r="B409" s="35" t="str">
        <x:v>action</x:v>
      </x:c>
      <x:c r="C409" s="35" t="str">
        <x:v>bear_crushing_swipe</x:v>
      </x:c>
      <x:c r="D409" s="35" t="str">
        <x:v>wall_damage_max</x:v>
      </x:c>
      <x:c r="E409" s="38" t="str">
        <x:v>int</x:v>
      </x:c>
      <x:c r="F409" s="56" t="n">
        <x:f>'Actions'!AX10</x:f>
        <x:v>0</x:v>
      </x:c>
      <x:c r="G409" s="38" t="str"/>
      <x:c r="H409" s="35" t="str">
        <x:v>Actions</x:v>
      </x:c>
      <x:c r="I409" s="35" t="str">
        <x:v>AX10</x:v>
      </x:c>
      <x:c r="J409" s="85" t="b">
        <x:v>1</x:v>
      </x:c>
      <x:c r="K409" s="85" t="b">
        <x:v>1</x:v>
      </x:c>
      <x:c r="L409" s="56" t="str">
        <x:f>'Actions'!BE10</x:f>
        <x:v>OK</x:v>
      </x:c>
      <x:c r="M409" s="44" t="str">
        <x:v>Источник Actions.Wall Damage Max</x:v>
      </x:c>
    </x:row>
    <x:row r="410" ht="36" customHeight="1">
      <x:c r="A410" s="118" t="n">
        <x:v>405</x:v>
      </x:c>
      <x:c r="B410" s="35" t="str">
        <x:v>action</x:v>
      </x:c>
      <x:c r="C410" s="35" t="str">
        <x:v>bear_crushing_swipe</x:v>
      </x:c>
      <x:c r="D410" s="35" t="str">
        <x:v>max_consecutive_uses</x:v>
      </x:c>
      <x:c r="E410" s="38" t="str">
        <x:v>int</x:v>
      </x:c>
      <x:c r="F410" s="56" t="n">
        <x:f>'Actions'!AY10</x:f>
        <x:v>1</x:v>
      </x:c>
      <x:c r="G410" s="38" t="str"/>
      <x:c r="H410" s="35" t="str">
        <x:v>Actions</x:v>
      </x:c>
      <x:c r="I410" s="35" t="str">
        <x:v>AY10</x:v>
      </x:c>
      <x:c r="J410" s="85" t="b">
        <x:v>1</x:v>
      </x:c>
      <x:c r="K410" s="85" t="b">
        <x:v>1</x:v>
      </x:c>
      <x:c r="L410" s="56" t="str">
        <x:f>'Actions'!BE10</x:f>
        <x:v>OK</x:v>
      </x:c>
      <x:c r="M410" s="44" t="str">
        <x:v>Источник Actions.Max Consecutive Uses</x:v>
      </x:c>
    </x:row>
    <x:row r="411" ht="36" customHeight="1">
      <x:c r="A411" s="118" t="n">
        <x:v>406</x:v>
      </x:c>
      <x:c r="B411" s="35" t="str">
        <x:v>action</x:v>
      </x:c>
      <x:c r="C411" s="35" t="str">
        <x:v>bear_crushing_swipe</x:v>
      </x:c>
      <x:c r="D411" s="35" t="str">
        <x:v>opportunity_cap_fp</x:v>
      </x:c>
      <x:c r="E411" s="38" t="str">
        <x:v>int</x:v>
      </x:c>
      <x:c r="F411" s="56" t="n">
        <x:f>'Actions'!AZ10</x:f>
        <x:v>1200</x:v>
      </x:c>
      <x:c r="G411" s="38" t="str"/>
      <x:c r="H411" s="35" t="str">
        <x:v>Actions</x:v>
      </x:c>
      <x:c r="I411" s="35" t="str">
        <x:v>AZ10</x:v>
      </x:c>
      <x:c r="J411" s="85" t="b">
        <x:v>1</x:v>
      </x:c>
      <x:c r="K411" s="85" t="b">
        <x:v>1</x:v>
      </x:c>
      <x:c r="L411" s="56" t="str">
        <x:f>'Actions'!BE10</x:f>
        <x:v>OK</x:v>
      </x:c>
      <x:c r="M411" s="44" t="str">
        <x:v>Источник Actions.Opportunity Cap FP</x:v>
      </x:c>
    </x:row>
    <x:row r="412" ht="36" customHeight="1">
      <x:c r="A412" s="118" t="n">
        <x:v>407</x:v>
      </x:c>
      <x:c r="B412" s="35" t="str">
        <x:v>action</x:v>
      </x:c>
      <x:c r="C412" s="35" t="str">
        <x:v>bear_crushing_swipe</x:v>
      </x:c>
      <x:c r="D412" s="35" t="str">
        <x:v>hard_opportunity_misses</x:v>
      </x:c>
      <x:c r="E412" s="38" t="str">
        <x:v>int</x:v>
      </x:c>
      <x:c r="F412" s="56" t="n">
        <x:f>'Actions'!BA10</x:f>
        <x:v>0</x:v>
      </x:c>
      <x:c r="G412" s="38" t="str"/>
      <x:c r="H412" s="35" t="str">
        <x:v>Actions</x:v>
      </x:c>
      <x:c r="I412" s="35" t="str">
        <x:v>BA10</x:v>
      </x:c>
      <x:c r="J412" s="85" t="b">
        <x:v>1</x:v>
      </x:c>
      <x:c r="K412" s="85" t="b">
        <x:v>1</x:v>
      </x:c>
      <x:c r="L412" s="56" t="str">
        <x:f>'Actions'!BE10</x:f>
        <x:v>OK</x:v>
      </x:c>
      <x:c r="M412" s="44" t="str">
        <x:v>Источник Actions.Hard Opportunity Misses</x:v>
      </x:c>
    </x:row>
    <x:row r="413" ht="36" customHeight="1">
      <x:c r="A413" s="118" t="n">
        <x:v>408</x:v>
      </x:c>
      <x:c r="B413" s="35" t="str">
        <x:v>action</x:v>
      </x:c>
      <x:c r="C413" s="35" t="str">
        <x:v>bear_guarded_advance</x:v>
      </x:c>
      <x:c r="D413" s="35" t="str">
        <x:v>action_id</x:v>
      </x:c>
      <x:c r="E413" s="38" t="str">
        <x:v>string</x:v>
      </x:c>
      <x:c r="F413" s="56" t="str">
        <x:f>'Actions'!A11</x:f>
        <x:v>bear_guarded_advance</x:v>
      </x:c>
      <x:c r="G413" s="38" t="str"/>
      <x:c r="H413" s="35" t="str">
        <x:v>Actions</x:v>
      </x:c>
      <x:c r="I413" s="35" t="str">
        <x:v>A11</x:v>
      </x:c>
      <x:c r="J413" s="85" t="b">
        <x:v>1</x:v>
      </x:c>
      <x:c r="K413" s="85" t="b">
        <x:v>1</x:v>
      </x:c>
      <x:c r="L413" s="56" t="str">
        <x:f>'Actions'!BE11</x:f>
        <x:v>OK</x:v>
      </x:c>
      <x:c r="M413" s="44" t="str">
        <x:v>Источник Actions.Action ID</x:v>
      </x:c>
    </x:row>
    <x:row r="414" ht="36" customHeight="1">
      <x:c r="A414" s="118" t="n">
        <x:v>409</x:v>
      </x:c>
      <x:c r="B414" s="35" t="str">
        <x:v>action</x:v>
      </x:c>
      <x:c r="C414" s="35" t="str">
        <x:v>bear_guarded_advance</x:v>
      </x:c>
      <x:c r="D414" s="35" t="str">
        <x:v>animal_id</x:v>
      </x:c>
      <x:c r="E414" s="38" t="str">
        <x:v>string</x:v>
      </x:c>
      <x:c r="F414" s="56" t="str">
        <x:f>'Actions'!B11</x:f>
        <x:v>bear</x:v>
      </x:c>
      <x:c r="G414" s="38" t="str"/>
      <x:c r="H414" s="35" t="str">
        <x:v>Actions</x:v>
      </x:c>
      <x:c r="I414" s="35" t="str">
        <x:v>B11</x:v>
      </x:c>
      <x:c r="J414" s="85" t="b">
        <x:v>1</x:v>
      </x:c>
      <x:c r="K414" s="85" t="b">
        <x:v>1</x:v>
      </x:c>
      <x:c r="L414" s="56" t="str">
        <x:f>'Actions'!BE11</x:f>
        <x:v>OK</x:v>
      </x:c>
      <x:c r="M414" s="44" t="str">
        <x:v>Источник Actions.Animal ID</x:v>
      </x:c>
    </x:row>
    <x:row r="415" ht="36" customHeight="1">
      <x:c r="A415" s="118" t="n">
        <x:v>410</x:v>
      </x:c>
      <x:c r="B415" s="35" t="str">
        <x:v>action</x:v>
      </x:c>
      <x:c r="C415" s="35" t="str">
        <x:v>bear_guarded_advance</x:v>
      </x:c>
      <x:c r="D415" s="35" t="str">
        <x:v>slot_type</x:v>
      </x:c>
      <x:c r="E415" s="38" t="str">
        <x:v>string</x:v>
      </x:c>
      <x:c r="F415" s="56" t="str">
        <x:f>'Actions'!D11</x:f>
        <x:v>Basic</x:v>
      </x:c>
      <x:c r="G415" s="38" t="str"/>
      <x:c r="H415" s="35" t="str">
        <x:v>Actions</x:v>
      </x:c>
      <x:c r="I415" s="35" t="str">
        <x:v>D11</x:v>
      </x:c>
      <x:c r="J415" s="85" t="b">
        <x:v>1</x:v>
      </x:c>
      <x:c r="K415" s="85" t="b">
        <x:v>1</x:v>
      </x:c>
      <x:c r="L415" s="56" t="str">
        <x:f>'Actions'!BE11</x:f>
        <x:v>OK</x:v>
      </x:c>
      <x:c r="M415" s="44" t="str">
        <x:v>Источник Actions.Slot Type</x:v>
      </x:c>
    </x:row>
    <x:row r="416" ht="36" customHeight="1">
      <x:c r="A416" s="118" t="n">
        <x:v>411</x:v>
      </x:c>
      <x:c r="B416" s="35" t="str">
        <x:v>action</x:v>
      </x:c>
      <x:c r="C416" s="35" t="str">
        <x:v>bear_guarded_advance</x:v>
      </x:c>
      <x:c r="D416" s="35" t="str">
        <x:v>category</x:v>
      </x:c>
      <x:c r="E416" s="38" t="str">
        <x:v>string</x:v>
      </x:c>
      <x:c r="F416" s="56" t="str">
        <x:f>'Actions'!E11</x:f>
        <x:v>BlockMovement</x:v>
      </x:c>
      <x:c r="G416" s="38" t="str"/>
      <x:c r="H416" s="35" t="str">
        <x:v>Actions</x:v>
      </x:c>
      <x:c r="I416" s="35" t="str">
        <x:v>E11</x:v>
      </x:c>
      <x:c r="J416" s="85" t="b">
        <x:v>1</x:v>
      </x:c>
      <x:c r="K416" s="85" t="b">
        <x:v>1</x:v>
      </x:c>
      <x:c r="L416" s="56" t="str">
        <x:f>'Actions'!BE11</x:f>
        <x:v>OK</x:v>
      </x:c>
      <x:c r="M416" s="44" t="str">
        <x:v>Источник Actions.Category</x:v>
      </x:c>
    </x:row>
    <x:row r="417" ht="36" customHeight="1">
      <x:c r="A417" s="118" t="n">
        <x:v>412</x:v>
      </x:c>
      <x:c r="B417" s="35" t="str">
        <x:v>action</x:v>
      </x:c>
      <x:c r="C417" s="35" t="str">
        <x:v>bear_guarded_advance</x:v>
      </x:c>
      <x:c r="D417" s="35" t="str">
        <x:v>tags</x:v>
      </x:c>
      <x:c r="E417" s="38" t="str">
        <x:v>string</x:v>
      </x:c>
      <x:c r="F417" s="56" t="str">
        <x:f>'Actions'!F11</x:f>
        <x:v>movement|approach|block|defense</x:v>
      </x:c>
      <x:c r="G417" s="38" t="str"/>
      <x:c r="H417" s="35" t="str">
        <x:v>Actions</x:v>
      </x:c>
      <x:c r="I417" s="35" t="str">
        <x:v>F11</x:v>
      </x:c>
      <x:c r="J417" s="85" t="b">
        <x:v>1</x:v>
      </x:c>
      <x:c r="K417" s="85" t="b">
        <x:v>1</x:v>
      </x:c>
      <x:c r="L417" s="56" t="str">
        <x:f>'Actions'!BE11</x:f>
        <x:v>OK</x:v>
      </x:c>
      <x:c r="M417" s="44" t="str">
        <x:v>Источник Actions.Tags</x:v>
      </x:c>
    </x:row>
    <x:row r="418" ht="36" customHeight="1">
      <x:c r="A418" s="118" t="n">
        <x:v>413</x:v>
      </x:c>
      <x:c r="B418" s="35" t="str">
        <x:v>action</x:v>
      </x:c>
      <x:c r="C418" s="35" t="str">
        <x:v>bear_guarded_advance</x:v>
      </x:c>
      <x:c r="D418" s="35" t="str">
        <x:v>base_weight</x:v>
      </x:c>
      <x:c r="E418" s="38" t="str">
        <x:v>int</x:v>
      </x:c>
      <x:c r="F418" s="56" t="n">
        <x:f>'Actions'!G11</x:f>
        <x:v>650</x:v>
      </x:c>
      <x:c r="G418" s="38" t="str"/>
      <x:c r="H418" s="35" t="str">
        <x:v>Actions</x:v>
      </x:c>
      <x:c r="I418" s="35" t="str">
        <x:v>G11</x:v>
      </x:c>
      <x:c r="J418" s="85" t="b">
        <x:v>1</x:v>
      </x:c>
      <x:c r="K418" s="85" t="b">
        <x:v>1</x:v>
      </x:c>
      <x:c r="L418" s="56" t="str">
        <x:f>'Actions'!BE11</x:f>
        <x:v>OK</x:v>
      </x:c>
      <x:c r="M418" s="44" t="str">
        <x:v>Источник Actions.Base Weight</x:v>
      </x:c>
    </x:row>
    <x:row r="419" ht="36" customHeight="1">
      <x:c r="A419" s="118" t="n">
        <x:v>414</x:v>
      </x:c>
      <x:c r="B419" s="35" t="str">
        <x:v>action</x:v>
      </x:c>
      <x:c r="C419" s="35" t="str">
        <x:v>bear_guarded_advance</x:v>
      </x:c>
      <x:c r="D419" s="35" t="str">
        <x:v>preferred_range_min</x:v>
      </x:c>
      <x:c r="E419" s="38" t="str">
        <x:v>int</x:v>
      </x:c>
      <x:c r="F419" s="56" t="n">
        <x:f>'Actions'!H11</x:f>
        <x:v>200</x:v>
      </x:c>
      <x:c r="G419" s="38" t="str"/>
      <x:c r="H419" s="35" t="str">
        <x:v>Actions</x:v>
      </x:c>
      <x:c r="I419" s="35" t="str">
        <x:v>H11</x:v>
      </x:c>
      <x:c r="J419" s="85" t="b">
        <x:v>1</x:v>
      </x:c>
      <x:c r="K419" s="85" t="b">
        <x:v>1</x:v>
      </x:c>
      <x:c r="L419" s="56" t="str">
        <x:f>'Actions'!BE11</x:f>
        <x:v>OK</x:v>
      </x:c>
      <x:c r="M419" s="44" t="str">
        <x:v>Источник Actions.Preferred Range Min</x:v>
      </x:c>
    </x:row>
    <x:row r="420" ht="36" customHeight="1">
      <x:c r="A420" s="118" t="n">
        <x:v>415</x:v>
      </x:c>
      <x:c r="B420" s="35" t="str">
        <x:v>action</x:v>
      </x:c>
      <x:c r="C420" s="35" t="str">
        <x:v>bear_guarded_advance</x:v>
      </x:c>
      <x:c r="D420" s="35" t="str">
        <x:v>preferred_range_max</x:v>
      </x:c>
      <x:c r="E420" s="38" t="str">
        <x:v>int</x:v>
      </x:c>
      <x:c r="F420" s="56" t="n">
        <x:f>'Actions'!I11</x:f>
        <x:v>900</x:v>
      </x:c>
      <x:c r="G420" s="38" t="str"/>
      <x:c r="H420" s="35" t="str">
        <x:v>Actions</x:v>
      </x:c>
      <x:c r="I420" s="35" t="str">
        <x:v>I11</x:v>
      </x:c>
      <x:c r="J420" s="85" t="b">
        <x:v>1</x:v>
      </x:c>
      <x:c r="K420" s="85" t="b">
        <x:v>1</x:v>
      </x:c>
      <x:c r="L420" s="56" t="str">
        <x:f>'Actions'!BE11</x:f>
        <x:v>OK</x:v>
      </x:c>
      <x:c r="M420" s="44" t="str">
        <x:v>Источник Actions.Preferred Range Max</x:v>
      </x:c>
    </x:row>
    <x:row r="421" ht="36" customHeight="1">
      <x:c r="A421" s="118" t="n">
        <x:v>416</x:v>
      </x:c>
      <x:c r="B421" s="35" t="str">
        <x:v>action</x:v>
      </x:c>
      <x:c r="C421" s="35" t="str">
        <x:v>bear_guarded_advance</x:v>
      </x:c>
      <x:c r="D421" s="35" t="str">
        <x:v>hit_range_min</x:v>
      </x:c>
      <x:c r="E421" s="38" t="str">
        <x:v>int</x:v>
      </x:c>
      <x:c r="F421" s="56" t="n">
        <x:f>'Actions'!J11</x:f>
        <x:v>0</x:v>
      </x:c>
      <x:c r="G421" s="38" t="str"/>
      <x:c r="H421" s="35" t="str">
        <x:v>Actions</x:v>
      </x:c>
      <x:c r="I421" s="35" t="str">
        <x:v>J11</x:v>
      </x:c>
      <x:c r="J421" s="85" t="b">
        <x:v>1</x:v>
      </x:c>
      <x:c r="K421" s="85" t="b">
        <x:v>1</x:v>
      </x:c>
      <x:c r="L421" s="56" t="str">
        <x:f>'Actions'!BE11</x:f>
        <x:v>OK</x:v>
      </x:c>
      <x:c r="M421" s="44" t="str">
        <x:v>Источник Actions.Hit Range Min</x:v>
      </x:c>
    </x:row>
    <x:row r="422" ht="36" customHeight="1">
      <x:c r="A422" s="118" t="n">
        <x:v>417</x:v>
      </x:c>
      <x:c r="B422" s="35" t="str">
        <x:v>action</x:v>
      </x:c>
      <x:c r="C422" s="35" t="str">
        <x:v>bear_guarded_advance</x:v>
      </x:c>
      <x:c r="D422" s="35" t="str">
        <x:v>hit_range_max</x:v>
      </x:c>
      <x:c r="E422" s="38" t="str">
        <x:v>int</x:v>
      </x:c>
      <x:c r="F422" s="56" t="n">
        <x:f>'Actions'!K11</x:f>
        <x:v>0</x:v>
      </x:c>
      <x:c r="G422" s="38" t="str"/>
      <x:c r="H422" s="35" t="str">
        <x:v>Actions</x:v>
      </x:c>
      <x:c r="I422" s="35" t="str">
        <x:v>K11</x:v>
      </x:c>
      <x:c r="J422" s="85" t="b">
        <x:v>1</x:v>
      </x:c>
      <x:c r="K422" s="85" t="b">
        <x:v>1</x:v>
      </x:c>
      <x:c r="L422" s="56" t="str">
        <x:f>'Actions'!BE11</x:f>
        <x:v>OK</x:v>
      </x:c>
      <x:c r="M422" s="44" t="str">
        <x:v>Источник Actions.Hit Range Max</x:v>
      </x:c>
    </x:row>
    <x:row r="423" ht="36" customHeight="1">
      <x:c r="A423" s="118" t="n">
        <x:v>418</x:v>
      </x:c>
      <x:c r="B423" s="35" t="str">
        <x:v>action</x:v>
      </x:c>
      <x:c r="C423" s="35" t="str">
        <x:v>bear_guarded_advance</x:v>
      </x:c>
      <x:c r="D423" s="35" t="str">
        <x:v>energy_cost</x:v>
      </x:c>
      <x:c r="E423" s="38" t="str">
        <x:v>int</x:v>
      </x:c>
      <x:c r="F423" s="56" t="n">
        <x:f>'Actions'!L11</x:f>
        <x:v>100</x:v>
      </x:c>
      <x:c r="G423" s="38" t="str"/>
      <x:c r="H423" s="35" t="str">
        <x:v>Actions</x:v>
      </x:c>
      <x:c r="I423" s="35" t="str">
        <x:v>L11</x:v>
      </x:c>
      <x:c r="J423" s="85" t="b">
        <x:v>1</x:v>
      </x:c>
      <x:c r="K423" s="85" t="b">
        <x:v>1</x:v>
      </x:c>
      <x:c r="L423" s="56" t="str">
        <x:f>'Actions'!BE11</x:f>
        <x:v>OK</x:v>
      </x:c>
      <x:c r="M423" s="44" t="str">
        <x:v>Источник Actions.Energy Cost</x:v>
      </x:c>
    </x:row>
    <x:row r="424" ht="36" customHeight="1">
      <x:c r="A424" s="118" t="n">
        <x:v>419</x:v>
      </x:c>
      <x:c r="B424" s="35" t="str">
        <x:v>action</x:v>
      </x:c>
      <x:c r="C424" s="35" t="str">
        <x:v>bear_guarded_advance</x:v>
      </x:c>
      <x:c r="D424" s="35" t="str">
        <x:v>resource_cost</x:v>
      </x:c>
      <x:c r="E424" s="38" t="str">
        <x:v>int</x:v>
      </x:c>
      <x:c r="F424" s="56" t="n">
        <x:f>'Actions'!M11</x:f>
        <x:v>0</x:v>
      </x:c>
      <x:c r="G424" s="38" t="str"/>
      <x:c r="H424" s="35" t="str">
        <x:v>Actions</x:v>
      </x:c>
      <x:c r="I424" s="35" t="str">
        <x:v>M11</x:v>
      </x:c>
      <x:c r="J424" s="85" t="b">
        <x:v>1</x:v>
      </x:c>
      <x:c r="K424" s="85" t="b">
        <x:v>1</x:v>
      </x:c>
      <x:c r="L424" s="56" t="str">
        <x:f>'Actions'!BE11</x:f>
        <x:v>OK</x:v>
      </x:c>
      <x:c r="M424" s="44" t="str">
        <x:v>Источник Actions.Resource Cost</x:v>
      </x:c>
    </x:row>
    <x:row r="425" ht="36" customHeight="1">
      <x:c r="A425" s="118" t="n">
        <x:v>420</x:v>
      </x:c>
      <x:c r="B425" s="35" t="str">
        <x:v>action</x:v>
      </x:c>
      <x:c r="C425" s="35" t="str">
        <x:v>bear_guarded_advance</x:v>
      </x:c>
      <x:c r="D425" s="35" t="str">
        <x:v>base_damage</x:v>
      </x:c>
      <x:c r="E425" s="38" t="str">
        <x:v>int</x:v>
      </x:c>
      <x:c r="F425" s="56" t="n">
        <x:f>'Actions'!N11</x:f>
        <x:v>0</x:v>
      </x:c>
      <x:c r="G425" s="38" t="str"/>
      <x:c r="H425" s="35" t="str">
        <x:v>Actions</x:v>
      </x:c>
      <x:c r="I425" s="35" t="str">
        <x:v>N11</x:v>
      </x:c>
      <x:c r="J425" s="85" t="b">
        <x:v>1</x:v>
      </x:c>
      <x:c r="K425" s="85" t="b">
        <x:v>1</x:v>
      </x:c>
      <x:c r="L425" s="56" t="str">
        <x:f>'Actions'!BE11</x:f>
        <x:v>OK</x:v>
      </x:c>
      <x:c r="M425" s="44" t="str">
        <x:v>Источник Actions.Base Damage / hit</x:v>
      </x:c>
    </x:row>
    <x:row r="426" ht="36" customHeight="1">
      <x:c r="A426" s="118" t="n">
        <x:v>421</x:v>
      </x:c>
      <x:c r="B426" s="35" t="str">
        <x:v>action</x:v>
      </x:c>
      <x:c r="C426" s="35" t="str">
        <x:v>bear_guarded_advance</x:v>
      </x:c>
      <x:c r="D426" s="35" t="str">
        <x:v>power_ratio_fp</x:v>
      </x:c>
      <x:c r="E426" s="38" t="str">
        <x:v>int</x:v>
      </x:c>
      <x:c r="F426" s="56" t="n">
        <x:f>'Actions'!O11</x:f>
        <x:v>0</x:v>
      </x:c>
      <x:c r="G426" s="38" t="str"/>
      <x:c r="H426" s="35" t="str">
        <x:v>Actions</x:v>
      </x:c>
      <x:c r="I426" s="35" t="str">
        <x:v>O11</x:v>
      </x:c>
      <x:c r="J426" s="85" t="b">
        <x:v>1</x:v>
      </x:c>
      <x:c r="K426" s="85" t="b">
        <x:v>1</x:v>
      </x:c>
      <x:c r="L426" s="56" t="str">
        <x:f>'Actions'!BE11</x:f>
        <x:v>OK</x:v>
      </x:c>
      <x:c r="M426" s="44" t="str">
        <x:v>Источник Actions.Power Ratio FP</x:v>
      </x:c>
    </x:row>
    <x:row r="427" ht="36" customHeight="1">
      <x:c r="A427" s="118" t="n">
        <x:v>422</x:v>
      </x:c>
      <x:c r="B427" s="35" t="str">
        <x:v>action</x:v>
      </x:c>
      <x:c r="C427" s="35" t="str">
        <x:v>bear_guarded_advance</x:v>
      </x:c>
      <x:c r="D427" s="35" t="str">
        <x:v>min_damage</x:v>
      </x:c>
      <x:c r="E427" s="38" t="str">
        <x:v>int</x:v>
      </x:c>
      <x:c r="F427" s="56" t="n">
        <x:f>'Actions'!P11</x:f>
        <x:v>0</x:v>
      </x:c>
      <x:c r="G427" s="38" t="str"/>
      <x:c r="H427" s="35" t="str">
        <x:v>Actions</x:v>
      </x:c>
      <x:c r="I427" s="35" t="str">
        <x:v>P11</x:v>
      </x:c>
      <x:c r="J427" s="85" t="b">
        <x:v>1</x:v>
      </x:c>
      <x:c r="K427" s="85" t="b">
        <x:v>1</x:v>
      </x:c>
      <x:c r="L427" s="56" t="str">
        <x:f>'Actions'!BE11</x:f>
        <x:v>OK</x:v>
      </x:c>
      <x:c r="M427" s="44" t="str">
        <x:v>Источник Actions.Min Damage</x:v>
      </x:c>
    </x:row>
    <x:row r="428" ht="36" customHeight="1">
      <x:c r="A428" s="118" t="n">
        <x:v>423</x:v>
      </x:c>
      <x:c r="B428" s="35" t="str">
        <x:v>action</x:v>
      </x:c>
      <x:c r="C428" s="35" t="str">
        <x:v>bear_guarded_advance</x:v>
      </x:c>
      <x:c r="D428" s="35" t="str">
        <x:v>chip_min</x:v>
      </x:c>
      <x:c r="E428" s="38" t="str">
        <x:v>int</x:v>
      </x:c>
      <x:c r="F428" s="56" t="n">
        <x:f>'Actions'!Q11</x:f>
        <x:v>0</x:v>
      </x:c>
      <x:c r="G428" s="38" t="str"/>
      <x:c r="H428" s="35" t="str">
        <x:v>Actions</x:v>
      </x:c>
      <x:c r="I428" s="35" t="str">
        <x:v>Q11</x:v>
      </x:c>
      <x:c r="J428" s="85" t="b">
        <x:v>1</x:v>
      </x:c>
      <x:c r="K428" s="85" t="b">
        <x:v>1</x:v>
      </x:c>
      <x:c r="L428" s="56" t="str">
        <x:f>'Actions'!BE11</x:f>
        <x:v>OK</x:v>
      </x:c>
      <x:c r="M428" s="44" t="str">
        <x:v>Источник Actions.Chip Min</x:v>
      </x:c>
    </x:row>
    <x:row r="429" ht="36" customHeight="1">
      <x:c r="A429" s="118" t="n">
        <x:v>424</x:v>
      </x:c>
      <x:c r="B429" s="35" t="str">
        <x:v>action</x:v>
      </x:c>
      <x:c r="C429" s="35" t="str">
        <x:v>bear_guarded_advance</x:v>
      </x:c>
      <x:c r="D429" s="35" t="str">
        <x:v>startup_base_ticks</x:v>
      </x:c>
      <x:c r="E429" s="38" t="str">
        <x:v>int</x:v>
      </x:c>
      <x:c r="F429" s="56" t="n">
        <x:f>'Actions'!R11</x:f>
        <x:v>3</x:v>
      </x:c>
      <x:c r="G429" s="38" t="str"/>
      <x:c r="H429" s="35" t="str">
        <x:v>Actions</x:v>
      </x:c>
      <x:c r="I429" s="35" t="str">
        <x:v>R11</x:v>
      </x:c>
      <x:c r="J429" s="85" t="b">
        <x:v>1</x:v>
      </x:c>
      <x:c r="K429" s="85" t="b">
        <x:v>1</x:v>
      </x:c>
      <x:c r="L429" s="56" t="str">
        <x:f>'Actions'!BE11</x:f>
        <x:v>OK</x:v>
      </x:c>
      <x:c r="M429" s="44" t="str">
        <x:v>Источник Actions.Startup Base Ticks</x:v>
      </x:c>
    </x:row>
    <x:row r="430" ht="36" customHeight="1">
      <x:c r="A430" s="118" t="n">
        <x:v>425</x:v>
      </x:c>
      <x:c r="B430" s="35" t="str">
        <x:v>action</x:v>
      </x:c>
      <x:c r="C430" s="35" t="str">
        <x:v>bear_guarded_advance</x:v>
      </x:c>
      <x:c r="D430" s="35" t="str">
        <x:v>startup_min_ticks</x:v>
      </x:c>
      <x:c r="E430" s="38" t="str">
        <x:v>int</x:v>
      </x:c>
      <x:c r="F430" s="56" t="n">
        <x:f>'Actions'!S11</x:f>
        <x:v>2</x:v>
      </x:c>
      <x:c r="G430" s="38" t="str"/>
      <x:c r="H430" s="35" t="str">
        <x:v>Actions</x:v>
      </x:c>
      <x:c r="I430" s="35" t="str">
        <x:v>S11</x:v>
      </x:c>
      <x:c r="J430" s="85" t="b">
        <x:v>1</x:v>
      </x:c>
      <x:c r="K430" s="85" t="b">
        <x:v>1</x:v>
      </x:c>
      <x:c r="L430" s="56" t="str">
        <x:f>'Actions'!BE11</x:f>
        <x:v>OK</x:v>
      </x:c>
      <x:c r="M430" s="44" t="str">
        <x:v>Источник Actions.Startup Min Ticks</x:v>
      </x:c>
    </x:row>
    <x:row r="431" ht="36" customHeight="1">
      <x:c r="A431" s="118" t="n">
        <x:v>426</x:v>
      </x:c>
      <x:c r="B431" s="35" t="str">
        <x:v>action</x:v>
      </x:c>
      <x:c r="C431" s="35" t="str">
        <x:v>bear_guarded_advance</x:v>
      </x:c>
      <x:c r="D431" s="35" t="str">
        <x:v>startup_max_ticks</x:v>
      </x:c>
      <x:c r="E431" s="38" t="str">
        <x:v>int</x:v>
      </x:c>
      <x:c r="F431" s="56" t="n">
        <x:f>'Actions'!T11</x:f>
        <x:v>5</x:v>
      </x:c>
      <x:c r="G431" s="38" t="str"/>
      <x:c r="H431" s="35" t="str">
        <x:v>Actions</x:v>
      </x:c>
      <x:c r="I431" s="35" t="str">
        <x:v>T11</x:v>
      </x:c>
      <x:c r="J431" s="85" t="b">
        <x:v>1</x:v>
      </x:c>
      <x:c r="K431" s="85" t="b">
        <x:v>1</x:v>
      </x:c>
      <x:c r="L431" s="56" t="str">
        <x:f>'Actions'!BE11</x:f>
        <x:v>OK</x:v>
      </x:c>
      <x:c r="M431" s="44" t="str">
        <x:v>Источник Actions.Startup Max Ticks</x:v>
      </x:c>
    </x:row>
    <x:row r="432" ht="36" customHeight="1">
      <x:c r="A432" s="118" t="n">
        <x:v>427</x:v>
      </x:c>
      <x:c r="B432" s="35" t="str">
        <x:v>action</x:v>
      </x:c>
      <x:c r="C432" s="35" t="str">
        <x:v>bear_guarded_advance</x:v>
      </x:c>
      <x:c r="D432" s="35" t="str">
        <x:v>active_ticks</x:v>
      </x:c>
      <x:c r="E432" s="38" t="str">
        <x:v>int</x:v>
      </x:c>
      <x:c r="F432" s="56" t="n">
        <x:f>'Actions'!U11</x:f>
        <x:v>10</x:v>
      </x:c>
      <x:c r="G432" s="38" t="str"/>
      <x:c r="H432" s="35" t="str">
        <x:v>Actions</x:v>
      </x:c>
      <x:c r="I432" s="35" t="str">
        <x:v>U11</x:v>
      </x:c>
      <x:c r="J432" s="85" t="b">
        <x:v>1</x:v>
      </x:c>
      <x:c r="K432" s="85" t="b">
        <x:v>1</x:v>
      </x:c>
      <x:c r="L432" s="56" t="str">
        <x:f>'Actions'!BE11</x:f>
        <x:v>OK</x:v>
      </x:c>
      <x:c r="M432" s="44" t="str">
        <x:v>Источник Actions.Active Ticks</x:v>
      </x:c>
    </x:row>
    <x:row r="433" ht="36" customHeight="1">
      <x:c r="A433" s="118" t="n">
        <x:v>428</x:v>
      </x:c>
      <x:c r="B433" s="35" t="str">
        <x:v>action</x:v>
      </x:c>
      <x:c r="C433" s="35" t="str">
        <x:v>bear_guarded_advance</x:v>
      </x:c>
      <x:c r="D433" s="35" t="str">
        <x:v>hit_schedule</x:v>
      </x:c>
      <x:c r="E433" s="38" t="str">
        <x:v>string</x:v>
      </x:c>
      <x:c r="F433" s="56" t="str">
        <x:f>'Actions'!V11</x:f>
      </x:c>
      <x:c r="G433" s="38" t="str"/>
      <x:c r="H433" s="35" t="str">
        <x:v>Actions</x:v>
      </x:c>
      <x:c r="I433" s="35" t="str">
        <x:v>V11</x:v>
      </x:c>
      <x:c r="J433" s="85" t="b">
        <x:v>1</x:v>
      </x:c>
      <x:c r="K433" s="85" t="b">
        <x:v>1</x:v>
      </x:c>
      <x:c r="L433" s="56" t="str">
        <x:f>'Actions'!BE11</x:f>
        <x:v>OK</x:v>
      </x:c>
      <x:c r="M433" s="44" t="str">
        <x:v>Источник Actions.Hit Schedule</x:v>
      </x:c>
    </x:row>
    <x:row r="434" ht="36" customHeight="1">
      <x:c r="A434" s="118" t="n">
        <x:v>429</x:v>
      </x:c>
      <x:c r="B434" s="35" t="str">
        <x:v>action</x:v>
      </x:c>
      <x:c r="C434" s="35" t="str">
        <x:v>bear_guarded_advance</x:v>
      </x:c>
      <x:c r="D434" s="35" t="str">
        <x:v>hit_count</x:v>
      </x:c>
      <x:c r="E434" s="38" t="str">
        <x:v>int</x:v>
      </x:c>
      <x:c r="F434" s="56" t="n">
        <x:f>'Actions'!W11</x:f>
        <x:v>0</x:v>
      </x:c>
      <x:c r="G434" s="38" t="str"/>
      <x:c r="H434" s="35" t="str">
        <x:v>Actions</x:v>
      </x:c>
      <x:c r="I434" s="35" t="str">
        <x:v>W11</x:v>
      </x:c>
      <x:c r="J434" s="85" t="b">
        <x:v>1</x:v>
      </x:c>
      <x:c r="K434" s="85" t="b">
        <x:v>1</x:v>
      </x:c>
      <x:c r="L434" s="56" t="str">
        <x:f>'Actions'!BE11</x:f>
        <x:v>OK</x:v>
      </x:c>
      <x:c r="M434" s="44" t="str">
        <x:v>Источник Actions.Hit Count</x:v>
      </x:c>
    </x:row>
    <x:row r="435" ht="36" customHeight="1">
      <x:c r="A435" s="118" t="n">
        <x:v>430</x:v>
      </x:c>
      <x:c r="B435" s="35" t="str">
        <x:v>action</x:v>
      </x:c>
      <x:c r="C435" s="35" t="str">
        <x:v>bear_guarded_advance</x:v>
      </x:c>
      <x:c r="D435" s="35" t="str">
        <x:v>recovery_base_ticks</x:v>
      </x:c>
      <x:c r="E435" s="38" t="str">
        <x:v>int</x:v>
      </x:c>
      <x:c r="F435" s="56" t="n">
        <x:f>'Actions'!X11</x:f>
        <x:v>6</x:v>
      </x:c>
      <x:c r="G435" s="38" t="str"/>
      <x:c r="H435" s="35" t="str">
        <x:v>Actions</x:v>
      </x:c>
      <x:c r="I435" s="35" t="str">
        <x:v>X11</x:v>
      </x:c>
      <x:c r="J435" s="85" t="b">
        <x:v>1</x:v>
      </x:c>
      <x:c r="K435" s="85" t="b">
        <x:v>1</x:v>
      </x:c>
      <x:c r="L435" s="56" t="str">
        <x:f>'Actions'!BE11</x:f>
        <x:v>OK</x:v>
      </x:c>
      <x:c r="M435" s="44" t="str">
        <x:v>Источник Actions.Recovery Base Ticks</x:v>
      </x:c>
    </x:row>
    <x:row r="436" ht="36" customHeight="1">
      <x:c r="A436" s="118" t="n">
        <x:v>431</x:v>
      </x:c>
      <x:c r="B436" s="35" t="str">
        <x:v>action</x:v>
      </x:c>
      <x:c r="C436" s="35" t="str">
        <x:v>bear_guarded_advance</x:v>
      </x:c>
      <x:c r="D436" s="35" t="str">
        <x:v>recovery_min_ticks</x:v>
      </x:c>
      <x:c r="E436" s="38" t="str">
        <x:v>int</x:v>
      </x:c>
      <x:c r="F436" s="56" t="n">
        <x:f>'Actions'!Y11</x:f>
        <x:v>4</x:v>
      </x:c>
      <x:c r="G436" s="38" t="str"/>
      <x:c r="H436" s="35" t="str">
        <x:v>Actions</x:v>
      </x:c>
      <x:c r="I436" s="35" t="str">
        <x:v>Y11</x:v>
      </x:c>
      <x:c r="J436" s="85" t="b">
        <x:v>1</x:v>
      </x:c>
      <x:c r="K436" s="85" t="b">
        <x:v>1</x:v>
      </x:c>
      <x:c r="L436" s="56" t="str">
        <x:f>'Actions'!BE11</x:f>
        <x:v>OK</x:v>
      </x:c>
      <x:c r="M436" s="44" t="str">
        <x:v>Источник Actions.Recovery Min Ticks</x:v>
      </x:c>
    </x:row>
    <x:row r="437" ht="36" customHeight="1">
      <x:c r="A437" s="118" t="n">
        <x:v>432</x:v>
      </x:c>
      <x:c r="B437" s="35" t="str">
        <x:v>action</x:v>
      </x:c>
      <x:c r="C437" s="35" t="str">
        <x:v>bear_guarded_advance</x:v>
      </x:c>
      <x:c r="D437" s="35" t="str">
        <x:v>recovery_max_ticks</x:v>
      </x:c>
      <x:c r="E437" s="38" t="str">
        <x:v>int</x:v>
      </x:c>
      <x:c r="F437" s="56" t="n">
        <x:f>'Actions'!Z11</x:f>
        <x:v>9</x:v>
      </x:c>
      <x:c r="G437" s="38" t="str"/>
      <x:c r="H437" s="35" t="str">
        <x:v>Actions</x:v>
      </x:c>
      <x:c r="I437" s="35" t="str">
        <x:v>Z11</x:v>
      </x:c>
      <x:c r="J437" s="85" t="b">
        <x:v>1</x:v>
      </x:c>
      <x:c r="K437" s="85" t="b">
        <x:v>1</x:v>
      </x:c>
      <x:c r="L437" s="56" t="str">
        <x:f>'Actions'!BE11</x:f>
        <x:v>OK</x:v>
      </x:c>
      <x:c r="M437" s="44" t="str">
        <x:v>Источник Actions.Recovery Max Ticks</x:v>
      </x:c>
    </x:row>
    <x:row r="438" ht="36" customHeight="1">
      <x:c r="A438" s="118" t="n">
        <x:v>433</x:v>
      </x:c>
      <x:c r="B438" s="35" t="str">
        <x:v>action</x:v>
      </x:c>
      <x:c r="C438" s="35" t="str">
        <x:v>bear_guarded_advance</x:v>
      </x:c>
      <x:c r="D438" s="35" t="str">
        <x:v>cooldown_ticks</x:v>
      </x:c>
      <x:c r="E438" s="38" t="str">
        <x:v>int</x:v>
      </x:c>
      <x:c r="F438" s="56" t="n">
        <x:f>'Actions'!AA11</x:f>
        <x:v>20</x:v>
      </x:c>
      <x:c r="G438" s="38" t="str"/>
      <x:c r="H438" s="35" t="str">
        <x:v>Actions</x:v>
      </x:c>
      <x:c r="I438" s="35" t="str">
        <x:v>AA11</x:v>
      </x:c>
      <x:c r="J438" s="85" t="b">
        <x:v>1</x:v>
      </x:c>
      <x:c r="K438" s="85" t="b">
        <x:v>1</x:v>
      </x:c>
      <x:c r="L438" s="56" t="str">
        <x:f>'Actions'!BE11</x:f>
        <x:v>OK</x:v>
      </x:c>
      <x:c r="M438" s="44" t="str">
        <x:v>Источник Actions.Cooldown Ticks</x:v>
      </x:c>
    </x:row>
    <x:row r="439" ht="36" customHeight="1">
      <x:c r="A439" s="118" t="n">
        <x:v>434</x:v>
      </x:c>
      <x:c r="B439" s="35" t="str">
        <x:v>action</x:v>
      </x:c>
      <x:c r="C439" s="35" t="str">
        <x:v>bear_guarded_advance</x:v>
      </x:c>
      <x:c r="D439" s="35" t="str">
        <x:v>action_priority</x:v>
      </x:c>
      <x:c r="E439" s="38" t="str">
        <x:v>int</x:v>
      </x:c>
      <x:c r="F439" s="56" t="n">
        <x:f>'Actions'!AB11</x:f>
        <x:v>30</x:v>
      </x:c>
      <x:c r="G439" s="38" t="str"/>
      <x:c r="H439" s="35" t="str">
        <x:v>Actions</x:v>
      </x:c>
      <x:c r="I439" s="35" t="str">
        <x:v>AB11</x:v>
      </x:c>
      <x:c r="J439" s="85" t="b">
        <x:v>1</x:v>
      </x:c>
      <x:c r="K439" s="85" t="b">
        <x:v>1</x:v>
      </x:c>
      <x:c r="L439" s="56" t="str">
        <x:f>'Actions'!BE11</x:f>
        <x:v>OK</x:v>
      </x:c>
      <x:c r="M439" s="44" t="str">
        <x:v>Источник Actions.Action Priority</x:v>
      </x:c>
    </x:row>
    <x:row r="440" ht="36" customHeight="1">
      <x:c r="A440" s="118" t="n">
        <x:v>435</x:v>
      </x:c>
      <x:c r="B440" s="35" t="str">
        <x:v>action</x:v>
      </x:c>
      <x:c r="C440" s="35" t="str">
        <x:v>bear_guarded_advance</x:v>
      </x:c>
      <x:c r="D440" s="35" t="str">
        <x:v>clash_priority</x:v>
      </x:c>
      <x:c r="E440" s="38" t="str">
        <x:v>int</x:v>
      </x:c>
      <x:c r="F440" s="56" t="n">
        <x:f>'Actions'!AC11</x:f>
        <x:v>0</x:v>
      </x:c>
      <x:c r="G440" s="38" t="str"/>
      <x:c r="H440" s="35" t="str">
        <x:v>Actions</x:v>
      </x:c>
      <x:c r="I440" s="35" t="str">
        <x:v>AC11</x:v>
      </x:c>
      <x:c r="J440" s="85" t="b">
        <x:v>1</x:v>
      </x:c>
      <x:c r="K440" s="85" t="b">
        <x:v>1</x:v>
      </x:c>
      <x:c r="L440" s="56" t="str">
        <x:f>'Actions'!BE11</x:f>
        <x:v>OK</x:v>
      </x:c>
      <x:c r="M440" s="44" t="str">
        <x:v>Источник Actions.Clash Priority</x:v>
      </x:c>
    </x:row>
    <x:row r="441" ht="36" customHeight="1">
      <x:c r="A441" s="118" t="n">
        <x:v>436</x:v>
      </x:c>
      <x:c r="B441" s="35" t="str">
        <x:v>action</x:v>
      </x:c>
      <x:c r="C441" s="35" t="str">
        <x:v>bear_guarded_advance</x:v>
      </x:c>
      <x:c r="D441" s="35" t="str">
        <x:v>grab_priority</x:v>
      </x:c>
      <x:c r="E441" s="38" t="str">
        <x:v>int</x:v>
      </x:c>
      <x:c r="F441" s="56" t="n">
        <x:f>'Actions'!AD11</x:f>
        <x:v>0</x:v>
      </x:c>
      <x:c r="G441" s="38" t="str"/>
      <x:c r="H441" s="35" t="str">
        <x:v>Actions</x:v>
      </x:c>
      <x:c r="I441" s="35" t="str">
        <x:v>AD11</x:v>
      </x:c>
      <x:c r="J441" s="85" t="b">
        <x:v>1</x:v>
      </x:c>
      <x:c r="K441" s="85" t="b">
        <x:v>1</x:v>
      </x:c>
      <x:c r="L441" s="56" t="str">
        <x:f>'Actions'!BE11</x:f>
        <x:v>OK</x:v>
      </x:c>
      <x:c r="M441" s="44" t="str">
        <x:v>Источник Actions.Grab Priority</x:v>
      </x:c>
    </x:row>
    <x:row r="442" ht="36" customHeight="1">
      <x:c r="A442" s="118" t="n">
        <x:v>437</x:v>
      </x:c>
      <x:c r="B442" s="35" t="str">
        <x:v>action</x:v>
      </x:c>
      <x:c r="C442" s="35" t="str">
        <x:v>bear_guarded_advance</x:v>
      </x:c>
      <x:c r="D442" s="35" t="str">
        <x:v>resolution_priority</x:v>
      </x:c>
      <x:c r="E442" s="38" t="str">
        <x:v>int</x:v>
      </x:c>
      <x:c r="F442" s="56" t="n">
        <x:f>'Actions'!AE11</x:f>
        <x:v>70</x:v>
      </x:c>
      <x:c r="G442" s="38" t="str"/>
      <x:c r="H442" s="35" t="str">
        <x:v>Actions</x:v>
      </x:c>
      <x:c r="I442" s="35" t="str">
        <x:v>AE11</x:v>
      </x:c>
      <x:c r="J442" s="85" t="b">
        <x:v>1</x:v>
      </x:c>
      <x:c r="K442" s="85" t="b">
        <x:v>1</x:v>
      </x:c>
      <x:c r="L442" s="56" t="str">
        <x:f>'Actions'!BE11</x:f>
        <x:v>OK</x:v>
      </x:c>
      <x:c r="M442" s="44" t="str">
        <x:v>Источник Actions.Resolution Priority</x:v>
      </x:c>
    </x:row>
    <x:row r="443" ht="36" customHeight="1">
      <x:c r="A443" s="118" t="n">
        <x:v>438</x:v>
      </x:c>
      <x:c r="B443" s="35" t="str">
        <x:v>action</x:v>
      </x:c>
      <x:c r="C443" s="35" t="str">
        <x:v>bear_guarded_advance</x:v>
      </x:c>
      <x:c r="D443" s="35" t="str">
        <x:v>interrupt_profile</x:v>
      </x:c>
      <x:c r="E443" s="38" t="str">
        <x:v>string</x:v>
      </x:c>
      <x:c r="F443" s="56" t="str">
        <x:f>'Actions'!AF11</x:f>
        <x:v>Armored</x:v>
      </x:c>
      <x:c r="G443" s="38" t="str"/>
      <x:c r="H443" s="35" t="str">
        <x:v>Actions</x:v>
      </x:c>
      <x:c r="I443" s="35" t="str">
        <x:v>AF11</x:v>
      </x:c>
      <x:c r="J443" s="85" t="b">
        <x:v>1</x:v>
      </x:c>
      <x:c r="K443" s="85" t="b">
        <x:v>1</x:v>
      </x:c>
      <x:c r="L443" s="56" t="str">
        <x:f>'Actions'!BE11</x:f>
        <x:v>OK</x:v>
      </x:c>
      <x:c r="M443" s="44" t="str">
        <x:v>Источник Actions.Interrupt Profile</x:v>
      </x:c>
    </x:row>
    <x:row r="444" ht="36" customHeight="1">
      <x:c r="A444" s="118" t="n">
        <x:v>439</x:v>
      </x:c>
      <x:c r="B444" s="35" t="str">
        <x:v>action</x:v>
      </x:c>
      <x:c r="C444" s="35" t="str">
        <x:v>bear_guarded_advance</x:v>
      </x:c>
      <x:c r="D444" s="35" t="str">
        <x:v>blockable</x:v>
      </x:c>
      <x:c r="E444" s="38" t="str">
        <x:v>bool</x:v>
      </x:c>
      <x:c r="F444" s="56" t="b">
        <x:f>'Actions'!AG11</x:f>
        <x:v>0</x:v>
      </x:c>
      <x:c r="G444" s="38" t="str"/>
      <x:c r="H444" s="35" t="str">
        <x:v>Actions</x:v>
      </x:c>
      <x:c r="I444" s="35" t="str">
        <x:v>AG11</x:v>
      </x:c>
      <x:c r="J444" s="85" t="b">
        <x:v>1</x:v>
      </x:c>
      <x:c r="K444" s="85" t="b">
        <x:v>1</x:v>
      </x:c>
      <x:c r="L444" s="56" t="str">
        <x:f>'Actions'!BE11</x:f>
        <x:v>OK</x:v>
      </x:c>
      <x:c r="M444" s="44" t="str">
        <x:v>Источник Actions.Blockable</x:v>
      </x:c>
    </x:row>
    <x:row r="445" ht="36" customHeight="1">
      <x:c r="A445" s="118" t="n">
        <x:v>440</x:v>
      </x:c>
      <x:c r="B445" s="35" t="str">
        <x:v>action</x:v>
      </x:c>
      <x:c r="C445" s="35" t="str">
        <x:v>bear_guarded_advance</x:v>
      </x:c>
      <x:c r="D445" s="35" t="str">
        <x:v>dodgeable</x:v>
      </x:c>
      <x:c r="E445" s="38" t="str">
        <x:v>bool</x:v>
      </x:c>
      <x:c r="F445" s="56" t="b">
        <x:f>'Actions'!AH11</x:f>
        <x:v>0</x:v>
      </x:c>
      <x:c r="G445" s="38" t="str"/>
      <x:c r="H445" s="35" t="str">
        <x:v>Actions</x:v>
      </x:c>
      <x:c r="I445" s="35" t="str">
        <x:v>AH11</x:v>
      </x:c>
      <x:c r="J445" s="85" t="b">
        <x:v>1</x:v>
      </x:c>
      <x:c r="K445" s="85" t="b">
        <x:v>1</x:v>
      </x:c>
      <x:c r="L445" s="56" t="str">
        <x:f>'Actions'!BE11</x:f>
        <x:v>OK</x:v>
      </x:c>
      <x:c r="M445" s="44" t="str">
        <x:v>Источник Actions.Dodgeable</x:v>
      </x:c>
    </x:row>
    <x:row r="446" ht="36" customHeight="1">
      <x:c r="A446" s="118" t="n">
        <x:v>441</x:v>
      </x:c>
      <x:c r="B446" s="35" t="str">
        <x:v>action</x:v>
      </x:c>
      <x:c r="C446" s="35" t="str">
        <x:v>bear_guarded_advance</x:v>
      </x:c>
      <x:c r="D446" s="35" t="str">
        <x:v>undodgeable</x:v>
      </x:c>
      <x:c r="E446" s="38" t="str">
        <x:v>bool</x:v>
      </x:c>
      <x:c r="F446" s="56" t="b">
        <x:f>'Actions'!AI11</x:f>
        <x:v>0</x:v>
      </x:c>
      <x:c r="G446" s="38" t="str"/>
      <x:c r="H446" s="35" t="str">
        <x:v>Actions</x:v>
      </x:c>
      <x:c r="I446" s="35" t="str">
        <x:v>AI11</x:v>
      </x:c>
      <x:c r="J446" s="85" t="b">
        <x:v>1</x:v>
      </x:c>
      <x:c r="K446" s="85" t="b">
        <x:v>1</x:v>
      </x:c>
      <x:c r="L446" s="56" t="str">
        <x:f>'Actions'!BE11</x:f>
        <x:v>OK</x:v>
      </x:c>
      <x:c r="M446" s="44" t="str">
        <x:v>Источник Actions.Undodgeable</x:v>
      </x:c>
    </x:row>
    <x:row r="447" ht="36" customHeight="1">
      <x:c r="A447" s="118" t="n">
        <x:v>442</x:v>
      </x:c>
      <x:c r="B447" s="35" t="str">
        <x:v>action</x:v>
      </x:c>
      <x:c r="C447" s="35" t="str">
        <x:v>bear_guarded_advance</x:v>
      </x:c>
      <x:c r="D447" s="35" t="str">
        <x:v>wall_impact</x:v>
      </x:c>
      <x:c r="E447" s="38" t="str">
        <x:v>bool</x:v>
      </x:c>
      <x:c r="F447" s="56" t="b">
        <x:f>'Actions'!AJ11</x:f>
        <x:v>0</x:v>
      </x:c>
      <x:c r="G447" s="38" t="str"/>
      <x:c r="H447" s="35" t="str">
        <x:v>Actions</x:v>
      </x:c>
      <x:c r="I447" s="35" t="str">
        <x:v>AJ11</x:v>
      </x:c>
      <x:c r="J447" s="85" t="b">
        <x:v>1</x:v>
      </x:c>
      <x:c r="K447" s="85" t="b">
        <x:v>1</x:v>
      </x:c>
      <x:c r="L447" s="56" t="str">
        <x:f>'Actions'!BE11</x:f>
        <x:v>OK</x:v>
      </x:c>
      <x:c r="M447" s="44" t="str">
        <x:v>Источник Actions.Wall Impact</x:v>
      </x:c>
    </x:row>
    <x:row r="448" ht="36" customHeight="1">
      <x:c r="A448" s="118" t="n">
        <x:v>443</x:v>
      </x:c>
      <x:c r="B448" s="35" t="str">
        <x:v>action</x:v>
      </x:c>
      <x:c r="C448" s="35" t="str">
        <x:v>bear_guarded_advance</x:v>
      </x:c>
      <x:c r="D448" s="35" t="str">
        <x:v>track_target</x:v>
      </x:c>
      <x:c r="E448" s="38" t="str">
        <x:v>bool</x:v>
      </x:c>
      <x:c r="F448" s="56" t="b">
        <x:f>'Actions'!AK11</x:f>
        <x:v>1</x:v>
      </x:c>
      <x:c r="G448" s="38" t="str"/>
      <x:c r="H448" s="35" t="str">
        <x:v>Actions</x:v>
      </x:c>
      <x:c r="I448" s="35" t="str">
        <x:v>AK11</x:v>
      </x:c>
      <x:c r="J448" s="85" t="b">
        <x:v>1</x:v>
      </x:c>
      <x:c r="K448" s="85" t="b">
        <x:v>1</x:v>
      </x:c>
      <x:c r="L448" s="56" t="str">
        <x:f>'Actions'!BE11</x:f>
        <x:v>OK</x:v>
      </x:c>
      <x:c r="M448" s="44" t="str">
        <x:v>Источник Actions.Track Target</x:v>
      </x:c>
    </x:row>
    <x:row r="449" ht="36" customHeight="1">
      <x:c r="A449" s="118" t="n">
        <x:v>444</x:v>
      </x:c>
      <x:c r="B449" s="35" t="str">
        <x:v>action</x:v>
      </x:c>
      <x:c r="C449" s="35" t="str">
        <x:v>bear_guarded_advance</x:v>
      </x:c>
      <x:c r="D449" s="35" t="str">
        <x:v>block_base_chance_fp</x:v>
      </x:c>
      <x:c r="E449" s="38" t="str">
        <x:v>int</x:v>
      </x:c>
      <x:c r="F449" s="56" t="n">
        <x:f>'Actions'!AL11</x:f>
        <x:v>550</x:v>
      </x:c>
      <x:c r="G449" s="38" t="str"/>
      <x:c r="H449" s="35" t="str">
        <x:v>Actions</x:v>
      </x:c>
      <x:c r="I449" s="35" t="str">
        <x:v>AL11</x:v>
      </x:c>
      <x:c r="J449" s="85" t="b">
        <x:v>1</x:v>
      </x:c>
      <x:c r="K449" s="85" t="b">
        <x:v>1</x:v>
      </x:c>
      <x:c r="L449" s="56" t="str">
        <x:f>'Actions'!BE11</x:f>
        <x:v>OK</x:v>
      </x:c>
      <x:c r="M449" s="44" t="str">
        <x:v>Источник Actions.Block Base Chance FP</x:v>
      </x:c>
    </x:row>
    <x:row r="450" ht="36" customHeight="1">
      <x:c r="A450" s="118" t="n">
        <x:v>445</x:v>
      </x:c>
      <x:c r="B450" s="35" t="str">
        <x:v>action</x:v>
      </x:c>
      <x:c r="C450" s="35" t="str">
        <x:v>bear_guarded_advance</x:v>
      </x:c>
      <x:c r="D450" s="35" t="str">
        <x:v>block_reduction_fp</x:v>
      </x:c>
      <x:c r="E450" s="38" t="str">
        <x:v>int</x:v>
      </x:c>
      <x:c r="F450" s="56" t="n">
        <x:f>'Actions'!AM11</x:f>
        <x:v>500</x:v>
      </x:c>
      <x:c r="G450" s="38" t="str"/>
      <x:c r="H450" s="35" t="str">
        <x:v>Actions</x:v>
      </x:c>
      <x:c r="I450" s="35" t="str">
        <x:v>AM11</x:v>
      </x:c>
      <x:c r="J450" s="85" t="b">
        <x:v>1</x:v>
      </x:c>
      <x:c r="K450" s="85" t="b">
        <x:v>1</x:v>
      </x:c>
      <x:c r="L450" s="56" t="str">
        <x:f>'Actions'!BE11</x:f>
        <x:v>OK</x:v>
      </x:c>
      <x:c r="M450" s="44" t="str">
        <x:v>Источник Actions.Block Reduction FP</x:v>
      </x:c>
    </x:row>
    <x:row r="451" ht="36" customHeight="1">
      <x:c r="A451" s="118" t="n">
        <x:v>446</x:v>
      </x:c>
      <x:c r="B451" s="35" t="str">
        <x:v>action</x:v>
      </x:c>
      <x:c r="C451" s="35" t="str">
        <x:v>bear_guarded_advance</x:v>
      </x:c>
      <x:c r="D451" s="35" t="str">
        <x:v>dodge_base_chance_fp</x:v>
      </x:c>
      <x:c r="E451" s="38" t="str">
        <x:v>int</x:v>
      </x:c>
      <x:c r="F451" s="56" t="n">
        <x:f>'Actions'!AN11</x:f>
        <x:v>0</x:v>
      </x:c>
      <x:c r="G451" s="38" t="str"/>
      <x:c r="H451" s="35" t="str">
        <x:v>Actions</x:v>
      </x:c>
      <x:c r="I451" s="35" t="str">
        <x:v>AN11</x:v>
      </x:c>
      <x:c r="J451" s="85" t="b">
        <x:v>1</x:v>
      </x:c>
      <x:c r="K451" s="85" t="b">
        <x:v>1</x:v>
      </x:c>
      <x:c r="L451" s="56" t="str">
        <x:f>'Actions'!BE11</x:f>
        <x:v>OK</x:v>
      </x:c>
      <x:c r="M451" s="44" t="str">
        <x:v>Источник Actions.Dodge Base Chance FP</x:v>
      </x:c>
    </x:row>
    <x:row r="452" ht="36" customHeight="1">
      <x:c r="A452" s="118" t="n">
        <x:v>447</x:v>
      </x:c>
      <x:c r="B452" s="35" t="str">
        <x:v>action</x:v>
      </x:c>
      <x:c r="C452" s="35" t="str">
        <x:v>bear_guarded_advance</x:v>
      </x:c>
      <x:c r="D452" s="35" t="str">
        <x:v>movement_mode</x:v>
      </x:c>
      <x:c r="E452" s="38" t="str">
        <x:v>string</x:v>
      </x:c>
      <x:c r="F452" s="56" t="str">
        <x:f>'Actions'!AO11</x:f>
        <x:v>Approach</x:v>
      </x:c>
      <x:c r="G452" s="38" t="str"/>
      <x:c r="H452" s="35" t="str">
        <x:v>Actions</x:v>
      </x:c>
      <x:c r="I452" s="35" t="str">
        <x:v>AO11</x:v>
      </x:c>
      <x:c r="J452" s="85" t="b">
        <x:v>1</x:v>
      </x:c>
      <x:c r="K452" s="85" t="b">
        <x:v>1</x:v>
      </x:c>
      <x:c r="L452" s="56" t="str">
        <x:f>'Actions'!BE11</x:f>
        <x:v>OK</x:v>
      </x:c>
      <x:c r="M452" s="44" t="str">
        <x:v>Источник Actions.Movement Mode</x:v>
      </x:c>
    </x:row>
    <x:row r="453" ht="36" customHeight="1">
      <x:c r="A453" s="118" t="n">
        <x:v>448</x:v>
      </x:c>
      <x:c r="B453" s="35" t="str">
        <x:v>action</x:v>
      </x:c>
      <x:c r="C453" s="35" t="str">
        <x:v>bear_guarded_advance</x:v>
      </x:c>
      <x:c r="D453" s="35" t="str">
        <x:v>move_distance</x:v>
      </x:c>
      <x:c r="E453" s="38" t="str">
        <x:v>int</x:v>
      </x:c>
      <x:c r="F453" s="56" t="n">
        <x:f>'Actions'!AP11</x:f>
        <x:v>700</x:v>
      </x:c>
      <x:c r="G453" s="38" t="str"/>
      <x:c r="H453" s="35" t="str">
        <x:v>Actions</x:v>
      </x:c>
      <x:c r="I453" s="35" t="str">
        <x:v>AP11</x:v>
      </x:c>
      <x:c r="J453" s="85" t="b">
        <x:v>1</x:v>
      </x:c>
      <x:c r="K453" s="85" t="b">
        <x:v>1</x:v>
      </x:c>
      <x:c r="L453" s="56" t="str">
        <x:f>'Actions'!BE11</x:f>
        <x:v>OK</x:v>
      </x:c>
      <x:c r="M453" s="44" t="str">
        <x:v>Источник Actions.Move Distance</x:v>
      </x:c>
    </x:row>
    <x:row r="454" ht="36" customHeight="1">
      <x:c r="A454" s="118" t="n">
        <x:v>449</x:v>
      </x:c>
      <x:c r="B454" s="35" t="str">
        <x:v>action</x:v>
      </x:c>
      <x:c r="C454" s="35" t="str">
        <x:v>bear_guarded_advance</x:v>
      </x:c>
      <x:c r="D454" s="35" t="str">
        <x:v>base_stagger</x:v>
      </x:c>
      <x:c r="E454" s="38" t="str">
        <x:v>int</x:v>
      </x:c>
      <x:c r="F454" s="56" t="n">
        <x:f>'Actions'!AQ11</x:f>
        <x:v>0</x:v>
      </x:c>
      <x:c r="G454" s="38" t="str"/>
      <x:c r="H454" s="35" t="str">
        <x:v>Actions</x:v>
      </x:c>
      <x:c r="I454" s="35" t="str">
        <x:v>AQ11</x:v>
      </x:c>
      <x:c r="J454" s="85" t="b">
        <x:v>1</x:v>
      </x:c>
      <x:c r="K454" s="85" t="b">
        <x:v>1</x:v>
      </x:c>
      <x:c r="L454" s="56" t="str">
        <x:f>'Actions'!BE11</x:f>
        <x:v>OK</x:v>
      </x:c>
      <x:c r="M454" s="44" t="str">
        <x:v>Источник Actions.Base Stagger</x:v>
      </x:c>
    </x:row>
    <x:row r="455" ht="36" customHeight="1">
      <x:c r="A455" s="118" t="n">
        <x:v>450</x:v>
      </x:c>
      <x:c r="B455" s="35" t="str">
        <x:v>action</x:v>
      </x:c>
      <x:c r="C455" s="35" t="str">
        <x:v>bear_guarded_advance</x:v>
      </x:c>
      <x:c r="D455" s="35" t="str">
        <x:v>base_stun_ticks</x:v>
      </x:c>
      <x:c r="E455" s="38" t="str">
        <x:v>int</x:v>
      </x:c>
      <x:c r="F455" s="56" t="n">
        <x:f>'Actions'!AR11</x:f>
        <x:v>0</x:v>
      </x:c>
      <x:c r="G455" s="38" t="str"/>
      <x:c r="H455" s="35" t="str">
        <x:v>Actions</x:v>
      </x:c>
      <x:c r="I455" s="35" t="str">
        <x:v>AR11</x:v>
      </x:c>
      <x:c r="J455" s="85" t="b">
        <x:v>1</x:v>
      </x:c>
      <x:c r="K455" s="85" t="b">
        <x:v>1</x:v>
      </x:c>
      <x:c r="L455" s="56" t="str">
        <x:f>'Actions'!BE11</x:f>
        <x:v>OK</x:v>
      </x:c>
      <x:c r="M455" s="44" t="str">
        <x:v>Источник Actions.Base Stun Ticks</x:v>
      </x:c>
    </x:row>
    <x:row r="456" ht="36" customHeight="1">
      <x:c r="A456" s="118" t="n">
        <x:v>451</x:v>
      </x:c>
      <x:c r="B456" s="35" t="str">
        <x:v>action</x:v>
      </x:c>
      <x:c r="C456" s="35" t="str">
        <x:v>bear_guarded_advance</x:v>
      </x:c>
      <x:c r="D456" s="35" t="str">
        <x:v>base_knockback</x:v>
      </x:c>
      <x:c r="E456" s="38" t="str">
        <x:v>int</x:v>
      </x:c>
      <x:c r="F456" s="56" t="n">
        <x:f>'Actions'!AS11</x:f>
        <x:v>0</x:v>
      </x:c>
      <x:c r="G456" s="38" t="str"/>
      <x:c r="H456" s="35" t="str">
        <x:v>Actions</x:v>
      </x:c>
      <x:c r="I456" s="35" t="str">
        <x:v>AS11</x:v>
      </x:c>
      <x:c r="J456" s="85" t="b">
        <x:v>1</x:v>
      </x:c>
      <x:c r="K456" s="85" t="b">
        <x:v>1</x:v>
      </x:c>
      <x:c r="L456" s="56" t="str">
        <x:f>'Actions'!BE11</x:f>
        <x:v>OK</x:v>
      </x:c>
      <x:c r="M456" s="44" t="str">
        <x:v>Источник Actions.Base Knockback</x:v>
      </x:c>
    </x:row>
    <x:row r="457" ht="36" customHeight="1">
      <x:c r="A457" s="118" t="n">
        <x:v>452</x:v>
      </x:c>
      <x:c r="B457" s="35" t="str">
        <x:v>action</x:v>
      </x:c>
      <x:c r="C457" s="35" t="str">
        <x:v>bear_guarded_advance</x:v>
      </x:c>
      <x:c r="D457" s="35" t="str">
        <x:v>knockback_min</x:v>
      </x:c>
      <x:c r="E457" s="38" t="str">
        <x:v>int</x:v>
      </x:c>
      <x:c r="F457" s="56" t="n">
        <x:f>'Actions'!AT11</x:f>
        <x:v>0</x:v>
      </x:c>
      <x:c r="G457" s="38" t="str"/>
      <x:c r="H457" s="35" t="str">
        <x:v>Actions</x:v>
      </x:c>
      <x:c r="I457" s="35" t="str">
        <x:v>AT11</x:v>
      </x:c>
      <x:c r="J457" s="85" t="b">
        <x:v>1</x:v>
      </x:c>
      <x:c r="K457" s="85" t="b">
        <x:v>1</x:v>
      </x:c>
      <x:c r="L457" s="56" t="str">
        <x:f>'Actions'!BE11</x:f>
        <x:v>OK</x:v>
      </x:c>
      <x:c r="M457" s="44" t="str">
        <x:v>Источник Actions.Knockback Min</x:v>
      </x:c>
    </x:row>
    <x:row r="458" ht="36" customHeight="1">
      <x:c r="A458" s="118" t="n">
        <x:v>453</x:v>
      </x:c>
      <x:c r="B458" s="35" t="str">
        <x:v>action</x:v>
      </x:c>
      <x:c r="C458" s="35" t="str">
        <x:v>bear_guarded_advance</x:v>
      </x:c>
      <x:c r="D458" s="35" t="str">
        <x:v>knockback_max</x:v>
      </x:c>
      <x:c r="E458" s="38" t="str">
        <x:v>int</x:v>
      </x:c>
      <x:c r="F458" s="56" t="n">
        <x:f>'Actions'!AU11</x:f>
        <x:v>0</x:v>
      </x:c>
      <x:c r="G458" s="38" t="str"/>
      <x:c r="H458" s="35" t="str">
        <x:v>Actions</x:v>
      </x:c>
      <x:c r="I458" s="35" t="str">
        <x:v>AU11</x:v>
      </x:c>
      <x:c r="J458" s="85" t="b">
        <x:v>1</x:v>
      </x:c>
      <x:c r="K458" s="85" t="b">
        <x:v>1</x:v>
      </x:c>
      <x:c r="L458" s="56" t="str">
        <x:f>'Actions'!BE11</x:f>
        <x:v>OK</x:v>
      </x:c>
      <x:c r="M458" s="44" t="str">
        <x:v>Источник Actions.Knockback Max</x:v>
      </x:c>
    </x:row>
    <x:row r="459" ht="36" customHeight="1">
      <x:c r="A459" s="118" t="n">
        <x:v>454</x:v>
      </x:c>
      <x:c r="B459" s="35" t="str">
        <x:v>action</x:v>
      </x:c>
      <x:c r="C459" s="35" t="str">
        <x:v>bear_guarded_advance</x:v>
      </x:c>
      <x:c r="D459" s="35" t="str">
        <x:v>wall_damage_per_unit_fp</x:v>
      </x:c>
      <x:c r="E459" s="38" t="str">
        <x:v>int</x:v>
      </x:c>
      <x:c r="F459" s="56" t="n">
        <x:f>'Actions'!AV11</x:f>
        <x:v>0</x:v>
      </x:c>
      <x:c r="G459" s="38" t="str"/>
      <x:c r="H459" s="35" t="str">
        <x:v>Actions</x:v>
      </x:c>
      <x:c r="I459" s="35" t="str">
        <x:v>AV11</x:v>
      </x:c>
      <x:c r="J459" s="85" t="b">
        <x:v>1</x:v>
      </x:c>
      <x:c r="K459" s="85" t="b">
        <x:v>1</x:v>
      </x:c>
      <x:c r="L459" s="56" t="str">
        <x:f>'Actions'!BE11</x:f>
        <x:v>OK</x:v>
      </x:c>
      <x:c r="M459" s="44" t="str">
        <x:v>Источник Actions.Wall Damage / Unit FP</x:v>
      </x:c>
    </x:row>
    <x:row r="460" ht="36" customHeight="1">
      <x:c r="A460" s="118" t="n">
        <x:v>455</x:v>
      </x:c>
      <x:c r="B460" s="35" t="str">
        <x:v>action</x:v>
      </x:c>
      <x:c r="C460" s="35" t="str">
        <x:v>bear_guarded_advance</x:v>
      </x:c>
      <x:c r="D460" s="35" t="str">
        <x:v>wall_damage_min</x:v>
      </x:c>
      <x:c r="E460" s="38" t="str">
        <x:v>int</x:v>
      </x:c>
      <x:c r="F460" s="56" t="n">
        <x:f>'Actions'!AW11</x:f>
        <x:v>0</x:v>
      </x:c>
      <x:c r="G460" s="38" t="str"/>
      <x:c r="H460" s="35" t="str">
        <x:v>Actions</x:v>
      </x:c>
      <x:c r="I460" s="35" t="str">
        <x:v>AW11</x:v>
      </x:c>
      <x:c r="J460" s="85" t="b">
        <x:v>1</x:v>
      </x:c>
      <x:c r="K460" s="85" t="b">
        <x:v>1</x:v>
      </x:c>
      <x:c r="L460" s="56" t="str">
        <x:f>'Actions'!BE11</x:f>
        <x:v>OK</x:v>
      </x:c>
      <x:c r="M460" s="44" t="str">
        <x:v>Источник Actions.Wall Damage Min</x:v>
      </x:c>
    </x:row>
    <x:row r="461" ht="36" customHeight="1">
      <x:c r="A461" s="118" t="n">
        <x:v>456</x:v>
      </x:c>
      <x:c r="B461" s="35" t="str">
        <x:v>action</x:v>
      </x:c>
      <x:c r="C461" s="35" t="str">
        <x:v>bear_guarded_advance</x:v>
      </x:c>
      <x:c r="D461" s="35" t="str">
        <x:v>wall_damage_max</x:v>
      </x:c>
      <x:c r="E461" s="38" t="str">
        <x:v>int</x:v>
      </x:c>
      <x:c r="F461" s="56" t="n">
        <x:f>'Actions'!AX11</x:f>
        <x:v>0</x:v>
      </x:c>
      <x:c r="G461" s="38" t="str"/>
      <x:c r="H461" s="35" t="str">
        <x:v>Actions</x:v>
      </x:c>
      <x:c r="I461" s="35" t="str">
        <x:v>AX11</x:v>
      </x:c>
      <x:c r="J461" s="85" t="b">
        <x:v>1</x:v>
      </x:c>
      <x:c r="K461" s="85" t="b">
        <x:v>1</x:v>
      </x:c>
      <x:c r="L461" s="56" t="str">
        <x:f>'Actions'!BE11</x:f>
        <x:v>OK</x:v>
      </x:c>
      <x:c r="M461" s="44" t="str">
        <x:v>Источник Actions.Wall Damage Max</x:v>
      </x:c>
    </x:row>
    <x:row r="462" ht="36" customHeight="1">
      <x:c r="A462" s="118" t="n">
        <x:v>457</x:v>
      </x:c>
      <x:c r="B462" s="35" t="str">
        <x:v>action</x:v>
      </x:c>
      <x:c r="C462" s="35" t="str">
        <x:v>bear_guarded_advance</x:v>
      </x:c>
      <x:c r="D462" s="35" t="str">
        <x:v>max_consecutive_uses</x:v>
      </x:c>
      <x:c r="E462" s="38" t="str">
        <x:v>int</x:v>
      </x:c>
      <x:c r="F462" s="56" t="n">
        <x:f>'Actions'!AY11</x:f>
        <x:v>1</x:v>
      </x:c>
      <x:c r="G462" s="38" t="str"/>
      <x:c r="H462" s="35" t="str">
        <x:v>Actions</x:v>
      </x:c>
      <x:c r="I462" s="35" t="str">
        <x:v>AY11</x:v>
      </x:c>
      <x:c r="J462" s="85" t="b">
        <x:v>1</x:v>
      </x:c>
      <x:c r="K462" s="85" t="b">
        <x:v>1</x:v>
      </x:c>
      <x:c r="L462" s="56" t="str">
        <x:f>'Actions'!BE11</x:f>
        <x:v>OK</x:v>
      </x:c>
      <x:c r="M462" s="44" t="str">
        <x:v>Источник Actions.Max Consecutive Uses</x:v>
      </x:c>
    </x:row>
    <x:row r="463" ht="36" customHeight="1">
      <x:c r="A463" s="118" t="n">
        <x:v>458</x:v>
      </x:c>
      <x:c r="B463" s="35" t="str">
        <x:v>action</x:v>
      </x:c>
      <x:c r="C463" s="35" t="str">
        <x:v>bear_guarded_advance</x:v>
      </x:c>
      <x:c r="D463" s="35" t="str">
        <x:v>opportunity_cap_fp</x:v>
      </x:c>
      <x:c r="E463" s="38" t="str">
        <x:v>int</x:v>
      </x:c>
      <x:c r="F463" s="56" t="n">
        <x:f>'Actions'!AZ11</x:f>
        <x:v>1000</x:v>
      </x:c>
      <x:c r="G463" s="38" t="str"/>
      <x:c r="H463" s="35" t="str">
        <x:v>Actions</x:v>
      </x:c>
      <x:c r="I463" s="35" t="str">
        <x:v>AZ11</x:v>
      </x:c>
      <x:c r="J463" s="85" t="b">
        <x:v>1</x:v>
      </x:c>
      <x:c r="K463" s="85" t="b">
        <x:v>1</x:v>
      </x:c>
      <x:c r="L463" s="56" t="str">
        <x:f>'Actions'!BE11</x:f>
        <x:v>OK</x:v>
      </x:c>
      <x:c r="M463" s="44" t="str">
        <x:v>Источник Actions.Opportunity Cap FP</x:v>
      </x:c>
    </x:row>
    <x:row r="464" ht="36" customHeight="1">
      <x:c r="A464" s="118" t="n">
        <x:v>459</x:v>
      </x:c>
      <x:c r="B464" s="35" t="str">
        <x:v>action</x:v>
      </x:c>
      <x:c r="C464" s="35" t="str">
        <x:v>bear_guarded_advance</x:v>
      </x:c>
      <x:c r="D464" s="35" t="str">
        <x:v>hard_opportunity_misses</x:v>
      </x:c>
      <x:c r="E464" s="38" t="str">
        <x:v>int</x:v>
      </x:c>
      <x:c r="F464" s="56" t="n">
        <x:f>'Actions'!BA11</x:f>
        <x:v>0</x:v>
      </x:c>
      <x:c r="G464" s="38" t="str"/>
      <x:c r="H464" s="35" t="str">
        <x:v>Actions</x:v>
      </x:c>
      <x:c r="I464" s="35" t="str">
        <x:v>BA11</x:v>
      </x:c>
      <x:c r="J464" s="85" t="b">
        <x:v>1</x:v>
      </x:c>
      <x:c r="K464" s="85" t="b">
        <x:v>1</x:v>
      </x:c>
      <x:c r="L464" s="56" t="str">
        <x:f>'Actions'!BE11</x:f>
        <x:v>OK</x:v>
      </x:c>
      <x:c r="M464" s="44" t="str">
        <x:v>Источник Actions.Hard Opportunity Misses</x:v>
      </x:c>
    </x:row>
    <x:row r="465" ht="36" customHeight="1">
      <x:c r="A465" s="118" t="n">
        <x:v>460</x:v>
      </x:c>
      <x:c r="B465" s="35" t="str">
        <x:v>action</x:v>
      </x:c>
      <x:c r="C465" s="35" t="str">
        <x:v>bear_body_check</x:v>
      </x:c>
      <x:c r="D465" s="35" t="str">
        <x:v>action_id</x:v>
      </x:c>
      <x:c r="E465" s="38" t="str">
        <x:v>string</x:v>
      </x:c>
      <x:c r="F465" s="56" t="str">
        <x:f>'Actions'!A12</x:f>
        <x:v>bear_body_check</x:v>
      </x:c>
      <x:c r="G465" s="38" t="str"/>
      <x:c r="H465" s="35" t="str">
        <x:v>Actions</x:v>
      </x:c>
      <x:c r="I465" s="35" t="str">
        <x:v>A12</x:v>
      </x:c>
      <x:c r="J465" s="85" t="b">
        <x:v>1</x:v>
      </x:c>
      <x:c r="K465" s="85" t="b">
        <x:v>1</x:v>
      </x:c>
      <x:c r="L465" s="56" t="str">
        <x:f>'Actions'!BE12</x:f>
        <x:v>OK</x:v>
      </x:c>
      <x:c r="M465" s="44" t="str">
        <x:v>Источник Actions.Action ID</x:v>
      </x:c>
    </x:row>
    <x:row r="466" ht="36" customHeight="1">
      <x:c r="A466" s="118" t="n">
        <x:v>461</x:v>
      </x:c>
      <x:c r="B466" s="35" t="str">
        <x:v>action</x:v>
      </x:c>
      <x:c r="C466" s="35" t="str">
        <x:v>bear_body_check</x:v>
      </x:c>
      <x:c r="D466" s="35" t="str">
        <x:v>animal_id</x:v>
      </x:c>
      <x:c r="E466" s="38" t="str">
        <x:v>string</x:v>
      </x:c>
      <x:c r="F466" s="56" t="str">
        <x:f>'Actions'!B12</x:f>
        <x:v>bear</x:v>
      </x:c>
      <x:c r="G466" s="38" t="str"/>
      <x:c r="H466" s="35" t="str">
        <x:v>Actions</x:v>
      </x:c>
      <x:c r="I466" s="35" t="str">
        <x:v>B12</x:v>
      </x:c>
      <x:c r="J466" s="85" t="b">
        <x:v>1</x:v>
      </x:c>
      <x:c r="K466" s="85" t="b">
        <x:v>1</x:v>
      </x:c>
      <x:c r="L466" s="56" t="str">
        <x:f>'Actions'!BE12</x:f>
        <x:v>OK</x:v>
      </x:c>
      <x:c r="M466" s="44" t="str">
        <x:v>Источник Actions.Animal ID</x:v>
      </x:c>
    </x:row>
    <x:row r="467" ht="36" customHeight="1">
      <x:c r="A467" s="118" t="n">
        <x:v>462</x:v>
      </x:c>
      <x:c r="B467" s="35" t="str">
        <x:v>action</x:v>
      </x:c>
      <x:c r="C467" s="35" t="str">
        <x:v>bear_body_check</x:v>
      </x:c>
      <x:c r="D467" s="35" t="str">
        <x:v>slot_type</x:v>
      </x:c>
      <x:c r="E467" s="38" t="str">
        <x:v>string</x:v>
      </x:c>
      <x:c r="F467" s="56" t="str">
        <x:f>'Actions'!D12</x:f>
        <x:v>Basic</x:v>
      </x:c>
      <x:c r="G467" s="38" t="str"/>
      <x:c r="H467" s="35" t="str">
        <x:v>Actions</x:v>
      </x:c>
      <x:c r="I467" s="35" t="str">
        <x:v>D12</x:v>
      </x:c>
      <x:c r="J467" s="85" t="b">
        <x:v>1</x:v>
      </x:c>
      <x:c r="K467" s="85" t="b">
        <x:v>1</x:v>
      </x:c>
      <x:c r="L467" s="56" t="str">
        <x:f>'Actions'!BE12</x:f>
        <x:v>OK</x:v>
      </x:c>
      <x:c r="M467" s="44" t="str">
        <x:v>Источник Actions.Slot Type</x:v>
      </x:c>
    </x:row>
    <x:row r="468" ht="36" customHeight="1">
      <x:c r="A468" s="118" t="n">
        <x:v>463</x:v>
      </x:c>
      <x:c r="B468" s="35" t="str">
        <x:v>action</x:v>
      </x:c>
      <x:c r="C468" s="35" t="str">
        <x:v>bear_body_check</x:v>
      </x:c>
      <x:c r="D468" s="35" t="str">
        <x:v>category</x:v>
      </x:c>
      <x:c r="E468" s="38" t="str">
        <x:v>string</x:v>
      </x:c>
      <x:c r="F468" s="56" t="str">
        <x:f>'Actions'!E12</x:f>
        <x:v>ApproachStrike</x:v>
      </x:c>
      <x:c r="G468" s="38" t="str"/>
      <x:c r="H468" s="35" t="str">
        <x:v>Actions</x:v>
      </x:c>
      <x:c r="I468" s="35" t="str">
        <x:v>E12</x:v>
      </x:c>
      <x:c r="J468" s="85" t="b">
        <x:v>1</x:v>
      </x:c>
      <x:c r="K468" s="85" t="b">
        <x:v>1</x:v>
      </x:c>
      <x:c r="L468" s="56" t="str">
        <x:f>'Actions'!BE12</x:f>
        <x:v>OK</x:v>
      </x:c>
      <x:c r="M468" s="44" t="str">
        <x:v>Источник Actions.Category</x:v>
      </x:c>
    </x:row>
    <x:row r="469" ht="36" customHeight="1">
      <x:c r="A469" s="118" t="n">
        <x:v>464</x:v>
      </x:c>
      <x:c r="B469" s="35" t="str">
        <x:v>action</x:v>
      </x:c>
      <x:c r="C469" s="35" t="str">
        <x:v>bear_body_check</x:v>
      </x:c>
      <x:c r="D469" s="35" t="str">
        <x:v>tags</x:v>
      </x:c>
      <x:c r="E469" s="38" t="str">
        <x:v>string</x:v>
      </x:c>
      <x:c r="F469" s="56" t="str">
        <x:f>'Actions'!F12</x:f>
        <x:v>strike|approach|knockback|medium</x:v>
      </x:c>
      <x:c r="G469" s="38" t="str"/>
      <x:c r="H469" s="35" t="str">
        <x:v>Actions</x:v>
      </x:c>
      <x:c r="I469" s="35" t="str">
        <x:v>F12</x:v>
      </x:c>
      <x:c r="J469" s="85" t="b">
        <x:v>1</x:v>
      </x:c>
      <x:c r="K469" s="85" t="b">
        <x:v>1</x:v>
      </x:c>
      <x:c r="L469" s="56" t="str">
        <x:f>'Actions'!BE12</x:f>
        <x:v>OK</x:v>
      </x:c>
      <x:c r="M469" s="44" t="str">
        <x:v>Источник Actions.Tags</x:v>
      </x:c>
    </x:row>
    <x:row r="470" ht="36" customHeight="1">
      <x:c r="A470" s="118" t="n">
        <x:v>465</x:v>
      </x:c>
      <x:c r="B470" s="35" t="str">
        <x:v>action</x:v>
      </x:c>
      <x:c r="C470" s="35" t="str">
        <x:v>bear_body_check</x:v>
      </x:c>
      <x:c r="D470" s="35" t="str">
        <x:v>base_weight</x:v>
      </x:c>
      <x:c r="E470" s="38" t="str">
        <x:v>int</x:v>
      </x:c>
      <x:c r="F470" s="56" t="n">
        <x:f>'Actions'!G12</x:f>
        <x:v>700</x:v>
      </x:c>
      <x:c r="G470" s="38" t="str"/>
      <x:c r="H470" s="35" t="str">
        <x:v>Actions</x:v>
      </x:c>
      <x:c r="I470" s="35" t="str">
        <x:v>G12</x:v>
      </x:c>
      <x:c r="J470" s="85" t="b">
        <x:v>1</x:v>
      </x:c>
      <x:c r="K470" s="85" t="b">
        <x:v>1</x:v>
      </x:c>
      <x:c r="L470" s="56" t="str">
        <x:f>'Actions'!BE12</x:f>
        <x:v>OK</x:v>
      </x:c>
      <x:c r="M470" s="44" t="str">
        <x:v>Источник Actions.Base Weight</x:v>
      </x:c>
    </x:row>
    <x:row r="471" ht="36" customHeight="1">
      <x:c r="A471" s="118" t="n">
        <x:v>466</x:v>
      </x:c>
      <x:c r="B471" s="35" t="str">
        <x:v>action</x:v>
      </x:c>
      <x:c r="C471" s="35" t="str">
        <x:v>bear_body_check</x:v>
      </x:c>
      <x:c r="D471" s="35" t="str">
        <x:v>preferred_range_min</x:v>
      </x:c>
      <x:c r="E471" s="38" t="str">
        <x:v>int</x:v>
      </x:c>
      <x:c r="F471" s="56" t="n">
        <x:f>'Actions'!H12</x:f>
        <x:v>900</x:v>
      </x:c>
      <x:c r="G471" s="38" t="str"/>
      <x:c r="H471" s="35" t="str">
        <x:v>Actions</x:v>
      </x:c>
      <x:c r="I471" s="35" t="str">
        <x:v>H12</x:v>
      </x:c>
      <x:c r="J471" s="85" t="b">
        <x:v>1</x:v>
      </x:c>
      <x:c r="K471" s="85" t="b">
        <x:v>1</x:v>
      </x:c>
      <x:c r="L471" s="56" t="str">
        <x:f>'Actions'!BE12</x:f>
        <x:v>OK</x:v>
      </x:c>
      <x:c r="M471" s="44" t="str">
        <x:v>Источник Actions.Preferred Range Min</x:v>
      </x:c>
    </x:row>
    <x:row r="472" ht="36" customHeight="1">
      <x:c r="A472" s="118" t="n">
        <x:v>467</x:v>
      </x:c>
      <x:c r="B472" s="35" t="str">
        <x:v>action</x:v>
      </x:c>
      <x:c r="C472" s="35" t="str">
        <x:v>bear_body_check</x:v>
      </x:c>
      <x:c r="D472" s="35" t="str">
        <x:v>preferred_range_max</x:v>
      </x:c>
      <x:c r="E472" s="38" t="str">
        <x:v>int</x:v>
      </x:c>
      <x:c r="F472" s="56" t="n">
        <x:f>'Actions'!I12</x:f>
        <x:v>2100</x:v>
      </x:c>
      <x:c r="G472" s="38" t="str"/>
      <x:c r="H472" s="35" t="str">
        <x:v>Actions</x:v>
      </x:c>
      <x:c r="I472" s="35" t="str">
        <x:v>I12</x:v>
      </x:c>
      <x:c r="J472" s="85" t="b">
        <x:v>1</x:v>
      </x:c>
      <x:c r="K472" s="85" t="b">
        <x:v>1</x:v>
      </x:c>
      <x:c r="L472" s="56" t="str">
        <x:f>'Actions'!BE12</x:f>
        <x:v>OK</x:v>
      </x:c>
      <x:c r="M472" s="44" t="str">
        <x:v>Источник Actions.Preferred Range Max</x:v>
      </x:c>
    </x:row>
    <x:row r="473" ht="36" customHeight="1">
      <x:c r="A473" s="118" t="n">
        <x:v>468</x:v>
      </x:c>
      <x:c r="B473" s="35" t="str">
        <x:v>action</x:v>
      </x:c>
      <x:c r="C473" s="35" t="str">
        <x:v>bear_body_check</x:v>
      </x:c>
      <x:c r="D473" s="35" t="str">
        <x:v>hit_range_min</x:v>
      </x:c>
      <x:c r="E473" s="38" t="str">
        <x:v>int</x:v>
      </x:c>
      <x:c r="F473" s="56" t="n">
        <x:f>'Actions'!J12</x:f>
        <x:v>250</x:v>
      </x:c>
      <x:c r="G473" s="38" t="str"/>
      <x:c r="H473" s="35" t="str">
        <x:v>Actions</x:v>
      </x:c>
      <x:c r="I473" s="35" t="str">
        <x:v>J12</x:v>
      </x:c>
      <x:c r="J473" s="85" t="b">
        <x:v>1</x:v>
      </x:c>
      <x:c r="K473" s="85" t="b">
        <x:v>1</x:v>
      </x:c>
      <x:c r="L473" s="56" t="str">
        <x:f>'Actions'!BE12</x:f>
        <x:v>OK</x:v>
      </x:c>
      <x:c r="M473" s="44" t="str">
        <x:v>Источник Actions.Hit Range Min</x:v>
      </x:c>
    </x:row>
    <x:row r="474" ht="36" customHeight="1">
      <x:c r="A474" s="118" t="n">
        <x:v>469</x:v>
      </x:c>
      <x:c r="B474" s="35" t="str">
        <x:v>action</x:v>
      </x:c>
      <x:c r="C474" s="35" t="str">
        <x:v>bear_body_check</x:v>
      </x:c>
      <x:c r="D474" s="35" t="str">
        <x:v>hit_range_max</x:v>
      </x:c>
      <x:c r="E474" s="38" t="str">
        <x:v>int</x:v>
      </x:c>
      <x:c r="F474" s="56" t="n">
        <x:f>'Actions'!K12</x:f>
        <x:v>950</x:v>
      </x:c>
      <x:c r="G474" s="38" t="str"/>
      <x:c r="H474" s="35" t="str">
        <x:v>Actions</x:v>
      </x:c>
      <x:c r="I474" s="35" t="str">
        <x:v>K12</x:v>
      </x:c>
      <x:c r="J474" s="85" t="b">
        <x:v>1</x:v>
      </x:c>
      <x:c r="K474" s="85" t="b">
        <x:v>1</x:v>
      </x:c>
      <x:c r="L474" s="56" t="str">
        <x:f>'Actions'!BE12</x:f>
        <x:v>OK</x:v>
      </x:c>
      <x:c r="M474" s="44" t="str">
        <x:v>Источник Actions.Hit Range Max</x:v>
      </x:c>
    </x:row>
    <x:row r="475" ht="36" customHeight="1">
      <x:c r="A475" s="118" t="n">
        <x:v>470</x:v>
      </x:c>
      <x:c r="B475" s="35" t="str">
        <x:v>action</x:v>
      </x:c>
      <x:c r="C475" s="35" t="str">
        <x:v>bear_body_check</x:v>
      </x:c>
      <x:c r="D475" s="35" t="str">
        <x:v>energy_cost</x:v>
      </x:c>
      <x:c r="E475" s="38" t="str">
        <x:v>int</x:v>
      </x:c>
      <x:c r="F475" s="56" t="n">
        <x:f>'Actions'!L12</x:f>
        <x:v>130</x:v>
      </x:c>
      <x:c r="G475" s="38" t="str"/>
      <x:c r="H475" s="35" t="str">
        <x:v>Actions</x:v>
      </x:c>
      <x:c r="I475" s="35" t="str">
        <x:v>L12</x:v>
      </x:c>
      <x:c r="J475" s="85" t="b">
        <x:v>1</x:v>
      </x:c>
      <x:c r="K475" s="85" t="b">
        <x:v>1</x:v>
      </x:c>
      <x:c r="L475" s="56" t="str">
        <x:f>'Actions'!BE12</x:f>
        <x:v>OK</x:v>
      </x:c>
      <x:c r="M475" s="44" t="str">
        <x:v>Источник Actions.Energy Cost</x:v>
      </x:c>
    </x:row>
    <x:row r="476" ht="36" customHeight="1">
      <x:c r="A476" s="118" t="n">
        <x:v>471</x:v>
      </x:c>
      <x:c r="B476" s="35" t="str">
        <x:v>action</x:v>
      </x:c>
      <x:c r="C476" s="35" t="str">
        <x:v>bear_body_check</x:v>
      </x:c>
      <x:c r="D476" s="35" t="str">
        <x:v>resource_cost</x:v>
      </x:c>
      <x:c r="E476" s="38" t="str">
        <x:v>int</x:v>
      </x:c>
      <x:c r="F476" s="56" t="n">
        <x:f>'Actions'!M12</x:f>
        <x:v>0</x:v>
      </x:c>
      <x:c r="G476" s="38" t="str"/>
      <x:c r="H476" s="35" t="str">
        <x:v>Actions</x:v>
      </x:c>
      <x:c r="I476" s="35" t="str">
        <x:v>M12</x:v>
      </x:c>
      <x:c r="J476" s="85" t="b">
        <x:v>1</x:v>
      </x:c>
      <x:c r="K476" s="85" t="b">
        <x:v>1</x:v>
      </x:c>
      <x:c r="L476" s="56" t="str">
        <x:f>'Actions'!BE12</x:f>
        <x:v>OK</x:v>
      </x:c>
      <x:c r="M476" s="44" t="str">
        <x:v>Источник Actions.Resource Cost</x:v>
      </x:c>
    </x:row>
    <x:row r="477" ht="36" customHeight="1">
      <x:c r="A477" s="118" t="n">
        <x:v>472</x:v>
      </x:c>
      <x:c r="B477" s="35" t="str">
        <x:v>action</x:v>
      </x:c>
      <x:c r="C477" s="35" t="str">
        <x:v>bear_body_check</x:v>
      </x:c>
      <x:c r="D477" s="35" t="str">
        <x:v>base_damage</x:v>
      </x:c>
      <x:c r="E477" s="38" t="str">
        <x:v>int</x:v>
      </x:c>
      <x:c r="F477" s="56" t="n">
        <x:f>'Actions'!N12</x:f>
        <x:v>45</x:v>
      </x:c>
      <x:c r="G477" s="38" t="str"/>
      <x:c r="H477" s="35" t="str">
        <x:v>Actions</x:v>
      </x:c>
      <x:c r="I477" s="35" t="str">
        <x:v>N12</x:v>
      </x:c>
      <x:c r="J477" s="85" t="b">
        <x:v>1</x:v>
      </x:c>
      <x:c r="K477" s="85" t="b">
        <x:v>1</x:v>
      </x:c>
      <x:c r="L477" s="56" t="str">
        <x:f>'Actions'!BE12</x:f>
        <x:v>OK</x:v>
      </x:c>
      <x:c r="M477" s="44" t="str">
        <x:v>Источник Actions.Base Damage / hit</x:v>
      </x:c>
    </x:row>
    <x:row r="478" ht="36" customHeight="1">
      <x:c r="A478" s="118" t="n">
        <x:v>473</x:v>
      </x:c>
      <x:c r="B478" s="35" t="str">
        <x:v>action</x:v>
      </x:c>
      <x:c r="C478" s="35" t="str">
        <x:v>bear_body_check</x:v>
      </x:c>
      <x:c r="D478" s="35" t="str">
        <x:v>power_ratio_fp</x:v>
      </x:c>
      <x:c r="E478" s="38" t="str">
        <x:v>int</x:v>
      </x:c>
      <x:c r="F478" s="56" t="n">
        <x:f>'Actions'!O12</x:f>
        <x:v>650</x:v>
      </x:c>
      <x:c r="G478" s="38" t="str"/>
      <x:c r="H478" s="35" t="str">
        <x:v>Actions</x:v>
      </x:c>
      <x:c r="I478" s="35" t="str">
        <x:v>O12</x:v>
      </x:c>
      <x:c r="J478" s="85" t="b">
        <x:v>1</x:v>
      </x:c>
      <x:c r="K478" s="85" t="b">
        <x:v>1</x:v>
      </x:c>
      <x:c r="L478" s="56" t="str">
        <x:f>'Actions'!BE12</x:f>
        <x:v>OK</x:v>
      </x:c>
      <x:c r="M478" s="44" t="str">
        <x:v>Источник Actions.Power Ratio FP</x:v>
      </x:c>
    </x:row>
    <x:row r="479" ht="36" customHeight="1">
      <x:c r="A479" s="118" t="n">
        <x:v>474</x:v>
      </x:c>
      <x:c r="B479" s="35" t="str">
        <x:v>action</x:v>
      </x:c>
      <x:c r="C479" s="35" t="str">
        <x:v>bear_body_check</x:v>
      </x:c>
      <x:c r="D479" s="35" t="str">
        <x:v>min_damage</x:v>
      </x:c>
      <x:c r="E479" s="38" t="str">
        <x:v>int</x:v>
      </x:c>
      <x:c r="F479" s="56" t="n">
        <x:f>'Actions'!P12</x:f>
        <x:v>18</x:v>
      </x:c>
      <x:c r="G479" s="38" t="str"/>
      <x:c r="H479" s="35" t="str">
        <x:v>Actions</x:v>
      </x:c>
      <x:c r="I479" s="35" t="str">
        <x:v>P12</x:v>
      </x:c>
      <x:c r="J479" s="85" t="b">
        <x:v>1</x:v>
      </x:c>
      <x:c r="K479" s="85" t="b">
        <x:v>1</x:v>
      </x:c>
      <x:c r="L479" s="56" t="str">
        <x:f>'Actions'!BE12</x:f>
        <x:v>OK</x:v>
      </x:c>
      <x:c r="M479" s="44" t="str">
        <x:v>Источник Actions.Min Damage</x:v>
      </x:c>
    </x:row>
    <x:row r="480" ht="36" customHeight="1">
      <x:c r="A480" s="118" t="n">
        <x:v>475</x:v>
      </x:c>
      <x:c r="B480" s="35" t="str">
        <x:v>action</x:v>
      </x:c>
      <x:c r="C480" s="35" t="str">
        <x:v>bear_body_check</x:v>
      </x:c>
      <x:c r="D480" s="35" t="str">
        <x:v>chip_min</x:v>
      </x:c>
      <x:c r="E480" s="38" t="str">
        <x:v>int</x:v>
      </x:c>
      <x:c r="F480" s="56" t="n">
        <x:f>'Actions'!Q12</x:f>
        <x:v>6</x:v>
      </x:c>
      <x:c r="G480" s="38" t="str"/>
      <x:c r="H480" s="35" t="str">
        <x:v>Actions</x:v>
      </x:c>
      <x:c r="I480" s="35" t="str">
        <x:v>Q12</x:v>
      </x:c>
      <x:c r="J480" s="85" t="b">
        <x:v>1</x:v>
      </x:c>
      <x:c r="K480" s="85" t="b">
        <x:v>1</x:v>
      </x:c>
      <x:c r="L480" s="56" t="str">
        <x:f>'Actions'!BE12</x:f>
        <x:v>OK</x:v>
      </x:c>
      <x:c r="M480" s="44" t="str">
        <x:v>Источник Actions.Chip Min</x:v>
      </x:c>
    </x:row>
    <x:row r="481" ht="36" customHeight="1">
      <x:c r="A481" s="118" t="n">
        <x:v>476</x:v>
      </x:c>
      <x:c r="B481" s="35" t="str">
        <x:v>action</x:v>
      </x:c>
      <x:c r="C481" s="35" t="str">
        <x:v>bear_body_check</x:v>
      </x:c>
      <x:c r="D481" s="35" t="str">
        <x:v>startup_base_ticks</x:v>
      </x:c>
      <x:c r="E481" s="38" t="str">
        <x:v>int</x:v>
      </x:c>
      <x:c r="F481" s="56" t="n">
        <x:f>'Actions'!R12</x:f>
        <x:v>5</x:v>
      </x:c>
      <x:c r="G481" s="38" t="str"/>
      <x:c r="H481" s="35" t="str">
        <x:v>Actions</x:v>
      </x:c>
      <x:c r="I481" s="35" t="str">
        <x:v>R12</x:v>
      </x:c>
      <x:c r="J481" s="85" t="b">
        <x:v>1</x:v>
      </x:c>
      <x:c r="K481" s="85" t="b">
        <x:v>1</x:v>
      </x:c>
      <x:c r="L481" s="56" t="str">
        <x:f>'Actions'!BE12</x:f>
        <x:v>OK</x:v>
      </x:c>
      <x:c r="M481" s="44" t="str">
        <x:v>Источник Actions.Startup Base Ticks</x:v>
      </x:c>
    </x:row>
    <x:row r="482" ht="36" customHeight="1">
      <x:c r="A482" s="118" t="n">
        <x:v>477</x:v>
      </x:c>
      <x:c r="B482" s="35" t="str">
        <x:v>action</x:v>
      </x:c>
      <x:c r="C482" s="35" t="str">
        <x:v>bear_body_check</x:v>
      </x:c>
      <x:c r="D482" s="35" t="str">
        <x:v>startup_min_ticks</x:v>
      </x:c>
      <x:c r="E482" s="38" t="str">
        <x:v>int</x:v>
      </x:c>
      <x:c r="F482" s="56" t="n">
        <x:f>'Actions'!S12</x:f>
        <x:v>3</x:v>
      </x:c>
      <x:c r="G482" s="38" t="str"/>
      <x:c r="H482" s="35" t="str">
        <x:v>Actions</x:v>
      </x:c>
      <x:c r="I482" s="35" t="str">
        <x:v>S12</x:v>
      </x:c>
      <x:c r="J482" s="85" t="b">
        <x:v>1</x:v>
      </x:c>
      <x:c r="K482" s="85" t="b">
        <x:v>1</x:v>
      </x:c>
      <x:c r="L482" s="56" t="str">
        <x:f>'Actions'!BE12</x:f>
        <x:v>OK</x:v>
      </x:c>
      <x:c r="M482" s="44" t="str">
        <x:v>Источник Actions.Startup Min Ticks</x:v>
      </x:c>
    </x:row>
    <x:row r="483" ht="36" customHeight="1">
      <x:c r="A483" s="118" t="n">
        <x:v>478</x:v>
      </x:c>
      <x:c r="B483" s="35" t="str">
        <x:v>action</x:v>
      </x:c>
      <x:c r="C483" s="35" t="str">
        <x:v>bear_body_check</x:v>
      </x:c>
      <x:c r="D483" s="35" t="str">
        <x:v>startup_max_ticks</x:v>
      </x:c>
      <x:c r="E483" s="38" t="str">
        <x:v>int</x:v>
      </x:c>
      <x:c r="F483" s="56" t="n">
        <x:f>'Actions'!T12</x:f>
        <x:v>8</x:v>
      </x:c>
      <x:c r="G483" s="38" t="str"/>
      <x:c r="H483" s="35" t="str">
        <x:v>Actions</x:v>
      </x:c>
      <x:c r="I483" s="35" t="str">
        <x:v>T12</x:v>
      </x:c>
      <x:c r="J483" s="85" t="b">
        <x:v>1</x:v>
      </x:c>
      <x:c r="K483" s="85" t="b">
        <x:v>1</x:v>
      </x:c>
      <x:c r="L483" s="56" t="str">
        <x:f>'Actions'!BE12</x:f>
        <x:v>OK</x:v>
      </x:c>
      <x:c r="M483" s="44" t="str">
        <x:v>Источник Actions.Startup Max Ticks</x:v>
      </x:c>
    </x:row>
    <x:row r="484" ht="36" customHeight="1">
      <x:c r="A484" s="118" t="n">
        <x:v>479</x:v>
      </x:c>
      <x:c r="B484" s="35" t="str">
        <x:v>action</x:v>
      </x:c>
      <x:c r="C484" s="35" t="str">
        <x:v>bear_body_check</x:v>
      </x:c>
      <x:c r="D484" s="35" t="str">
        <x:v>active_ticks</x:v>
      </x:c>
      <x:c r="E484" s="38" t="str">
        <x:v>int</x:v>
      </x:c>
      <x:c r="F484" s="56" t="n">
        <x:f>'Actions'!U12</x:f>
        <x:v>1</x:v>
      </x:c>
      <x:c r="G484" s="38" t="str"/>
      <x:c r="H484" s="35" t="str">
        <x:v>Actions</x:v>
      </x:c>
      <x:c r="I484" s="35" t="str">
        <x:v>U12</x:v>
      </x:c>
      <x:c r="J484" s="85" t="b">
        <x:v>1</x:v>
      </x:c>
      <x:c r="K484" s="85" t="b">
        <x:v>1</x:v>
      </x:c>
      <x:c r="L484" s="56" t="str">
        <x:f>'Actions'!BE12</x:f>
        <x:v>OK</x:v>
      </x:c>
      <x:c r="M484" s="44" t="str">
        <x:v>Источник Actions.Active Ticks</x:v>
      </x:c>
    </x:row>
    <x:row r="485" ht="36" customHeight="1">
      <x:c r="A485" s="118" t="n">
        <x:v>480</x:v>
      </x:c>
      <x:c r="B485" s="35" t="str">
        <x:v>action</x:v>
      </x:c>
      <x:c r="C485" s="35" t="str">
        <x:v>bear_body_check</x:v>
      </x:c>
      <x:c r="D485" s="35" t="str">
        <x:v>hit_schedule</x:v>
      </x:c>
      <x:c r="E485" s="38" t="str">
        <x:v>string</x:v>
      </x:c>
      <x:c r="F485" s="56" t="str">
        <x:f>'Actions'!V12</x:f>
        <x:v>0</x:v>
      </x:c>
      <x:c r="G485" s="38" t="str"/>
      <x:c r="H485" s="35" t="str">
        <x:v>Actions</x:v>
      </x:c>
      <x:c r="I485" s="35" t="str">
        <x:v>V12</x:v>
      </x:c>
      <x:c r="J485" s="85" t="b">
        <x:v>1</x:v>
      </x:c>
      <x:c r="K485" s="85" t="b">
        <x:v>1</x:v>
      </x:c>
      <x:c r="L485" s="56" t="str">
        <x:f>'Actions'!BE12</x:f>
        <x:v>OK</x:v>
      </x:c>
      <x:c r="M485" s="44" t="str">
        <x:v>Источник Actions.Hit Schedule</x:v>
      </x:c>
    </x:row>
    <x:row r="486" ht="36" customHeight="1">
      <x:c r="A486" s="118" t="n">
        <x:v>481</x:v>
      </x:c>
      <x:c r="B486" s="35" t="str">
        <x:v>action</x:v>
      </x:c>
      <x:c r="C486" s="35" t="str">
        <x:v>bear_body_check</x:v>
      </x:c>
      <x:c r="D486" s="35" t="str">
        <x:v>hit_count</x:v>
      </x:c>
      <x:c r="E486" s="38" t="str">
        <x:v>int</x:v>
      </x:c>
      <x:c r="F486" s="56" t="n">
        <x:f>'Actions'!W12</x:f>
        <x:v>1</x:v>
      </x:c>
      <x:c r="G486" s="38" t="str"/>
      <x:c r="H486" s="35" t="str">
        <x:v>Actions</x:v>
      </x:c>
      <x:c r="I486" s="35" t="str">
        <x:v>W12</x:v>
      </x:c>
      <x:c r="J486" s="85" t="b">
        <x:v>1</x:v>
      </x:c>
      <x:c r="K486" s="85" t="b">
        <x:v>1</x:v>
      </x:c>
      <x:c r="L486" s="56" t="str">
        <x:f>'Actions'!BE12</x:f>
        <x:v>OK</x:v>
      </x:c>
      <x:c r="M486" s="44" t="str">
        <x:v>Источник Actions.Hit Count</x:v>
      </x:c>
    </x:row>
    <x:row r="487" ht="36" customHeight="1">
      <x:c r="A487" s="118" t="n">
        <x:v>482</x:v>
      </x:c>
      <x:c r="B487" s="35" t="str">
        <x:v>action</x:v>
      </x:c>
      <x:c r="C487" s="35" t="str">
        <x:v>bear_body_check</x:v>
      </x:c>
      <x:c r="D487" s="35" t="str">
        <x:v>recovery_base_ticks</x:v>
      </x:c>
      <x:c r="E487" s="38" t="str">
        <x:v>int</x:v>
      </x:c>
      <x:c r="F487" s="56" t="n">
        <x:f>'Actions'!X12</x:f>
        <x:v>10</x:v>
      </x:c>
      <x:c r="G487" s="38" t="str"/>
      <x:c r="H487" s="35" t="str">
        <x:v>Actions</x:v>
      </x:c>
      <x:c r="I487" s="35" t="str">
        <x:v>X12</x:v>
      </x:c>
      <x:c r="J487" s="85" t="b">
        <x:v>1</x:v>
      </x:c>
      <x:c r="K487" s="85" t="b">
        <x:v>1</x:v>
      </x:c>
      <x:c r="L487" s="56" t="str">
        <x:f>'Actions'!BE12</x:f>
        <x:v>OK</x:v>
      </x:c>
      <x:c r="M487" s="44" t="str">
        <x:v>Источник Actions.Recovery Base Ticks</x:v>
      </x:c>
    </x:row>
    <x:row r="488" ht="36" customHeight="1">
      <x:c r="A488" s="118" t="n">
        <x:v>483</x:v>
      </x:c>
      <x:c r="B488" s="35" t="str">
        <x:v>action</x:v>
      </x:c>
      <x:c r="C488" s="35" t="str">
        <x:v>bear_body_check</x:v>
      </x:c>
      <x:c r="D488" s="35" t="str">
        <x:v>recovery_min_ticks</x:v>
      </x:c>
      <x:c r="E488" s="38" t="str">
        <x:v>int</x:v>
      </x:c>
      <x:c r="F488" s="56" t="n">
        <x:f>'Actions'!Y12</x:f>
        <x:v>7</x:v>
      </x:c>
      <x:c r="G488" s="38" t="str"/>
      <x:c r="H488" s="35" t="str">
        <x:v>Actions</x:v>
      </x:c>
      <x:c r="I488" s="35" t="str">
        <x:v>Y12</x:v>
      </x:c>
      <x:c r="J488" s="85" t="b">
        <x:v>1</x:v>
      </x:c>
      <x:c r="K488" s="85" t="b">
        <x:v>1</x:v>
      </x:c>
      <x:c r="L488" s="56" t="str">
        <x:f>'Actions'!BE12</x:f>
        <x:v>OK</x:v>
      </x:c>
      <x:c r="M488" s="44" t="str">
        <x:v>Источник Actions.Recovery Min Ticks</x:v>
      </x:c>
    </x:row>
    <x:row r="489" ht="36" customHeight="1">
      <x:c r="A489" s="118" t="n">
        <x:v>484</x:v>
      </x:c>
      <x:c r="B489" s="35" t="str">
        <x:v>action</x:v>
      </x:c>
      <x:c r="C489" s="35" t="str">
        <x:v>bear_body_check</x:v>
      </x:c>
      <x:c r="D489" s="35" t="str">
        <x:v>recovery_max_ticks</x:v>
      </x:c>
      <x:c r="E489" s="38" t="str">
        <x:v>int</x:v>
      </x:c>
      <x:c r="F489" s="56" t="n">
        <x:f>'Actions'!Z12</x:f>
        <x:v>15</x:v>
      </x:c>
      <x:c r="G489" s="38" t="str"/>
      <x:c r="H489" s="35" t="str">
        <x:v>Actions</x:v>
      </x:c>
      <x:c r="I489" s="35" t="str">
        <x:v>Z12</x:v>
      </x:c>
      <x:c r="J489" s="85" t="b">
        <x:v>1</x:v>
      </x:c>
      <x:c r="K489" s="85" t="b">
        <x:v>1</x:v>
      </x:c>
      <x:c r="L489" s="56" t="str">
        <x:f>'Actions'!BE12</x:f>
        <x:v>OK</x:v>
      </x:c>
      <x:c r="M489" s="44" t="str">
        <x:v>Источник Actions.Recovery Max Ticks</x:v>
      </x:c>
    </x:row>
    <x:row r="490" ht="36" customHeight="1">
      <x:c r="A490" s="118" t="n">
        <x:v>485</x:v>
      </x:c>
      <x:c r="B490" s="35" t="str">
        <x:v>action</x:v>
      </x:c>
      <x:c r="C490" s="35" t="str">
        <x:v>bear_body_check</x:v>
      </x:c>
      <x:c r="D490" s="35" t="str">
        <x:v>cooldown_ticks</x:v>
      </x:c>
      <x:c r="E490" s="38" t="str">
        <x:v>int</x:v>
      </x:c>
      <x:c r="F490" s="56" t="n">
        <x:f>'Actions'!AA12</x:f>
        <x:v>25</x:v>
      </x:c>
      <x:c r="G490" s="38" t="str"/>
      <x:c r="H490" s="35" t="str">
        <x:v>Actions</x:v>
      </x:c>
      <x:c r="I490" s="35" t="str">
        <x:v>AA12</x:v>
      </x:c>
      <x:c r="J490" s="85" t="b">
        <x:v>1</x:v>
      </x:c>
      <x:c r="K490" s="85" t="b">
        <x:v>1</x:v>
      </x:c>
      <x:c r="L490" s="56" t="str">
        <x:f>'Actions'!BE12</x:f>
        <x:v>OK</x:v>
      </x:c>
      <x:c r="M490" s="44" t="str">
        <x:v>Источник Actions.Cooldown Ticks</x:v>
      </x:c>
    </x:row>
    <x:row r="491" ht="36" customHeight="1">
      <x:c r="A491" s="118" t="n">
        <x:v>486</x:v>
      </x:c>
      <x:c r="B491" s="35" t="str">
        <x:v>action</x:v>
      </x:c>
      <x:c r="C491" s="35" t="str">
        <x:v>bear_body_check</x:v>
      </x:c>
      <x:c r="D491" s="35" t="str">
        <x:v>action_priority</x:v>
      </x:c>
      <x:c r="E491" s="38" t="str">
        <x:v>int</x:v>
      </x:c>
      <x:c r="F491" s="56" t="n">
        <x:f>'Actions'!AB12</x:f>
        <x:v>35</x:v>
      </x:c>
      <x:c r="G491" s="38" t="str"/>
      <x:c r="H491" s="35" t="str">
        <x:v>Actions</x:v>
      </x:c>
      <x:c r="I491" s="35" t="str">
        <x:v>AB12</x:v>
      </x:c>
      <x:c r="J491" s="85" t="b">
        <x:v>1</x:v>
      </x:c>
      <x:c r="K491" s="85" t="b">
        <x:v>1</x:v>
      </x:c>
      <x:c r="L491" s="56" t="str">
        <x:f>'Actions'!BE12</x:f>
        <x:v>OK</x:v>
      </x:c>
      <x:c r="M491" s="44" t="str">
        <x:v>Источник Actions.Action Priority</x:v>
      </x:c>
    </x:row>
    <x:row r="492" ht="36" customHeight="1">
      <x:c r="A492" s="118" t="n">
        <x:v>487</x:v>
      </x:c>
      <x:c r="B492" s="35" t="str">
        <x:v>action</x:v>
      </x:c>
      <x:c r="C492" s="35" t="str">
        <x:v>bear_body_check</x:v>
      </x:c>
      <x:c r="D492" s="35" t="str">
        <x:v>clash_priority</x:v>
      </x:c>
      <x:c r="E492" s="38" t="str">
        <x:v>int</x:v>
      </x:c>
      <x:c r="F492" s="56" t="n">
        <x:f>'Actions'!AC12</x:f>
        <x:v>35</x:v>
      </x:c>
      <x:c r="G492" s="38" t="str"/>
      <x:c r="H492" s="35" t="str">
        <x:v>Actions</x:v>
      </x:c>
      <x:c r="I492" s="35" t="str">
        <x:v>AC12</x:v>
      </x:c>
      <x:c r="J492" s="85" t="b">
        <x:v>1</x:v>
      </x:c>
      <x:c r="K492" s="85" t="b">
        <x:v>1</x:v>
      </x:c>
      <x:c r="L492" s="56" t="str">
        <x:f>'Actions'!BE12</x:f>
        <x:v>OK</x:v>
      </x:c>
      <x:c r="M492" s="44" t="str">
        <x:v>Источник Actions.Clash Priority</x:v>
      </x:c>
    </x:row>
    <x:row r="493" ht="36" customHeight="1">
      <x:c r="A493" s="118" t="n">
        <x:v>488</x:v>
      </x:c>
      <x:c r="B493" s="35" t="str">
        <x:v>action</x:v>
      </x:c>
      <x:c r="C493" s="35" t="str">
        <x:v>bear_body_check</x:v>
      </x:c>
      <x:c r="D493" s="35" t="str">
        <x:v>grab_priority</x:v>
      </x:c>
      <x:c r="E493" s="38" t="str">
        <x:v>int</x:v>
      </x:c>
      <x:c r="F493" s="56" t="n">
        <x:f>'Actions'!AD12</x:f>
        <x:v>0</x:v>
      </x:c>
      <x:c r="G493" s="38" t="str"/>
      <x:c r="H493" s="35" t="str">
        <x:v>Actions</x:v>
      </x:c>
      <x:c r="I493" s="35" t="str">
        <x:v>AD12</x:v>
      </x:c>
      <x:c r="J493" s="85" t="b">
        <x:v>1</x:v>
      </x:c>
      <x:c r="K493" s="85" t="b">
        <x:v>1</x:v>
      </x:c>
      <x:c r="L493" s="56" t="str">
        <x:f>'Actions'!BE12</x:f>
        <x:v>OK</x:v>
      </x:c>
      <x:c r="M493" s="44" t="str">
        <x:v>Источник Actions.Grab Priority</x:v>
      </x:c>
    </x:row>
    <x:row r="494" ht="36" customHeight="1">
      <x:c r="A494" s="118" t="n">
        <x:v>489</x:v>
      </x:c>
      <x:c r="B494" s="35" t="str">
        <x:v>action</x:v>
      </x:c>
      <x:c r="C494" s="35" t="str">
        <x:v>bear_body_check</x:v>
      </x:c>
      <x:c r="D494" s="35" t="str">
        <x:v>resolution_priority</x:v>
      </x:c>
      <x:c r="E494" s="38" t="str">
        <x:v>int</x:v>
      </x:c>
      <x:c r="F494" s="56" t="n">
        <x:f>'Actions'!AE12</x:f>
        <x:v>35</x:v>
      </x:c>
      <x:c r="G494" s="38" t="str"/>
      <x:c r="H494" s="35" t="str">
        <x:v>Actions</x:v>
      </x:c>
      <x:c r="I494" s="35" t="str">
        <x:v>AE12</x:v>
      </x:c>
      <x:c r="J494" s="85" t="b">
        <x:v>1</x:v>
      </x:c>
      <x:c r="K494" s="85" t="b">
        <x:v>1</x:v>
      </x:c>
      <x:c r="L494" s="56" t="str">
        <x:f>'Actions'!BE12</x:f>
        <x:v>OK</x:v>
      </x:c>
      <x:c r="M494" s="44" t="str">
        <x:v>Источник Actions.Resolution Priority</x:v>
      </x:c>
    </x:row>
    <x:row r="495" ht="36" customHeight="1">
      <x:c r="A495" s="118" t="n">
        <x:v>490</x:v>
      </x:c>
      <x:c r="B495" s="35" t="str">
        <x:v>action</x:v>
      </x:c>
      <x:c r="C495" s="35" t="str">
        <x:v>bear_body_check</x:v>
      </x:c>
      <x:c r="D495" s="35" t="str">
        <x:v>interrupt_profile</x:v>
      </x:c>
      <x:c r="E495" s="38" t="str">
        <x:v>string</x:v>
      </x:c>
      <x:c r="F495" s="56" t="str">
        <x:f>'Actions'!AF12</x:f>
        <x:v>Armored</x:v>
      </x:c>
      <x:c r="G495" s="38" t="str"/>
      <x:c r="H495" s="35" t="str">
        <x:v>Actions</x:v>
      </x:c>
      <x:c r="I495" s="35" t="str">
        <x:v>AF12</x:v>
      </x:c>
      <x:c r="J495" s="85" t="b">
        <x:v>1</x:v>
      </x:c>
      <x:c r="K495" s="85" t="b">
        <x:v>1</x:v>
      </x:c>
      <x:c r="L495" s="56" t="str">
        <x:f>'Actions'!BE12</x:f>
        <x:v>OK</x:v>
      </x:c>
      <x:c r="M495" s="44" t="str">
        <x:v>Источник Actions.Interrupt Profile</x:v>
      </x:c>
    </x:row>
    <x:row r="496" ht="36" customHeight="1">
      <x:c r="A496" s="118" t="n">
        <x:v>491</x:v>
      </x:c>
      <x:c r="B496" s="35" t="str">
        <x:v>action</x:v>
      </x:c>
      <x:c r="C496" s="35" t="str">
        <x:v>bear_body_check</x:v>
      </x:c>
      <x:c r="D496" s="35" t="str">
        <x:v>blockable</x:v>
      </x:c>
      <x:c r="E496" s="38" t="str">
        <x:v>bool</x:v>
      </x:c>
      <x:c r="F496" s="56" t="b">
        <x:f>'Actions'!AG12</x:f>
        <x:v>1</x:v>
      </x:c>
      <x:c r="G496" s="38" t="str"/>
      <x:c r="H496" s="35" t="str">
        <x:v>Actions</x:v>
      </x:c>
      <x:c r="I496" s="35" t="str">
        <x:v>AG12</x:v>
      </x:c>
      <x:c r="J496" s="85" t="b">
        <x:v>1</x:v>
      </x:c>
      <x:c r="K496" s="85" t="b">
        <x:v>1</x:v>
      </x:c>
      <x:c r="L496" s="56" t="str">
        <x:f>'Actions'!BE12</x:f>
        <x:v>OK</x:v>
      </x:c>
      <x:c r="M496" s="44" t="str">
        <x:v>Источник Actions.Blockable</x:v>
      </x:c>
    </x:row>
    <x:row r="497" ht="36" customHeight="1">
      <x:c r="A497" s="118" t="n">
        <x:v>492</x:v>
      </x:c>
      <x:c r="B497" s="35" t="str">
        <x:v>action</x:v>
      </x:c>
      <x:c r="C497" s="35" t="str">
        <x:v>bear_body_check</x:v>
      </x:c>
      <x:c r="D497" s="35" t="str">
        <x:v>dodgeable</x:v>
      </x:c>
      <x:c r="E497" s="38" t="str">
        <x:v>bool</x:v>
      </x:c>
      <x:c r="F497" s="56" t="b">
        <x:f>'Actions'!AH12</x:f>
        <x:v>1</x:v>
      </x:c>
      <x:c r="G497" s="38" t="str"/>
      <x:c r="H497" s="35" t="str">
        <x:v>Actions</x:v>
      </x:c>
      <x:c r="I497" s="35" t="str">
        <x:v>AH12</x:v>
      </x:c>
      <x:c r="J497" s="85" t="b">
        <x:v>1</x:v>
      </x:c>
      <x:c r="K497" s="85" t="b">
        <x:v>1</x:v>
      </x:c>
      <x:c r="L497" s="56" t="str">
        <x:f>'Actions'!BE12</x:f>
        <x:v>OK</x:v>
      </x:c>
      <x:c r="M497" s="44" t="str">
        <x:v>Источник Actions.Dodgeable</x:v>
      </x:c>
    </x:row>
    <x:row r="498" ht="36" customHeight="1">
      <x:c r="A498" s="118" t="n">
        <x:v>493</x:v>
      </x:c>
      <x:c r="B498" s="35" t="str">
        <x:v>action</x:v>
      </x:c>
      <x:c r="C498" s="35" t="str">
        <x:v>bear_body_check</x:v>
      </x:c>
      <x:c r="D498" s="35" t="str">
        <x:v>undodgeable</x:v>
      </x:c>
      <x:c r="E498" s="38" t="str">
        <x:v>bool</x:v>
      </x:c>
      <x:c r="F498" s="56" t="b">
        <x:f>'Actions'!AI12</x:f>
        <x:v>0</x:v>
      </x:c>
      <x:c r="G498" s="38" t="str"/>
      <x:c r="H498" s="35" t="str">
        <x:v>Actions</x:v>
      </x:c>
      <x:c r="I498" s="35" t="str">
        <x:v>AI12</x:v>
      </x:c>
      <x:c r="J498" s="85" t="b">
        <x:v>1</x:v>
      </x:c>
      <x:c r="K498" s="85" t="b">
        <x:v>1</x:v>
      </x:c>
      <x:c r="L498" s="56" t="str">
        <x:f>'Actions'!BE12</x:f>
        <x:v>OK</x:v>
      </x:c>
      <x:c r="M498" s="44" t="str">
        <x:v>Источник Actions.Undodgeable</x:v>
      </x:c>
    </x:row>
    <x:row r="499" ht="36" customHeight="1">
      <x:c r="A499" s="118" t="n">
        <x:v>494</x:v>
      </x:c>
      <x:c r="B499" s="35" t="str">
        <x:v>action</x:v>
      </x:c>
      <x:c r="C499" s="35" t="str">
        <x:v>bear_body_check</x:v>
      </x:c>
      <x:c r="D499" s="35" t="str">
        <x:v>wall_impact</x:v>
      </x:c>
      <x:c r="E499" s="38" t="str">
        <x:v>bool</x:v>
      </x:c>
      <x:c r="F499" s="56" t="b">
        <x:f>'Actions'!AJ12</x:f>
        <x:v>0</x:v>
      </x:c>
      <x:c r="G499" s="38" t="str"/>
      <x:c r="H499" s="35" t="str">
        <x:v>Actions</x:v>
      </x:c>
      <x:c r="I499" s="35" t="str">
        <x:v>AJ12</x:v>
      </x:c>
      <x:c r="J499" s="85" t="b">
        <x:v>1</x:v>
      </x:c>
      <x:c r="K499" s="85" t="b">
        <x:v>1</x:v>
      </x:c>
      <x:c r="L499" s="56" t="str">
        <x:f>'Actions'!BE12</x:f>
        <x:v>OK</x:v>
      </x:c>
      <x:c r="M499" s="44" t="str">
        <x:v>Источник Actions.Wall Impact</x:v>
      </x:c>
    </x:row>
    <x:row r="500" ht="36" customHeight="1">
      <x:c r="A500" s="118" t="n">
        <x:v>495</x:v>
      </x:c>
      <x:c r="B500" s="35" t="str">
        <x:v>action</x:v>
      </x:c>
      <x:c r="C500" s="35" t="str">
        <x:v>bear_body_check</x:v>
      </x:c>
      <x:c r="D500" s="35" t="str">
        <x:v>track_target</x:v>
      </x:c>
      <x:c r="E500" s="38" t="str">
        <x:v>bool</x:v>
      </x:c>
      <x:c r="F500" s="56" t="b">
        <x:f>'Actions'!AK12</x:f>
        <x:v>0</x:v>
      </x:c>
      <x:c r="G500" s="38" t="str"/>
      <x:c r="H500" s="35" t="str">
        <x:v>Actions</x:v>
      </x:c>
      <x:c r="I500" s="35" t="str">
        <x:v>AK12</x:v>
      </x:c>
      <x:c r="J500" s="85" t="b">
        <x:v>1</x:v>
      </x:c>
      <x:c r="K500" s="85" t="b">
        <x:v>1</x:v>
      </x:c>
      <x:c r="L500" s="56" t="str">
        <x:f>'Actions'!BE12</x:f>
        <x:v>OK</x:v>
      </x:c>
      <x:c r="M500" s="44" t="str">
        <x:v>Источник Actions.Track Target</x:v>
      </x:c>
    </x:row>
    <x:row r="501" ht="36" customHeight="1">
      <x:c r="A501" s="118" t="n">
        <x:v>496</x:v>
      </x:c>
      <x:c r="B501" s="35" t="str">
        <x:v>action</x:v>
      </x:c>
      <x:c r="C501" s="35" t="str">
        <x:v>bear_body_check</x:v>
      </x:c>
      <x:c r="D501" s="35" t="str">
        <x:v>block_base_chance_fp</x:v>
      </x:c>
      <x:c r="E501" s="38" t="str">
        <x:v>int</x:v>
      </x:c>
      <x:c r="F501" s="56" t="n">
        <x:f>'Actions'!AL12</x:f>
        <x:v>0</x:v>
      </x:c>
      <x:c r="G501" s="38" t="str"/>
      <x:c r="H501" s="35" t="str">
        <x:v>Actions</x:v>
      </x:c>
      <x:c r="I501" s="35" t="str">
        <x:v>AL12</x:v>
      </x:c>
      <x:c r="J501" s="85" t="b">
        <x:v>1</x:v>
      </x:c>
      <x:c r="K501" s="85" t="b">
        <x:v>1</x:v>
      </x:c>
      <x:c r="L501" s="56" t="str">
        <x:f>'Actions'!BE12</x:f>
        <x:v>OK</x:v>
      </x:c>
      <x:c r="M501" s="44" t="str">
        <x:v>Источник Actions.Block Base Chance FP</x:v>
      </x:c>
    </x:row>
    <x:row r="502" ht="36" customHeight="1">
      <x:c r="A502" s="118" t="n">
        <x:v>497</x:v>
      </x:c>
      <x:c r="B502" s="35" t="str">
        <x:v>action</x:v>
      </x:c>
      <x:c r="C502" s="35" t="str">
        <x:v>bear_body_check</x:v>
      </x:c>
      <x:c r="D502" s="35" t="str">
        <x:v>block_reduction_fp</x:v>
      </x:c>
      <x:c r="E502" s="38" t="str">
        <x:v>int</x:v>
      </x:c>
      <x:c r="F502" s="56" t="n">
        <x:f>'Actions'!AM12</x:f>
        <x:v>0</x:v>
      </x:c>
      <x:c r="G502" s="38" t="str"/>
      <x:c r="H502" s="35" t="str">
        <x:v>Actions</x:v>
      </x:c>
      <x:c r="I502" s="35" t="str">
        <x:v>AM12</x:v>
      </x:c>
      <x:c r="J502" s="85" t="b">
        <x:v>1</x:v>
      </x:c>
      <x:c r="K502" s="85" t="b">
        <x:v>1</x:v>
      </x:c>
      <x:c r="L502" s="56" t="str">
        <x:f>'Actions'!BE12</x:f>
        <x:v>OK</x:v>
      </x:c>
      <x:c r="M502" s="44" t="str">
        <x:v>Источник Actions.Block Reduction FP</x:v>
      </x:c>
    </x:row>
    <x:row r="503" ht="36" customHeight="1">
      <x:c r="A503" s="118" t="n">
        <x:v>498</x:v>
      </x:c>
      <x:c r="B503" s="35" t="str">
        <x:v>action</x:v>
      </x:c>
      <x:c r="C503" s="35" t="str">
        <x:v>bear_body_check</x:v>
      </x:c>
      <x:c r="D503" s="35" t="str">
        <x:v>dodge_base_chance_fp</x:v>
      </x:c>
      <x:c r="E503" s="38" t="str">
        <x:v>int</x:v>
      </x:c>
      <x:c r="F503" s="56" t="n">
        <x:f>'Actions'!AN12</x:f>
        <x:v>0</x:v>
      </x:c>
      <x:c r="G503" s="38" t="str"/>
      <x:c r="H503" s="35" t="str">
        <x:v>Actions</x:v>
      </x:c>
      <x:c r="I503" s="35" t="str">
        <x:v>AN12</x:v>
      </x:c>
      <x:c r="J503" s="85" t="b">
        <x:v>1</x:v>
      </x:c>
      <x:c r="K503" s="85" t="b">
        <x:v>1</x:v>
      </x:c>
      <x:c r="L503" s="56" t="str">
        <x:f>'Actions'!BE12</x:f>
        <x:v>OK</x:v>
      </x:c>
      <x:c r="M503" s="44" t="str">
        <x:v>Источник Actions.Dodge Base Chance FP</x:v>
      </x:c>
    </x:row>
    <x:row r="504" ht="36" customHeight="1">
      <x:c r="A504" s="118" t="n">
        <x:v>499</x:v>
      </x:c>
      <x:c r="B504" s="35" t="str">
        <x:v>action</x:v>
      </x:c>
      <x:c r="C504" s="35" t="str">
        <x:v>bear_body_check</x:v>
      </x:c>
      <x:c r="D504" s="35" t="str">
        <x:v>movement_mode</x:v>
      </x:c>
      <x:c r="E504" s="38" t="str">
        <x:v>string</x:v>
      </x:c>
      <x:c r="F504" s="56" t="str">
        <x:f>'Actions'!AO12</x:f>
        <x:v>Approach</x:v>
      </x:c>
      <x:c r="G504" s="38" t="str"/>
      <x:c r="H504" s="35" t="str">
        <x:v>Actions</x:v>
      </x:c>
      <x:c r="I504" s="35" t="str">
        <x:v>AO12</x:v>
      </x:c>
      <x:c r="J504" s="85" t="b">
        <x:v>1</x:v>
      </x:c>
      <x:c r="K504" s="85" t="b">
        <x:v>1</x:v>
      </x:c>
      <x:c r="L504" s="56" t="str">
        <x:f>'Actions'!BE12</x:f>
        <x:v>OK</x:v>
      </x:c>
      <x:c r="M504" s="44" t="str">
        <x:v>Источник Actions.Movement Mode</x:v>
      </x:c>
    </x:row>
    <x:row r="505" ht="36" customHeight="1">
      <x:c r="A505" s="118" t="n">
        <x:v>500</x:v>
      </x:c>
      <x:c r="B505" s="35" t="str">
        <x:v>action</x:v>
      </x:c>
      <x:c r="C505" s="35" t="str">
        <x:v>bear_body_check</x:v>
      </x:c>
      <x:c r="D505" s="35" t="str">
        <x:v>move_distance</x:v>
      </x:c>
      <x:c r="E505" s="38" t="str">
        <x:v>int</x:v>
      </x:c>
      <x:c r="F505" s="56" t="n">
        <x:f>'Actions'!AP12</x:f>
        <x:v>1100</x:v>
      </x:c>
      <x:c r="G505" s="38" t="str"/>
      <x:c r="H505" s="35" t="str">
        <x:v>Actions</x:v>
      </x:c>
      <x:c r="I505" s="35" t="str">
        <x:v>AP12</x:v>
      </x:c>
      <x:c r="J505" s="85" t="b">
        <x:v>1</x:v>
      </x:c>
      <x:c r="K505" s="85" t="b">
        <x:v>1</x:v>
      </x:c>
      <x:c r="L505" s="56" t="str">
        <x:f>'Actions'!BE12</x:f>
        <x:v>OK</x:v>
      </x:c>
      <x:c r="M505" s="44" t="str">
        <x:v>Источник Actions.Move Distance</x:v>
      </x:c>
    </x:row>
    <x:row r="506" ht="36" customHeight="1">
      <x:c r="A506" s="118" t="n">
        <x:v>501</x:v>
      </x:c>
      <x:c r="B506" s="35" t="str">
        <x:v>action</x:v>
      </x:c>
      <x:c r="C506" s="35" t="str">
        <x:v>bear_body_check</x:v>
      </x:c>
      <x:c r="D506" s="35" t="str">
        <x:v>base_stagger</x:v>
      </x:c>
      <x:c r="E506" s="38" t="str">
        <x:v>int</x:v>
      </x:c>
      <x:c r="F506" s="56" t="n">
        <x:f>'Actions'!AQ12</x:f>
        <x:v>80</x:v>
      </x:c>
      <x:c r="G506" s="38" t="str"/>
      <x:c r="H506" s="35" t="str">
        <x:v>Actions</x:v>
      </x:c>
      <x:c r="I506" s="35" t="str">
        <x:v>AQ12</x:v>
      </x:c>
      <x:c r="J506" s="85" t="b">
        <x:v>1</x:v>
      </x:c>
      <x:c r="K506" s="85" t="b">
        <x:v>1</x:v>
      </x:c>
      <x:c r="L506" s="56" t="str">
        <x:f>'Actions'!BE12</x:f>
        <x:v>OK</x:v>
      </x:c>
      <x:c r="M506" s="44" t="str">
        <x:v>Источник Actions.Base Stagger</x:v>
      </x:c>
    </x:row>
    <x:row r="507" ht="36" customHeight="1">
      <x:c r="A507" s="118" t="n">
        <x:v>502</x:v>
      </x:c>
      <x:c r="B507" s="35" t="str">
        <x:v>action</x:v>
      </x:c>
      <x:c r="C507" s="35" t="str">
        <x:v>bear_body_check</x:v>
      </x:c>
      <x:c r="D507" s="35" t="str">
        <x:v>base_stun_ticks</x:v>
      </x:c>
      <x:c r="E507" s="38" t="str">
        <x:v>int</x:v>
      </x:c>
      <x:c r="F507" s="56" t="n">
        <x:f>'Actions'!AR12</x:f>
        <x:v>3</x:v>
      </x:c>
      <x:c r="G507" s="38" t="str"/>
      <x:c r="H507" s="35" t="str">
        <x:v>Actions</x:v>
      </x:c>
      <x:c r="I507" s="35" t="str">
        <x:v>AR12</x:v>
      </x:c>
      <x:c r="J507" s="85" t="b">
        <x:v>1</x:v>
      </x:c>
      <x:c r="K507" s="85" t="b">
        <x:v>1</x:v>
      </x:c>
      <x:c r="L507" s="56" t="str">
        <x:f>'Actions'!BE12</x:f>
        <x:v>OK</x:v>
      </x:c>
      <x:c r="M507" s="44" t="str">
        <x:v>Источник Actions.Base Stun Ticks</x:v>
      </x:c>
    </x:row>
    <x:row r="508" ht="36" customHeight="1">
      <x:c r="A508" s="118" t="n">
        <x:v>503</x:v>
      </x:c>
      <x:c r="B508" s="35" t="str">
        <x:v>action</x:v>
      </x:c>
      <x:c r="C508" s="35" t="str">
        <x:v>bear_body_check</x:v>
      </x:c>
      <x:c r="D508" s="35" t="str">
        <x:v>base_knockback</x:v>
      </x:c>
      <x:c r="E508" s="38" t="str">
        <x:v>int</x:v>
      </x:c>
      <x:c r="F508" s="56" t="n">
        <x:f>'Actions'!AS12</x:f>
        <x:v>850</x:v>
      </x:c>
      <x:c r="G508" s="38" t="str"/>
      <x:c r="H508" s="35" t="str">
        <x:v>Actions</x:v>
      </x:c>
      <x:c r="I508" s="35" t="str">
        <x:v>AS12</x:v>
      </x:c>
      <x:c r="J508" s="85" t="b">
        <x:v>1</x:v>
      </x:c>
      <x:c r="K508" s="85" t="b">
        <x:v>1</x:v>
      </x:c>
      <x:c r="L508" s="56" t="str">
        <x:f>'Actions'!BE12</x:f>
        <x:v>OK</x:v>
      </x:c>
      <x:c r="M508" s="44" t="str">
        <x:v>Источник Actions.Base Knockback</x:v>
      </x:c>
    </x:row>
    <x:row r="509" ht="36" customHeight="1">
      <x:c r="A509" s="118" t="n">
        <x:v>504</x:v>
      </x:c>
      <x:c r="B509" s="35" t="str">
        <x:v>action</x:v>
      </x:c>
      <x:c r="C509" s="35" t="str">
        <x:v>bear_body_check</x:v>
      </x:c>
      <x:c r="D509" s="35" t="str">
        <x:v>knockback_min</x:v>
      </x:c>
      <x:c r="E509" s="38" t="str">
        <x:v>int</x:v>
      </x:c>
      <x:c r="F509" s="56" t="n">
        <x:f>'Actions'!AT12</x:f>
        <x:v>300</x:v>
      </x:c>
      <x:c r="G509" s="38" t="str"/>
      <x:c r="H509" s="35" t="str">
        <x:v>Actions</x:v>
      </x:c>
      <x:c r="I509" s="35" t="str">
        <x:v>AT12</x:v>
      </x:c>
      <x:c r="J509" s="85" t="b">
        <x:v>1</x:v>
      </x:c>
      <x:c r="K509" s="85" t="b">
        <x:v>1</x:v>
      </x:c>
      <x:c r="L509" s="56" t="str">
        <x:f>'Actions'!BE12</x:f>
        <x:v>OK</x:v>
      </x:c>
      <x:c r="M509" s="44" t="str">
        <x:v>Источник Actions.Knockback Min</x:v>
      </x:c>
    </x:row>
    <x:row r="510" ht="36" customHeight="1">
      <x:c r="A510" s="118" t="n">
        <x:v>505</x:v>
      </x:c>
      <x:c r="B510" s="35" t="str">
        <x:v>action</x:v>
      </x:c>
      <x:c r="C510" s="35" t="str">
        <x:v>bear_body_check</x:v>
      </x:c>
      <x:c r="D510" s="35" t="str">
        <x:v>knockback_max</x:v>
      </x:c>
      <x:c r="E510" s="38" t="str">
        <x:v>int</x:v>
      </x:c>
      <x:c r="F510" s="56" t="n">
        <x:f>'Actions'!AU12</x:f>
        <x:v>1200</x:v>
      </x:c>
      <x:c r="G510" s="38" t="str"/>
      <x:c r="H510" s="35" t="str">
        <x:v>Actions</x:v>
      </x:c>
      <x:c r="I510" s="35" t="str">
        <x:v>AU12</x:v>
      </x:c>
      <x:c r="J510" s="85" t="b">
        <x:v>1</x:v>
      </x:c>
      <x:c r="K510" s="85" t="b">
        <x:v>1</x:v>
      </x:c>
      <x:c r="L510" s="56" t="str">
        <x:f>'Actions'!BE12</x:f>
        <x:v>OK</x:v>
      </x:c>
      <x:c r="M510" s="44" t="str">
        <x:v>Источник Actions.Knockback Max</x:v>
      </x:c>
    </x:row>
    <x:row r="511" ht="36" customHeight="1">
      <x:c r="A511" s="118" t="n">
        <x:v>506</x:v>
      </x:c>
      <x:c r="B511" s="35" t="str">
        <x:v>action</x:v>
      </x:c>
      <x:c r="C511" s="35" t="str">
        <x:v>bear_body_check</x:v>
      </x:c>
      <x:c r="D511" s="35" t="str">
        <x:v>wall_damage_per_unit_fp</x:v>
      </x:c>
      <x:c r="E511" s="38" t="str">
        <x:v>int</x:v>
      </x:c>
      <x:c r="F511" s="56" t="n">
        <x:f>'Actions'!AV12</x:f>
        <x:v>0</x:v>
      </x:c>
      <x:c r="G511" s="38" t="str"/>
      <x:c r="H511" s="35" t="str">
        <x:v>Actions</x:v>
      </x:c>
      <x:c r="I511" s="35" t="str">
        <x:v>AV12</x:v>
      </x:c>
      <x:c r="J511" s="85" t="b">
        <x:v>1</x:v>
      </x:c>
      <x:c r="K511" s="85" t="b">
        <x:v>1</x:v>
      </x:c>
      <x:c r="L511" s="56" t="str">
        <x:f>'Actions'!BE12</x:f>
        <x:v>OK</x:v>
      </x:c>
      <x:c r="M511" s="44" t="str">
        <x:v>Источник Actions.Wall Damage / Unit FP</x:v>
      </x:c>
    </x:row>
    <x:row r="512" ht="36" customHeight="1">
      <x:c r="A512" s="118" t="n">
        <x:v>507</x:v>
      </x:c>
      <x:c r="B512" s="35" t="str">
        <x:v>action</x:v>
      </x:c>
      <x:c r="C512" s="35" t="str">
        <x:v>bear_body_check</x:v>
      </x:c>
      <x:c r="D512" s="35" t="str">
        <x:v>wall_damage_min</x:v>
      </x:c>
      <x:c r="E512" s="38" t="str">
        <x:v>int</x:v>
      </x:c>
      <x:c r="F512" s="56" t="n">
        <x:f>'Actions'!AW12</x:f>
        <x:v>0</x:v>
      </x:c>
      <x:c r="G512" s="38" t="str"/>
      <x:c r="H512" s="35" t="str">
        <x:v>Actions</x:v>
      </x:c>
      <x:c r="I512" s="35" t="str">
        <x:v>AW12</x:v>
      </x:c>
      <x:c r="J512" s="85" t="b">
        <x:v>1</x:v>
      </x:c>
      <x:c r="K512" s="85" t="b">
        <x:v>1</x:v>
      </x:c>
      <x:c r="L512" s="56" t="str">
        <x:f>'Actions'!BE12</x:f>
        <x:v>OK</x:v>
      </x:c>
      <x:c r="M512" s="44" t="str">
        <x:v>Источник Actions.Wall Damage Min</x:v>
      </x:c>
    </x:row>
    <x:row r="513" ht="36" customHeight="1">
      <x:c r="A513" s="118" t="n">
        <x:v>508</x:v>
      </x:c>
      <x:c r="B513" s="35" t="str">
        <x:v>action</x:v>
      </x:c>
      <x:c r="C513" s="35" t="str">
        <x:v>bear_body_check</x:v>
      </x:c>
      <x:c r="D513" s="35" t="str">
        <x:v>wall_damage_max</x:v>
      </x:c>
      <x:c r="E513" s="38" t="str">
        <x:v>int</x:v>
      </x:c>
      <x:c r="F513" s="56" t="n">
        <x:f>'Actions'!AX12</x:f>
        <x:v>0</x:v>
      </x:c>
      <x:c r="G513" s="38" t="str"/>
      <x:c r="H513" s="35" t="str">
        <x:v>Actions</x:v>
      </x:c>
      <x:c r="I513" s="35" t="str">
        <x:v>AX12</x:v>
      </x:c>
      <x:c r="J513" s="85" t="b">
        <x:v>1</x:v>
      </x:c>
      <x:c r="K513" s="85" t="b">
        <x:v>1</x:v>
      </x:c>
      <x:c r="L513" s="56" t="str">
        <x:f>'Actions'!BE12</x:f>
        <x:v>OK</x:v>
      </x:c>
      <x:c r="M513" s="44" t="str">
        <x:v>Источник Actions.Wall Damage Max</x:v>
      </x:c>
    </x:row>
    <x:row r="514" ht="36" customHeight="1">
      <x:c r="A514" s="118" t="n">
        <x:v>509</x:v>
      </x:c>
      <x:c r="B514" s="35" t="str">
        <x:v>action</x:v>
      </x:c>
      <x:c r="C514" s="35" t="str">
        <x:v>bear_body_check</x:v>
      </x:c>
      <x:c r="D514" s="35" t="str">
        <x:v>max_consecutive_uses</x:v>
      </x:c>
      <x:c r="E514" s="38" t="str">
        <x:v>int</x:v>
      </x:c>
      <x:c r="F514" s="56" t="n">
        <x:f>'Actions'!AY12</x:f>
        <x:v>1</x:v>
      </x:c>
      <x:c r="G514" s="38" t="str"/>
      <x:c r="H514" s="35" t="str">
        <x:v>Actions</x:v>
      </x:c>
      <x:c r="I514" s="35" t="str">
        <x:v>AY12</x:v>
      </x:c>
      <x:c r="J514" s="85" t="b">
        <x:v>1</x:v>
      </x:c>
      <x:c r="K514" s="85" t="b">
        <x:v>1</x:v>
      </x:c>
      <x:c r="L514" s="56" t="str">
        <x:f>'Actions'!BE12</x:f>
        <x:v>OK</x:v>
      </x:c>
      <x:c r="M514" s="44" t="str">
        <x:v>Источник Actions.Max Consecutive Uses</x:v>
      </x:c>
    </x:row>
    <x:row r="515" ht="36" customHeight="1">
      <x:c r="A515" s="118" t="n">
        <x:v>510</x:v>
      </x:c>
      <x:c r="B515" s="35" t="str">
        <x:v>action</x:v>
      </x:c>
      <x:c r="C515" s="35" t="str">
        <x:v>bear_body_check</x:v>
      </x:c>
      <x:c r="D515" s="35" t="str">
        <x:v>opportunity_cap_fp</x:v>
      </x:c>
      <x:c r="E515" s="38" t="str">
        <x:v>int</x:v>
      </x:c>
      <x:c r="F515" s="56" t="n">
        <x:f>'Actions'!AZ12</x:f>
        <x:v>1200</x:v>
      </x:c>
      <x:c r="G515" s="38" t="str"/>
      <x:c r="H515" s="35" t="str">
        <x:v>Actions</x:v>
      </x:c>
      <x:c r="I515" s="35" t="str">
        <x:v>AZ12</x:v>
      </x:c>
      <x:c r="J515" s="85" t="b">
        <x:v>1</x:v>
      </x:c>
      <x:c r="K515" s="85" t="b">
        <x:v>1</x:v>
      </x:c>
      <x:c r="L515" s="56" t="str">
        <x:f>'Actions'!BE12</x:f>
        <x:v>OK</x:v>
      </x:c>
      <x:c r="M515" s="44" t="str">
        <x:v>Источник Actions.Opportunity Cap FP</x:v>
      </x:c>
    </x:row>
    <x:row r="516" ht="36" customHeight="1">
      <x:c r="A516" s="118" t="n">
        <x:v>511</x:v>
      </x:c>
      <x:c r="B516" s="35" t="str">
        <x:v>action</x:v>
      </x:c>
      <x:c r="C516" s="35" t="str">
        <x:v>bear_body_check</x:v>
      </x:c>
      <x:c r="D516" s="35" t="str">
        <x:v>hard_opportunity_misses</x:v>
      </x:c>
      <x:c r="E516" s="38" t="str">
        <x:v>int</x:v>
      </x:c>
      <x:c r="F516" s="56" t="n">
        <x:f>'Actions'!BA12</x:f>
        <x:v>0</x:v>
      </x:c>
      <x:c r="G516" s="38" t="str"/>
      <x:c r="H516" s="35" t="str">
        <x:v>Actions</x:v>
      </x:c>
      <x:c r="I516" s="35" t="str">
        <x:v>BA12</x:v>
      </x:c>
      <x:c r="J516" s="85" t="b">
        <x:v>1</x:v>
      </x:c>
      <x:c r="K516" s="85" t="b">
        <x:v>1</x:v>
      </x:c>
      <x:c r="L516" s="56" t="str">
        <x:f>'Actions'!BE12</x:f>
        <x:v>OK</x:v>
      </x:c>
      <x:c r="M516" s="44" t="str">
        <x:v>Источник Actions.Hard Opportunity Misses</x:v>
      </x:c>
    </x:row>
    <x:row r="517" ht="36" customHeight="1">
      <x:c r="A517" s="118" t="n">
        <x:v>512</x:v>
      </x:c>
      <x:c r="B517" s="35" t="str">
        <x:v>action</x:v>
      </x:c>
      <x:c r="C517" s="35" t="str">
        <x:v>bear_rampage_charge</x:v>
      </x:c>
      <x:c r="D517" s="35" t="str">
        <x:v>action_id</x:v>
      </x:c>
      <x:c r="E517" s="38" t="str">
        <x:v>string</x:v>
      </x:c>
      <x:c r="F517" s="56" t="str">
        <x:f>'Actions'!A13</x:f>
        <x:v>bear_rampage_charge</x:v>
      </x:c>
      <x:c r="G517" s="38" t="str"/>
      <x:c r="H517" s="35" t="str">
        <x:v>Actions</x:v>
      </x:c>
      <x:c r="I517" s="35" t="str">
        <x:v>A13</x:v>
      </x:c>
      <x:c r="J517" s="85" t="b">
        <x:v>1</x:v>
      </x:c>
      <x:c r="K517" s="85" t="b">
        <x:v>1</x:v>
      </x:c>
      <x:c r="L517" s="56" t="str">
        <x:f>'Actions'!BE13</x:f>
        <x:v>OK</x:v>
      </x:c>
      <x:c r="M517" s="44" t="str">
        <x:v>Источник Actions.Action ID</x:v>
      </x:c>
    </x:row>
    <x:row r="518" ht="36" customHeight="1">
      <x:c r="A518" s="118" t="n">
        <x:v>513</x:v>
      </x:c>
      <x:c r="B518" s="35" t="str">
        <x:v>action</x:v>
      </x:c>
      <x:c r="C518" s="35" t="str">
        <x:v>bear_rampage_charge</x:v>
      </x:c>
      <x:c r="D518" s="35" t="str">
        <x:v>animal_id</x:v>
      </x:c>
      <x:c r="E518" s="38" t="str">
        <x:v>string</x:v>
      </x:c>
      <x:c r="F518" s="56" t="str">
        <x:f>'Actions'!B13</x:f>
        <x:v>bear</x:v>
      </x:c>
      <x:c r="G518" s="38" t="str"/>
      <x:c r="H518" s="35" t="str">
        <x:v>Actions</x:v>
      </x:c>
      <x:c r="I518" s="35" t="str">
        <x:v>B13</x:v>
      </x:c>
      <x:c r="J518" s="85" t="b">
        <x:v>1</x:v>
      </x:c>
      <x:c r="K518" s="85" t="b">
        <x:v>1</x:v>
      </x:c>
      <x:c r="L518" s="56" t="str">
        <x:f>'Actions'!BE13</x:f>
        <x:v>OK</x:v>
      </x:c>
      <x:c r="M518" s="44" t="str">
        <x:v>Источник Actions.Animal ID</x:v>
      </x:c>
    </x:row>
    <x:row r="519" ht="36" customHeight="1">
      <x:c r="A519" s="118" t="n">
        <x:v>514</x:v>
      </x:c>
      <x:c r="B519" s="35" t="str">
        <x:v>action</x:v>
      </x:c>
      <x:c r="C519" s="35" t="str">
        <x:v>bear_rampage_charge</x:v>
      </x:c>
      <x:c r="D519" s="35" t="str">
        <x:v>slot_type</x:v>
      </x:c>
      <x:c r="E519" s="38" t="str">
        <x:v>string</x:v>
      </x:c>
      <x:c r="F519" s="56" t="str">
        <x:f>'Actions'!D13</x:f>
        <x:v>Special</x:v>
      </x:c>
      <x:c r="G519" s="38" t="str"/>
      <x:c r="H519" s="35" t="str">
        <x:v>Actions</x:v>
      </x:c>
      <x:c r="I519" s="35" t="str">
        <x:v>D13</x:v>
      </x:c>
      <x:c r="J519" s="85" t="b">
        <x:v>1</x:v>
      </x:c>
      <x:c r="K519" s="85" t="b">
        <x:v>1</x:v>
      </x:c>
      <x:c r="L519" s="56" t="str">
        <x:f>'Actions'!BE13</x:f>
        <x:v>OK</x:v>
      </x:c>
      <x:c r="M519" s="44" t="str">
        <x:v>Источник Actions.Slot Type</x:v>
      </x:c>
    </x:row>
    <x:row r="520" ht="36" customHeight="1">
      <x:c r="A520" s="118" t="n">
        <x:v>515</x:v>
      </x:c>
      <x:c r="B520" s="35" t="str">
        <x:v>action</x:v>
      </x:c>
      <x:c r="C520" s="35" t="str">
        <x:v>bear_rampage_charge</x:v>
      </x:c>
      <x:c r="D520" s="35" t="str">
        <x:v>category</x:v>
      </x:c>
      <x:c r="E520" s="38" t="str">
        <x:v>string</x:v>
      </x:c>
      <x:c r="F520" s="56" t="str">
        <x:f>'Actions'!E13</x:f>
        <x:v>SignatureApproach</x:v>
      </x:c>
      <x:c r="G520" s="38" t="str"/>
      <x:c r="H520" s="35" t="str">
        <x:v>Actions</x:v>
      </x:c>
      <x:c r="I520" s="35" t="str">
        <x:v>E13</x:v>
      </x:c>
      <x:c r="J520" s="85" t="b">
        <x:v>1</x:v>
      </x:c>
      <x:c r="K520" s="85" t="b">
        <x:v>1</x:v>
      </x:c>
      <x:c r="L520" s="56" t="str">
        <x:f>'Actions'!BE13</x:f>
        <x:v>OK</x:v>
      </x:c>
      <x:c r="M520" s="44" t="str">
        <x:v>Источник Actions.Category</x:v>
      </x:c>
    </x:row>
    <x:row r="521" ht="36" customHeight="1">
      <x:c r="A521" s="118" t="n">
        <x:v>516</x:v>
      </x:c>
      <x:c r="B521" s="35" t="str">
        <x:v>action</x:v>
      </x:c>
      <x:c r="C521" s="35" t="str">
        <x:v>bear_rampage_charge</x:v>
      </x:c>
      <x:c r="D521" s="35" t="str">
        <x:v>tags</x:v>
      </x:c>
      <x:c r="E521" s="38" t="str">
        <x:v>string</x:v>
      </x:c>
      <x:c r="F521" s="56" t="str">
        <x:f>'Actions'!F13</x:f>
        <x:v>special|signature|approach|strike|unstoppable|wall_impact</x:v>
      </x:c>
      <x:c r="G521" s="38" t="str"/>
      <x:c r="H521" s="35" t="str">
        <x:v>Actions</x:v>
      </x:c>
      <x:c r="I521" s="35" t="str">
        <x:v>F13</x:v>
      </x:c>
      <x:c r="J521" s="85" t="b">
        <x:v>1</x:v>
      </x:c>
      <x:c r="K521" s="85" t="b">
        <x:v>1</x:v>
      </x:c>
      <x:c r="L521" s="56" t="str">
        <x:f>'Actions'!BE13</x:f>
        <x:v>OK</x:v>
      </x:c>
      <x:c r="M521" s="44" t="str">
        <x:v>Источник Actions.Tags</x:v>
      </x:c>
    </x:row>
    <x:row r="522" ht="36" customHeight="1">
      <x:c r="A522" s="118" t="n">
        <x:v>517</x:v>
      </x:c>
      <x:c r="B522" s="35" t="str">
        <x:v>action</x:v>
      </x:c>
      <x:c r="C522" s="35" t="str">
        <x:v>bear_rampage_charge</x:v>
      </x:c>
      <x:c r="D522" s="35" t="str">
        <x:v>base_weight</x:v>
      </x:c>
      <x:c r="E522" s="38" t="str">
        <x:v>int</x:v>
      </x:c>
      <x:c r="F522" s="56" t="n">
        <x:f>'Actions'!G13</x:f>
        <x:v>500</x:v>
      </x:c>
      <x:c r="G522" s="38" t="str"/>
      <x:c r="H522" s="35" t="str">
        <x:v>Actions</x:v>
      </x:c>
      <x:c r="I522" s="35" t="str">
        <x:v>G13</x:v>
      </x:c>
      <x:c r="J522" s="85" t="b">
        <x:v>1</x:v>
      </x:c>
      <x:c r="K522" s="85" t="b">
        <x:v>1</x:v>
      </x:c>
      <x:c r="L522" s="56" t="str">
        <x:f>'Actions'!BE13</x:f>
        <x:v>OK</x:v>
      </x:c>
      <x:c r="M522" s="44" t="str">
        <x:v>Источник Actions.Base Weight</x:v>
      </x:c>
    </x:row>
    <x:row r="523" ht="36" customHeight="1">
      <x:c r="A523" s="118" t="n">
        <x:v>518</x:v>
      </x:c>
      <x:c r="B523" s="35" t="str">
        <x:v>action</x:v>
      </x:c>
      <x:c r="C523" s="35" t="str">
        <x:v>bear_rampage_charge</x:v>
      </x:c>
      <x:c r="D523" s="35" t="str">
        <x:v>preferred_range_min</x:v>
      </x:c>
      <x:c r="E523" s="38" t="str">
        <x:v>int</x:v>
      </x:c>
      <x:c r="F523" s="56" t="n">
        <x:f>'Actions'!H13</x:f>
        <x:v>1600</x:v>
      </x:c>
      <x:c r="G523" s="38" t="str"/>
      <x:c r="H523" s="35" t="str">
        <x:v>Actions</x:v>
      </x:c>
      <x:c r="I523" s="35" t="str">
        <x:v>H13</x:v>
      </x:c>
      <x:c r="J523" s="85" t="b">
        <x:v>1</x:v>
      </x:c>
      <x:c r="K523" s="85" t="b">
        <x:v>1</x:v>
      </x:c>
      <x:c r="L523" s="56" t="str">
        <x:f>'Actions'!BE13</x:f>
        <x:v>OK</x:v>
      </x:c>
      <x:c r="M523" s="44" t="str">
        <x:v>Источник Actions.Preferred Range Min</x:v>
      </x:c>
    </x:row>
    <x:row r="524" ht="36" customHeight="1">
      <x:c r="A524" s="118" t="n">
        <x:v>519</x:v>
      </x:c>
      <x:c r="B524" s="35" t="str">
        <x:v>action</x:v>
      </x:c>
      <x:c r="C524" s="35" t="str">
        <x:v>bear_rampage_charge</x:v>
      </x:c>
      <x:c r="D524" s="35" t="str">
        <x:v>preferred_range_max</x:v>
      </x:c>
      <x:c r="E524" s="38" t="str">
        <x:v>int</x:v>
      </x:c>
      <x:c r="F524" s="56" t="n">
        <x:f>'Actions'!I13</x:f>
        <x:v>3600</x:v>
      </x:c>
      <x:c r="G524" s="38" t="str"/>
      <x:c r="H524" s="35" t="str">
        <x:v>Actions</x:v>
      </x:c>
      <x:c r="I524" s="35" t="str">
        <x:v>I13</x:v>
      </x:c>
      <x:c r="J524" s="85" t="b">
        <x:v>1</x:v>
      </x:c>
      <x:c r="K524" s="85" t="b">
        <x:v>1</x:v>
      </x:c>
      <x:c r="L524" s="56" t="str">
        <x:f>'Actions'!BE13</x:f>
        <x:v>OK</x:v>
      </x:c>
      <x:c r="M524" s="44" t="str">
        <x:v>Источник Actions.Preferred Range Max</x:v>
      </x:c>
    </x:row>
    <x:row r="525" ht="36" customHeight="1">
      <x:c r="A525" s="118" t="n">
        <x:v>520</x:v>
      </x:c>
      <x:c r="B525" s="35" t="str">
        <x:v>action</x:v>
      </x:c>
      <x:c r="C525" s="35" t="str">
        <x:v>bear_rampage_charge</x:v>
      </x:c>
      <x:c r="D525" s="35" t="str">
        <x:v>hit_range_min</x:v>
      </x:c>
      <x:c r="E525" s="38" t="str">
        <x:v>int</x:v>
      </x:c>
      <x:c r="F525" s="56" t="n">
        <x:f>'Actions'!J13</x:f>
        <x:v>200</x:v>
      </x:c>
      <x:c r="G525" s="38" t="str"/>
      <x:c r="H525" s="35" t="str">
        <x:v>Actions</x:v>
      </x:c>
      <x:c r="I525" s="35" t="str">
        <x:v>J13</x:v>
      </x:c>
      <x:c r="J525" s="85" t="b">
        <x:v>1</x:v>
      </x:c>
      <x:c r="K525" s="85" t="b">
        <x:v>1</x:v>
      </x:c>
      <x:c r="L525" s="56" t="str">
        <x:f>'Actions'!BE13</x:f>
        <x:v>OK</x:v>
      </x:c>
      <x:c r="M525" s="44" t="str">
        <x:v>Источник Actions.Hit Range Min</x:v>
      </x:c>
    </x:row>
    <x:row r="526" ht="36" customHeight="1">
      <x:c r="A526" s="118" t="n">
        <x:v>521</x:v>
      </x:c>
      <x:c r="B526" s="35" t="str">
        <x:v>action</x:v>
      </x:c>
      <x:c r="C526" s="35" t="str">
        <x:v>bear_rampage_charge</x:v>
      </x:c>
      <x:c r="D526" s="35" t="str">
        <x:v>hit_range_max</x:v>
      </x:c>
      <x:c r="E526" s="38" t="str">
        <x:v>int</x:v>
      </x:c>
      <x:c r="F526" s="56" t="n">
        <x:f>'Actions'!K13</x:f>
        <x:v>1050</x:v>
      </x:c>
      <x:c r="G526" s="38" t="str"/>
      <x:c r="H526" s="35" t="str">
        <x:v>Actions</x:v>
      </x:c>
      <x:c r="I526" s="35" t="str">
        <x:v>K13</x:v>
      </x:c>
      <x:c r="J526" s="85" t="b">
        <x:v>1</x:v>
      </x:c>
      <x:c r="K526" s="85" t="b">
        <x:v>1</x:v>
      </x:c>
      <x:c r="L526" s="56" t="str">
        <x:f>'Actions'!BE13</x:f>
        <x:v>OK</x:v>
      </x:c>
      <x:c r="M526" s="44" t="str">
        <x:v>Источник Actions.Hit Range Max</x:v>
      </x:c>
    </x:row>
    <x:row r="527" ht="36" customHeight="1">
      <x:c r="A527" s="118" t="n">
        <x:v>522</x:v>
      </x:c>
      <x:c r="B527" s="35" t="str">
        <x:v>action</x:v>
      </x:c>
      <x:c r="C527" s="35" t="str">
        <x:v>bear_rampage_charge</x:v>
      </x:c>
      <x:c r="D527" s="35" t="str">
        <x:v>energy_cost</x:v>
      </x:c>
      <x:c r="E527" s="38" t="str">
        <x:v>int</x:v>
      </x:c>
      <x:c r="F527" s="56" t="n">
        <x:f>'Actions'!L13</x:f>
        <x:v>300</x:v>
      </x:c>
      <x:c r="G527" s="38" t="str"/>
      <x:c r="H527" s="35" t="str">
        <x:v>Actions</x:v>
      </x:c>
      <x:c r="I527" s="35" t="str">
        <x:v>L13</x:v>
      </x:c>
      <x:c r="J527" s="85" t="b">
        <x:v>1</x:v>
      </x:c>
      <x:c r="K527" s="85" t="b">
        <x:v>1</x:v>
      </x:c>
      <x:c r="L527" s="56" t="str">
        <x:f>'Actions'!BE13</x:f>
        <x:v>OK</x:v>
      </x:c>
      <x:c r="M527" s="44" t="str">
        <x:v>Источник Actions.Energy Cost</x:v>
      </x:c>
    </x:row>
    <x:row r="528" ht="36" customHeight="1">
      <x:c r="A528" s="118" t="n">
        <x:v>523</x:v>
      </x:c>
      <x:c r="B528" s="35" t="str">
        <x:v>action</x:v>
      </x:c>
      <x:c r="C528" s="35" t="str">
        <x:v>bear_rampage_charge</x:v>
      </x:c>
      <x:c r="D528" s="35" t="str">
        <x:v>resource_cost</x:v>
      </x:c>
      <x:c r="E528" s="38" t="str">
        <x:v>int</x:v>
      </x:c>
      <x:c r="F528" s="56" t="n">
        <x:f>'Actions'!M13</x:f>
        <x:v>350</x:v>
      </x:c>
      <x:c r="G528" s="38" t="str"/>
      <x:c r="H528" s="35" t="str">
        <x:v>Actions</x:v>
      </x:c>
      <x:c r="I528" s="35" t="str">
        <x:v>M13</x:v>
      </x:c>
      <x:c r="J528" s="85" t="b">
        <x:v>1</x:v>
      </x:c>
      <x:c r="K528" s="85" t="b">
        <x:v>1</x:v>
      </x:c>
      <x:c r="L528" s="56" t="str">
        <x:f>'Actions'!BE13</x:f>
        <x:v>OK</x:v>
      </x:c>
      <x:c r="M528" s="44" t="str">
        <x:v>Источник Actions.Resource Cost</x:v>
      </x:c>
    </x:row>
    <x:row r="529" ht="36" customHeight="1">
      <x:c r="A529" s="118" t="n">
        <x:v>524</x:v>
      </x:c>
      <x:c r="B529" s="35" t="str">
        <x:v>action</x:v>
      </x:c>
      <x:c r="C529" s="35" t="str">
        <x:v>bear_rampage_charge</x:v>
      </x:c>
      <x:c r="D529" s="35" t="str">
        <x:v>base_damage</x:v>
      </x:c>
      <x:c r="E529" s="38" t="str">
        <x:v>int</x:v>
      </x:c>
      <x:c r="F529" s="56" t="n">
        <x:f>'Actions'!N13</x:f>
        <x:v>90</x:v>
      </x:c>
      <x:c r="G529" s="38" t="str"/>
      <x:c r="H529" s="35" t="str">
        <x:v>Actions</x:v>
      </x:c>
      <x:c r="I529" s="35" t="str">
        <x:v>N13</x:v>
      </x:c>
      <x:c r="J529" s="85" t="b">
        <x:v>1</x:v>
      </x:c>
      <x:c r="K529" s="85" t="b">
        <x:v>1</x:v>
      </x:c>
      <x:c r="L529" s="56" t="str">
        <x:f>'Actions'!BE13</x:f>
        <x:v>OK</x:v>
      </x:c>
      <x:c r="M529" s="44" t="str">
        <x:v>Источник Actions.Base Damage / hit</x:v>
      </x:c>
    </x:row>
    <x:row r="530" ht="36" customHeight="1">
      <x:c r="A530" s="118" t="n">
        <x:v>525</x:v>
      </x:c>
      <x:c r="B530" s="35" t="str">
        <x:v>action</x:v>
      </x:c>
      <x:c r="C530" s="35" t="str">
        <x:v>bear_rampage_charge</x:v>
      </x:c>
      <x:c r="D530" s="35" t="str">
        <x:v>power_ratio_fp</x:v>
      </x:c>
      <x:c r="E530" s="38" t="str">
        <x:v>int</x:v>
      </x:c>
      <x:c r="F530" s="56" t="n">
        <x:f>'Actions'!O13</x:f>
        <x:v>1200</x:v>
      </x:c>
      <x:c r="G530" s="38" t="str"/>
      <x:c r="H530" s="35" t="str">
        <x:v>Actions</x:v>
      </x:c>
      <x:c r="I530" s="35" t="str">
        <x:v>O13</x:v>
      </x:c>
      <x:c r="J530" s="85" t="b">
        <x:v>1</x:v>
      </x:c>
      <x:c r="K530" s="85" t="b">
        <x:v>1</x:v>
      </x:c>
      <x:c r="L530" s="56" t="str">
        <x:f>'Actions'!BE13</x:f>
        <x:v>OK</x:v>
      </x:c>
      <x:c r="M530" s="44" t="str">
        <x:v>Источник Actions.Power Ratio FP</x:v>
      </x:c>
    </x:row>
    <x:row r="531" ht="36" customHeight="1">
      <x:c r="A531" s="118" t="n">
        <x:v>526</x:v>
      </x:c>
      <x:c r="B531" s="35" t="str">
        <x:v>action</x:v>
      </x:c>
      <x:c r="C531" s="35" t="str">
        <x:v>bear_rampage_charge</x:v>
      </x:c>
      <x:c r="D531" s="35" t="str">
        <x:v>min_damage</x:v>
      </x:c>
      <x:c r="E531" s="38" t="str">
        <x:v>int</x:v>
      </x:c>
      <x:c r="F531" s="56" t="n">
        <x:f>'Actions'!P13</x:f>
        <x:v>35</x:v>
      </x:c>
      <x:c r="G531" s="38" t="str"/>
      <x:c r="H531" s="35" t="str">
        <x:v>Actions</x:v>
      </x:c>
      <x:c r="I531" s="35" t="str">
        <x:v>P13</x:v>
      </x:c>
      <x:c r="J531" s="85" t="b">
        <x:v>1</x:v>
      </x:c>
      <x:c r="K531" s="85" t="b">
        <x:v>1</x:v>
      </x:c>
      <x:c r="L531" s="56" t="str">
        <x:f>'Actions'!BE13</x:f>
        <x:v>OK</x:v>
      </x:c>
      <x:c r="M531" s="44" t="str">
        <x:v>Источник Actions.Min Damage</x:v>
      </x:c>
    </x:row>
    <x:row r="532" ht="36" customHeight="1">
      <x:c r="A532" s="118" t="n">
        <x:v>527</x:v>
      </x:c>
      <x:c r="B532" s="35" t="str">
        <x:v>action</x:v>
      </x:c>
      <x:c r="C532" s="35" t="str">
        <x:v>bear_rampage_charge</x:v>
      </x:c>
      <x:c r="D532" s="35" t="str">
        <x:v>chip_min</x:v>
      </x:c>
      <x:c r="E532" s="38" t="str">
        <x:v>int</x:v>
      </x:c>
      <x:c r="F532" s="56" t="n">
        <x:f>'Actions'!Q13</x:f>
        <x:v>10</x:v>
      </x:c>
      <x:c r="G532" s="38" t="str"/>
      <x:c r="H532" s="35" t="str">
        <x:v>Actions</x:v>
      </x:c>
      <x:c r="I532" s="35" t="str">
        <x:v>Q13</x:v>
      </x:c>
      <x:c r="J532" s="85" t="b">
        <x:v>1</x:v>
      </x:c>
      <x:c r="K532" s="85" t="b">
        <x:v>1</x:v>
      </x:c>
      <x:c r="L532" s="56" t="str">
        <x:f>'Actions'!BE13</x:f>
        <x:v>OK</x:v>
      </x:c>
      <x:c r="M532" s="44" t="str">
        <x:v>Источник Actions.Chip Min</x:v>
      </x:c>
    </x:row>
    <x:row r="533" ht="36" customHeight="1">
      <x:c r="A533" s="118" t="n">
        <x:v>528</x:v>
      </x:c>
      <x:c r="B533" s="35" t="str">
        <x:v>action</x:v>
      </x:c>
      <x:c r="C533" s="35" t="str">
        <x:v>bear_rampage_charge</x:v>
      </x:c>
      <x:c r="D533" s="35" t="str">
        <x:v>startup_base_ticks</x:v>
      </x:c>
      <x:c r="E533" s="38" t="str">
        <x:v>int</x:v>
      </x:c>
      <x:c r="F533" s="56" t="n">
        <x:f>'Actions'!R13</x:f>
        <x:v>12</x:v>
      </x:c>
      <x:c r="G533" s="38" t="str"/>
      <x:c r="H533" s="35" t="str">
        <x:v>Actions</x:v>
      </x:c>
      <x:c r="I533" s="35" t="str">
        <x:v>R13</x:v>
      </x:c>
      <x:c r="J533" s="85" t="b">
        <x:v>1</x:v>
      </x:c>
      <x:c r="K533" s="85" t="b">
        <x:v>1</x:v>
      </x:c>
      <x:c r="L533" s="56" t="str">
        <x:f>'Actions'!BE13</x:f>
        <x:v>OK</x:v>
      </x:c>
      <x:c r="M533" s="44" t="str">
        <x:v>Источник Actions.Startup Base Ticks</x:v>
      </x:c>
    </x:row>
    <x:row r="534" ht="36" customHeight="1">
      <x:c r="A534" s="118" t="n">
        <x:v>529</x:v>
      </x:c>
      <x:c r="B534" s="35" t="str">
        <x:v>action</x:v>
      </x:c>
      <x:c r="C534" s="35" t="str">
        <x:v>bear_rampage_charge</x:v>
      </x:c>
      <x:c r="D534" s="35" t="str">
        <x:v>startup_min_ticks</x:v>
      </x:c>
      <x:c r="E534" s="38" t="str">
        <x:v>int</x:v>
      </x:c>
      <x:c r="F534" s="56" t="n">
        <x:f>'Actions'!S13</x:f>
        <x:v>8</x:v>
      </x:c>
      <x:c r="G534" s="38" t="str"/>
      <x:c r="H534" s="35" t="str">
        <x:v>Actions</x:v>
      </x:c>
      <x:c r="I534" s="35" t="str">
        <x:v>S13</x:v>
      </x:c>
      <x:c r="J534" s="85" t="b">
        <x:v>1</x:v>
      </x:c>
      <x:c r="K534" s="85" t="b">
        <x:v>1</x:v>
      </x:c>
      <x:c r="L534" s="56" t="str">
        <x:f>'Actions'!BE13</x:f>
        <x:v>OK</x:v>
      </x:c>
      <x:c r="M534" s="44" t="str">
        <x:v>Источник Actions.Startup Min Ticks</x:v>
      </x:c>
    </x:row>
    <x:row r="535" ht="36" customHeight="1">
      <x:c r="A535" s="118" t="n">
        <x:v>530</x:v>
      </x:c>
      <x:c r="B535" s="35" t="str">
        <x:v>action</x:v>
      </x:c>
      <x:c r="C535" s="35" t="str">
        <x:v>bear_rampage_charge</x:v>
      </x:c>
      <x:c r="D535" s="35" t="str">
        <x:v>startup_max_ticks</x:v>
      </x:c>
      <x:c r="E535" s="38" t="str">
        <x:v>int</x:v>
      </x:c>
      <x:c r="F535" s="56" t="n">
        <x:f>'Actions'!T13</x:f>
        <x:v>18</x:v>
      </x:c>
      <x:c r="G535" s="38" t="str"/>
      <x:c r="H535" s="35" t="str">
        <x:v>Actions</x:v>
      </x:c>
      <x:c r="I535" s="35" t="str">
        <x:v>T13</x:v>
      </x:c>
      <x:c r="J535" s="85" t="b">
        <x:v>1</x:v>
      </x:c>
      <x:c r="K535" s="85" t="b">
        <x:v>1</x:v>
      </x:c>
      <x:c r="L535" s="56" t="str">
        <x:f>'Actions'!BE13</x:f>
        <x:v>OK</x:v>
      </x:c>
      <x:c r="M535" s="44" t="str">
        <x:v>Источник Actions.Startup Max Ticks</x:v>
      </x:c>
    </x:row>
    <x:row r="536" ht="36" customHeight="1">
      <x:c r="A536" s="118" t="n">
        <x:v>531</x:v>
      </x:c>
      <x:c r="B536" s="35" t="str">
        <x:v>action</x:v>
      </x:c>
      <x:c r="C536" s="35" t="str">
        <x:v>bear_rampage_charge</x:v>
      </x:c>
      <x:c r="D536" s="35" t="str">
        <x:v>active_ticks</x:v>
      </x:c>
      <x:c r="E536" s="38" t="str">
        <x:v>int</x:v>
      </x:c>
      <x:c r="F536" s="56" t="n">
        <x:f>'Actions'!U13</x:f>
        <x:v>2</x:v>
      </x:c>
      <x:c r="G536" s="38" t="str"/>
      <x:c r="H536" s="35" t="str">
        <x:v>Actions</x:v>
      </x:c>
      <x:c r="I536" s="35" t="str">
        <x:v>U13</x:v>
      </x:c>
      <x:c r="J536" s="85" t="b">
        <x:v>1</x:v>
      </x:c>
      <x:c r="K536" s="85" t="b">
        <x:v>1</x:v>
      </x:c>
      <x:c r="L536" s="56" t="str">
        <x:f>'Actions'!BE13</x:f>
        <x:v>OK</x:v>
      </x:c>
      <x:c r="M536" s="44" t="str">
        <x:v>Источник Actions.Active Ticks</x:v>
      </x:c>
    </x:row>
    <x:row r="537" ht="36" customHeight="1">
      <x:c r="A537" s="118" t="n">
        <x:v>532</x:v>
      </x:c>
      <x:c r="B537" s="35" t="str">
        <x:v>action</x:v>
      </x:c>
      <x:c r="C537" s="35" t="str">
        <x:v>bear_rampage_charge</x:v>
      </x:c>
      <x:c r="D537" s="35" t="str">
        <x:v>hit_schedule</x:v>
      </x:c>
      <x:c r="E537" s="38" t="str">
        <x:v>string</x:v>
      </x:c>
      <x:c r="F537" s="56" t="str">
        <x:f>'Actions'!V13</x:f>
        <x:v>0</x:v>
      </x:c>
      <x:c r="G537" s="38" t="str"/>
      <x:c r="H537" s="35" t="str">
        <x:v>Actions</x:v>
      </x:c>
      <x:c r="I537" s="35" t="str">
        <x:v>V13</x:v>
      </x:c>
      <x:c r="J537" s="85" t="b">
        <x:v>1</x:v>
      </x:c>
      <x:c r="K537" s="85" t="b">
        <x:v>1</x:v>
      </x:c>
      <x:c r="L537" s="56" t="str">
        <x:f>'Actions'!BE13</x:f>
        <x:v>OK</x:v>
      </x:c>
      <x:c r="M537" s="44" t="str">
        <x:v>Источник Actions.Hit Schedule</x:v>
      </x:c>
    </x:row>
    <x:row r="538" ht="36" customHeight="1">
      <x:c r="A538" s="118" t="n">
        <x:v>533</x:v>
      </x:c>
      <x:c r="B538" s="35" t="str">
        <x:v>action</x:v>
      </x:c>
      <x:c r="C538" s="35" t="str">
        <x:v>bear_rampage_charge</x:v>
      </x:c>
      <x:c r="D538" s="35" t="str">
        <x:v>hit_count</x:v>
      </x:c>
      <x:c r="E538" s="38" t="str">
        <x:v>int</x:v>
      </x:c>
      <x:c r="F538" s="56" t="n">
        <x:f>'Actions'!W13</x:f>
        <x:v>1</x:v>
      </x:c>
      <x:c r="G538" s="38" t="str"/>
      <x:c r="H538" s="35" t="str">
        <x:v>Actions</x:v>
      </x:c>
      <x:c r="I538" s="35" t="str">
        <x:v>W13</x:v>
      </x:c>
      <x:c r="J538" s="85" t="b">
        <x:v>1</x:v>
      </x:c>
      <x:c r="K538" s="85" t="b">
        <x:v>1</x:v>
      </x:c>
      <x:c r="L538" s="56" t="str">
        <x:f>'Actions'!BE13</x:f>
        <x:v>OK</x:v>
      </x:c>
      <x:c r="M538" s="44" t="str">
        <x:v>Источник Actions.Hit Count</x:v>
      </x:c>
    </x:row>
    <x:row r="539" ht="36" customHeight="1">
      <x:c r="A539" s="118" t="n">
        <x:v>534</x:v>
      </x:c>
      <x:c r="B539" s="35" t="str">
        <x:v>action</x:v>
      </x:c>
      <x:c r="C539" s="35" t="str">
        <x:v>bear_rampage_charge</x:v>
      </x:c>
      <x:c r="D539" s="35" t="str">
        <x:v>recovery_base_ticks</x:v>
      </x:c>
      <x:c r="E539" s="38" t="str">
        <x:v>int</x:v>
      </x:c>
      <x:c r="F539" s="56" t="n">
        <x:f>'Actions'!X13</x:f>
        <x:v>18</x:v>
      </x:c>
      <x:c r="G539" s="38" t="str"/>
      <x:c r="H539" s="35" t="str">
        <x:v>Actions</x:v>
      </x:c>
      <x:c r="I539" s="35" t="str">
        <x:v>X13</x:v>
      </x:c>
      <x:c r="J539" s="85" t="b">
        <x:v>1</x:v>
      </x:c>
      <x:c r="K539" s="85" t="b">
        <x:v>1</x:v>
      </x:c>
      <x:c r="L539" s="56" t="str">
        <x:f>'Actions'!BE13</x:f>
        <x:v>OK</x:v>
      </x:c>
      <x:c r="M539" s="44" t="str">
        <x:v>Источник Actions.Recovery Base Ticks</x:v>
      </x:c>
    </x:row>
    <x:row r="540" ht="36" customHeight="1">
      <x:c r="A540" s="118" t="n">
        <x:v>535</x:v>
      </x:c>
      <x:c r="B540" s="35" t="str">
        <x:v>action</x:v>
      </x:c>
      <x:c r="C540" s="35" t="str">
        <x:v>bear_rampage_charge</x:v>
      </x:c>
      <x:c r="D540" s="35" t="str">
        <x:v>recovery_min_ticks</x:v>
      </x:c>
      <x:c r="E540" s="38" t="str">
        <x:v>int</x:v>
      </x:c>
      <x:c r="F540" s="56" t="n">
        <x:f>'Actions'!Y13</x:f>
        <x:v>12</x:v>
      </x:c>
      <x:c r="G540" s="38" t="str"/>
      <x:c r="H540" s="35" t="str">
        <x:v>Actions</x:v>
      </x:c>
      <x:c r="I540" s="35" t="str">
        <x:v>Y13</x:v>
      </x:c>
      <x:c r="J540" s="85" t="b">
        <x:v>1</x:v>
      </x:c>
      <x:c r="K540" s="85" t="b">
        <x:v>1</x:v>
      </x:c>
      <x:c r="L540" s="56" t="str">
        <x:f>'Actions'!BE13</x:f>
        <x:v>OK</x:v>
      </x:c>
      <x:c r="M540" s="44" t="str">
        <x:v>Источник Actions.Recovery Min Ticks</x:v>
      </x:c>
    </x:row>
    <x:row r="541" ht="36" customHeight="1">
      <x:c r="A541" s="118" t="n">
        <x:v>536</x:v>
      </x:c>
      <x:c r="B541" s="35" t="str">
        <x:v>action</x:v>
      </x:c>
      <x:c r="C541" s="35" t="str">
        <x:v>bear_rampage_charge</x:v>
      </x:c>
      <x:c r="D541" s="35" t="str">
        <x:v>recovery_max_ticks</x:v>
      </x:c>
      <x:c r="E541" s="38" t="str">
        <x:v>int</x:v>
      </x:c>
      <x:c r="F541" s="56" t="n">
        <x:f>'Actions'!Z13</x:f>
        <x:v>26</x:v>
      </x:c>
      <x:c r="G541" s="38" t="str"/>
      <x:c r="H541" s="35" t="str">
        <x:v>Actions</x:v>
      </x:c>
      <x:c r="I541" s="35" t="str">
        <x:v>Z13</x:v>
      </x:c>
      <x:c r="J541" s="85" t="b">
        <x:v>1</x:v>
      </x:c>
      <x:c r="K541" s="85" t="b">
        <x:v>1</x:v>
      </x:c>
      <x:c r="L541" s="56" t="str">
        <x:f>'Actions'!BE13</x:f>
        <x:v>OK</x:v>
      </x:c>
      <x:c r="M541" s="44" t="str">
        <x:v>Источник Actions.Recovery Max Ticks</x:v>
      </x:c>
    </x:row>
    <x:row r="542" ht="36" customHeight="1">
      <x:c r="A542" s="118" t="n">
        <x:v>537</x:v>
      </x:c>
      <x:c r="B542" s="35" t="str">
        <x:v>action</x:v>
      </x:c>
      <x:c r="C542" s="35" t="str">
        <x:v>bear_rampage_charge</x:v>
      </x:c>
      <x:c r="D542" s="35" t="str">
        <x:v>cooldown_ticks</x:v>
      </x:c>
      <x:c r="E542" s="38" t="str">
        <x:v>int</x:v>
      </x:c>
      <x:c r="F542" s="56" t="n">
        <x:f>'Actions'!AA13</x:f>
        <x:v>80</x:v>
      </x:c>
      <x:c r="G542" s="38" t="str"/>
      <x:c r="H542" s="35" t="str">
        <x:v>Actions</x:v>
      </x:c>
      <x:c r="I542" s="35" t="str">
        <x:v>AA13</x:v>
      </x:c>
      <x:c r="J542" s="85" t="b">
        <x:v>1</x:v>
      </x:c>
      <x:c r="K542" s="85" t="b">
        <x:v>1</x:v>
      </x:c>
      <x:c r="L542" s="56" t="str">
        <x:f>'Actions'!BE13</x:f>
        <x:v>OK</x:v>
      </x:c>
      <x:c r="M542" s="44" t="str">
        <x:v>Источник Actions.Cooldown Ticks</x:v>
      </x:c>
    </x:row>
    <x:row r="543" ht="36" customHeight="1">
      <x:c r="A543" s="118" t="n">
        <x:v>538</x:v>
      </x:c>
      <x:c r="B543" s="35" t="str">
        <x:v>action</x:v>
      </x:c>
      <x:c r="C543" s="35" t="str">
        <x:v>bear_rampage_charge</x:v>
      </x:c>
      <x:c r="D543" s="35" t="str">
        <x:v>action_priority</x:v>
      </x:c>
      <x:c r="E543" s="38" t="str">
        <x:v>int</x:v>
      </x:c>
      <x:c r="F543" s="56" t="n">
        <x:f>'Actions'!AB13</x:f>
        <x:v>65</x:v>
      </x:c>
      <x:c r="G543" s="38" t="str"/>
      <x:c r="H543" s="35" t="str">
        <x:v>Actions</x:v>
      </x:c>
      <x:c r="I543" s="35" t="str">
        <x:v>AB13</x:v>
      </x:c>
      <x:c r="J543" s="85" t="b">
        <x:v>1</x:v>
      </x:c>
      <x:c r="K543" s="85" t="b">
        <x:v>1</x:v>
      </x:c>
      <x:c r="L543" s="56" t="str">
        <x:f>'Actions'!BE13</x:f>
        <x:v>OK</x:v>
      </x:c>
      <x:c r="M543" s="44" t="str">
        <x:v>Источник Actions.Action Priority</x:v>
      </x:c>
    </x:row>
    <x:row r="544" ht="36" customHeight="1">
      <x:c r="A544" s="118" t="n">
        <x:v>539</x:v>
      </x:c>
      <x:c r="B544" s="35" t="str">
        <x:v>action</x:v>
      </x:c>
      <x:c r="C544" s="35" t="str">
        <x:v>bear_rampage_charge</x:v>
      </x:c>
      <x:c r="D544" s="35" t="str">
        <x:v>clash_priority</x:v>
      </x:c>
      <x:c r="E544" s="38" t="str">
        <x:v>int</x:v>
      </x:c>
      <x:c r="F544" s="56" t="n">
        <x:f>'Actions'!AC13</x:f>
        <x:v>70</x:v>
      </x:c>
      <x:c r="G544" s="38" t="str"/>
      <x:c r="H544" s="35" t="str">
        <x:v>Actions</x:v>
      </x:c>
      <x:c r="I544" s="35" t="str">
        <x:v>AC13</x:v>
      </x:c>
      <x:c r="J544" s="85" t="b">
        <x:v>1</x:v>
      </x:c>
      <x:c r="K544" s="85" t="b">
        <x:v>1</x:v>
      </x:c>
      <x:c r="L544" s="56" t="str">
        <x:f>'Actions'!BE13</x:f>
        <x:v>OK</x:v>
      </x:c>
      <x:c r="M544" s="44" t="str">
        <x:v>Источник Actions.Clash Priority</x:v>
      </x:c>
    </x:row>
    <x:row r="545" ht="36" customHeight="1">
      <x:c r="A545" s="118" t="n">
        <x:v>540</x:v>
      </x:c>
      <x:c r="B545" s="35" t="str">
        <x:v>action</x:v>
      </x:c>
      <x:c r="C545" s="35" t="str">
        <x:v>bear_rampage_charge</x:v>
      </x:c>
      <x:c r="D545" s="35" t="str">
        <x:v>grab_priority</x:v>
      </x:c>
      <x:c r="E545" s="38" t="str">
        <x:v>int</x:v>
      </x:c>
      <x:c r="F545" s="56" t="n">
        <x:f>'Actions'!AD13</x:f>
        <x:v>0</x:v>
      </x:c>
      <x:c r="G545" s="38" t="str"/>
      <x:c r="H545" s="35" t="str">
        <x:v>Actions</x:v>
      </x:c>
      <x:c r="I545" s="35" t="str">
        <x:v>AD13</x:v>
      </x:c>
      <x:c r="J545" s="85" t="b">
        <x:v>1</x:v>
      </x:c>
      <x:c r="K545" s="85" t="b">
        <x:v>1</x:v>
      </x:c>
      <x:c r="L545" s="56" t="str">
        <x:f>'Actions'!BE13</x:f>
        <x:v>OK</x:v>
      </x:c>
      <x:c r="M545" s="44" t="str">
        <x:v>Источник Actions.Grab Priority</x:v>
      </x:c>
    </x:row>
    <x:row r="546" ht="36" customHeight="1">
      <x:c r="A546" s="118" t="n">
        <x:v>541</x:v>
      </x:c>
      <x:c r="B546" s="35" t="str">
        <x:v>action</x:v>
      </x:c>
      <x:c r="C546" s="35" t="str">
        <x:v>bear_rampage_charge</x:v>
      </x:c>
      <x:c r="D546" s="35" t="str">
        <x:v>resolution_priority</x:v>
      </x:c>
      <x:c r="E546" s="38" t="str">
        <x:v>int</x:v>
      </x:c>
      <x:c r="F546" s="56" t="n">
        <x:f>'Actions'!AE13</x:f>
        <x:v>65</x:v>
      </x:c>
      <x:c r="G546" s="38" t="str"/>
      <x:c r="H546" s="35" t="str">
        <x:v>Actions</x:v>
      </x:c>
      <x:c r="I546" s="35" t="str">
        <x:v>AE13</x:v>
      </x:c>
      <x:c r="J546" s="85" t="b">
        <x:v>1</x:v>
      </x:c>
      <x:c r="K546" s="85" t="b">
        <x:v>1</x:v>
      </x:c>
      <x:c r="L546" s="56" t="str">
        <x:f>'Actions'!BE13</x:f>
        <x:v>OK</x:v>
      </x:c>
      <x:c r="M546" s="44" t="str">
        <x:v>Источник Actions.Resolution Priority</x:v>
      </x:c>
    </x:row>
    <x:row r="547" ht="36" customHeight="1">
      <x:c r="A547" s="118" t="n">
        <x:v>542</x:v>
      </x:c>
      <x:c r="B547" s="35" t="str">
        <x:v>action</x:v>
      </x:c>
      <x:c r="C547" s="35" t="str">
        <x:v>bear_rampage_charge</x:v>
      </x:c>
      <x:c r="D547" s="35" t="str">
        <x:v>interrupt_profile</x:v>
      </x:c>
      <x:c r="E547" s="38" t="str">
        <x:v>string</x:v>
      </x:c>
      <x:c r="F547" s="56" t="str">
        <x:f>'Actions'!AF13</x:f>
        <x:v>Unstoppable</x:v>
      </x:c>
      <x:c r="G547" s="38" t="str"/>
      <x:c r="H547" s="35" t="str">
        <x:v>Actions</x:v>
      </x:c>
      <x:c r="I547" s="35" t="str">
        <x:v>AF13</x:v>
      </x:c>
      <x:c r="J547" s="85" t="b">
        <x:v>1</x:v>
      </x:c>
      <x:c r="K547" s="85" t="b">
        <x:v>1</x:v>
      </x:c>
      <x:c r="L547" s="56" t="str">
        <x:f>'Actions'!BE13</x:f>
        <x:v>OK</x:v>
      </x:c>
      <x:c r="M547" s="44" t="str">
        <x:v>Источник Actions.Interrupt Profile</x:v>
      </x:c>
    </x:row>
    <x:row r="548" ht="36" customHeight="1">
      <x:c r="A548" s="118" t="n">
        <x:v>543</x:v>
      </x:c>
      <x:c r="B548" s="35" t="str">
        <x:v>action</x:v>
      </x:c>
      <x:c r="C548" s="35" t="str">
        <x:v>bear_rampage_charge</x:v>
      </x:c>
      <x:c r="D548" s="35" t="str">
        <x:v>blockable</x:v>
      </x:c>
      <x:c r="E548" s="38" t="str">
        <x:v>bool</x:v>
      </x:c>
      <x:c r="F548" s="56" t="b">
        <x:f>'Actions'!AG13</x:f>
        <x:v>1</x:v>
      </x:c>
      <x:c r="G548" s="38" t="str"/>
      <x:c r="H548" s="35" t="str">
        <x:v>Actions</x:v>
      </x:c>
      <x:c r="I548" s="35" t="str">
        <x:v>AG13</x:v>
      </x:c>
      <x:c r="J548" s="85" t="b">
        <x:v>1</x:v>
      </x:c>
      <x:c r="K548" s="85" t="b">
        <x:v>1</x:v>
      </x:c>
      <x:c r="L548" s="56" t="str">
        <x:f>'Actions'!BE13</x:f>
        <x:v>OK</x:v>
      </x:c>
      <x:c r="M548" s="44" t="str">
        <x:v>Источник Actions.Blockable</x:v>
      </x:c>
    </x:row>
    <x:row r="549" ht="36" customHeight="1">
      <x:c r="A549" s="118" t="n">
        <x:v>544</x:v>
      </x:c>
      <x:c r="B549" s="35" t="str">
        <x:v>action</x:v>
      </x:c>
      <x:c r="C549" s="35" t="str">
        <x:v>bear_rampage_charge</x:v>
      </x:c>
      <x:c r="D549" s="35" t="str">
        <x:v>dodgeable</x:v>
      </x:c>
      <x:c r="E549" s="38" t="str">
        <x:v>bool</x:v>
      </x:c>
      <x:c r="F549" s="56" t="b">
        <x:f>'Actions'!AH13</x:f>
        <x:v>1</x:v>
      </x:c>
      <x:c r="G549" s="38" t="str"/>
      <x:c r="H549" s="35" t="str">
        <x:v>Actions</x:v>
      </x:c>
      <x:c r="I549" s="35" t="str">
        <x:v>AH13</x:v>
      </x:c>
      <x:c r="J549" s="85" t="b">
        <x:v>1</x:v>
      </x:c>
      <x:c r="K549" s="85" t="b">
        <x:v>1</x:v>
      </x:c>
      <x:c r="L549" s="56" t="str">
        <x:f>'Actions'!BE13</x:f>
        <x:v>OK</x:v>
      </x:c>
      <x:c r="M549" s="44" t="str">
        <x:v>Источник Actions.Dodgeable</x:v>
      </x:c>
    </x:row>
    <x:row r="550" ht="36" customHeight="1">
      <x:c r="A550" s="118" t="n">
        <x:v>545</x:v>
      </x:c>
      <x:c r="B550" s="35" t="str">
        <x:v>action</x:v>
      </x:c>
      <x:c r="C550" s="35" t="str">
        <x:v>bear_rampage_charge</x:v>
      </x:c>
      <x:c r="D550" s="35" t="str">
        <x:v>undodgeable</x:v>
      </x:c>
      <x:c r="E550" s="38" t="str">
        <x:v>bool</x:v>
      </x:c>
      <x:c r="F550" s="56" t="b">
        <x:f>'Actions'!AI13</x:f>
        <x:v>0</x:v>
      </x:c>
      <x:c r="G550" s="38" t="str"/>
      <x:c r="H550" s="35" t="str">
        <x:v>Actions</x:v>
      </x:c>
      <x:c r="I550" s="35" t="str">
        <x:v>AI13</x:v>
      </x:c>
      <x:c r="J550" s="85" t="b">
        <x:v>1</x:v>
      </x:c>
      <x:c r="K550" s="85" t="b">
        <x:v>1</x:v>
      </x:c>
      <x:c r="L550" s="56" t="str">
        <x:f>'Actions'!BE13</x:f>
        <x:v>OK</x:v>
      </x:c>
      <x:c r="M550" s="44" t="str">
        <x:v>Источник Actions.Undodgeable</x:v>
      </x:c>
    </x:row>
    <x:row r="551" ht="36" customHeight="1">
      <x:c r="A551" s="118" t="n">
        <x:v>546</x:v>
      </x:c>
      <x:c r="B551" s="35" t="str">
        <x:v>action</x:v>
      </x:c>
      <x:c r="C551" s="35" t="str">
        <x:v>bear_rampage_charge</x:v>
      </x:c>
      <x:c r="D551" s="35" t="str">
        <x:v>wall_impact</x:v>
      </x:c>
      <x:c r="E551" s="38" t="str">
        <x:v>bool</x:v>
      </x:c>
      <x:c r="F551" s="56" t="b">
        <x:f>'Actions'!AJ13</x:f>
        <x:v>1</x:v>
      </x:c>
      <x:c r="G551" s="38" t="str"/>
      <x:c r="H551" s="35" t="str">
        <x:v>Actions</x:v>
      </x:c>
      <x:c r="I551" s="35" t="str">
        <x:v>AJ13</x:v>
      </x:c>
      <x:c r="J551" s="85" t="b">
        <x:v>1</x:v>
      </x:c>
      <x:c r="K551" s="85" t="b">
        <x:v>1</x:v>
      </x:c>
      <x:c r="L551" s="56" t="str">
        <x:f>'Actions'!BE13</x:f>
        <x:v>OK</x:v>
      </x:c>
      <x:c r="M551" s="44" t="str">
        <x:v>Источник Actions.Wall Impact</x:v>
      </x:c>
    </x:row>
    <x:row r="552" ht="36" customHeight="1">
      <x:c r="A552" s="118" t="n">
        <x:v>547</x:v>
      </x:c>
      <x:c r="B552" s="35" t="str">
        <x:v>action</x:v>
      </x:c>
      <x:c r="C552" s="35" t="str">
        <x:v>bear_rampage_charge</x:v>
      </x:c>
      <x:c r="D552" s="35" t="str">
        <x:v>track_target</x:v>
      </x:c>
      <x:c r="E552" s="38" t="str">
        <x:v>bool</x:v>
      </x:c>
      <x:c r="F552" s="56" t="b">
        <x:f>'Actions'!AK13</x:f>
        <x:v>0</x:v>
      </x:c>
      <x:c r="G552" s="38" t="str"/>
      <x:c r="H552" s="35" t="str">
        <x:v>Actions</x:v>
      </x:c>
      <x:c r="I552" s="35" t="str">
        <x:v>AK13</x:v>
      </x:c>
      <x:c r="J552" s="85" t="b">
        <x:v>1</x:v>
      </x:c>
      <x:c r="K552" s="85" t="b">
        <x:v>1</x:v>
      </x:c>
      <x:c r="L552" s="56" t="str">
        <x:f>'Actions'!BE13</x:f>
        <x:v>OK</x:v>
      </x:c>
      <x:c r="M552" s="44" t="str">
        <x:v>Источник Actions.Track Target</x:v>
      </x:c>
    </x:row>
    <x:row r="553" ht="36" customHeight="1">
      <x:c r="A553" s="118" t="n">
        <x:v>548</x:v>
      </x:c>
      <x:c r="B553" s="35" t="str">
        <x:v>action</x:v>
      </x:c>
      <x:c r="C553" s="35" t="str">
        <x:v>bear_rampage_charge</x:v>
      </x:c>
      <x:c r="D553" s="35" t="str">
        <x:v>block_base_chance_fp</x:v>
      </x:c>
      <x:c r="E553" s="38" t="str">
        <x:v>int</x:v>
      </x:c>
      <x:c r="F553" s="56" t="n">
        <x:f>'Actions'!AL13</x:f>
        <x:v>0</x:v>
      </x:c>
      <x:c r="G553" s="38" t="str"/>
      <x:c r="H553" s="35" t="str">
        <x:v>Actions</x:v>
      </x:c>
      <x:c r="I553" s="35" t="str">
        <x:v>AL13</x:v>
      </x:c>
      <x:c r="J553" s="85" t="b">
        <x:v>1</x:v>
      </x:c>
      <x:c r="K553" s="85" t="b">
        <x:v>1</x:v>
      </x:c>
      <x:c r="L553" s="56" t="str">
        <x:f>'Actions'!BE13</x:f>
        <x:v>OK</x:v>
      </x:c>
      <x:c r="M553" s="44" t="str">
        <x:v>Источник Actions.Block Base Chance FP</x:v>
      </x:c>
    </x:row>
    <x:row r="554" ht="36" customHeight="1">
      <x:c r="A554" s="118" t="n">
        <x:v>549</x:v>
      </x:c>
      <x:c r="B554" s="35" t="str">
        <x:v>action</x:v>
      </x:c>
      <x:c r="C554" s="35" t="str">
        <x:v>bear_rampage_charge</x:v>
      </x:c>
      <x:c r="D554" s="35" t="str">
        <x:v>block_reduction_fp</x:v>
      </x:c>
      <x:c r="E554" s="38" t="str">
        <x:v>int</x:v>
      </x:c>
      <x:c r="F554" s="56" t="n">
        <x:f>'Actions'!AM13</x:f>
        <x:v>0</x:v>
      </x:c>
      <x:c r="G554" s="38" t="str"/>
      <x:c r="H554" s="35" t="str">
        <x:v>Actions</x:v>
      </x:c>
      <x:c r="I554" s="35" t="str">
        <x:v>AM13</x:v>
      </x:c>
      <x:c r="J554" s="85" t="b">
        <x:v>1</x:v>
      </x:c>
      <x:c r="K554" s="85" t="b">
        <x:v>1</x:v>
      </x:c>
      <x:c r="L554" s="56" t="str">
        <x:f>'Actions'!BE13</x:f>
        <x:v>OK</x:v>
      </x:c>
      <x:c r="M554" s="44" t="str">
        <x:v>Источник Actions.Block Reduction FP</x:v>
      </x:c>
    </x:row>
    <x:row r="555" ht="36" customHeight="1">
      <x:c r="A555" s="118" t="n">
        <x:v>550</x:v>
      </x:c>
      <x:c r="B555" s="35" t="str">
        <x:v>action</x:v>
      </x:c>
      <x:c r="C555" s="35" t="str">
        <x:v>bear_rampage_charge</x:v>
      </x:c>
      <x:c r="D555" s="35" t="str">
        <x:v>dodge_base_chance_fp</x:v>
      </x:c>
      <x:c r="E555" s="38" t="str">
        <x:v>int</x:v>
      </x:c>
      <x:c r="F555" s="56" t="n">
        <x:f>'Actions'!AN13</x:f>
        <x:v>0</x:v>
      </x:c>
      <x:c r="G555" s="38" t="str"/>
      <x:c r="H555" s="35" t="str">
        <x:v>Actions</x:v>
      </x:c>
      <x:c r="I555" s="35" t="str">
        <x:v>AN13</x:v>
      </x:c>
      <x:c r="J555" s="85" t="b">
        <x:v>1</x:v>
      </x:c>
      <x:c r="K555" s="85" t="b">
        <x:v>1</x:v>
      </x:c>
      <x:c r="L555" s="56" t="str">
        <x:f>'Actions'!BE13</x:f>
        <x:v>OK</x:v>
      </x:c>
      <x:c r="M555" s="44" t="str">
        <x:v>Источник Actions.Dodge Base Chance FP</x:v>
      </x:c>
    </x:row>
    <x:row r="556" ht="36" customHeight="1">
      <x:c r="A556" s="118" t="n">
        <x:v>551</x:v>
      </x:c>
      <x:c r="B556" s="35" t="str">
        <x:v>action</x:v>
      </x:c>
      <x:c r="C556" s="35" t="str">
        <x:v>bear_rampage_charge</x:v>
      </x:c>
      <x:c r="D556" s="35" t="str">
        <x:v>movement_mode</x:v>
      </x:c>
      <x:c r="E556" s="38" t="str">
        <x:v>string</x:v>
      </x:c>
      <x:c r="F556" s="56" t="str">
        <x:f>'Actions'!AO13</x:f>
        <x:v>Approach</x:v>
      </x:c>
      <x:c r="G556" s="38" t="str"/>
      <x:c r="H556" s="35" t="str">
        <x:v>Actions</x:v>
      </x:c>
      <x:c r="I556" s="35" t="str">
        <x:v>AO13</x:v>
      </x:c>
      <x:c r="J556" s="85" t="b">
        <x:v>1</x:v>
      </x:c>
      <x:c r="K556" s="85" t="b">
        <x:v>1</x:v>
      </x:c>
      <x:c r="L556" s="56" t="str">
        <x:f>'Actions'!BE13</x:f>
        <x:v>OK</x:v>
      </x:c>
      <x:c r="M556" s="44" t="str">
        <x:v>Источник Actions.Movement Mode</x:v>
      </x:c>
    </x:row>
    <x:row r="557" ht="36" customHeight="1">
      <x:c r="A557" s="118" t="n">
        <x:v>552</x:v>
      </x:c>
      <x:c r="B557" s="35" t="str">
        <x:v>action</x:v>
      </x:c>
      <x:c r="C557" s="35" t="str">
        <x:v>bear_rampage_charge</x:v>
      </x:c>
      <x:c r="D557" s="35" t="str">
        <x:v>move_distance</x:v>
      </x:c>
      <x:c r="E557" s="38" t="str">
        <x:v>int</x:v>
      </x:c>
      <x:c r="F557" s="56" t="n">
        <x:f>'Actions'!AP13</x:f>
        <x:v>2600</x:v>
      </x:c>
      <x:c r="G557" s="38" t="str"/>
      <x:c r="H557" s="35" t="str">
        <x:v>Actions</x:v>
      </x:c>
      <x:c r="I557" s="35" t="str">
        <x:v>AP13</x:v>
      </x:c>
      <x:c r="J557" s="85" t="b">
        <x:v>1</x:v>
      </x:c>
      <x:c r="K557" s="85" t="b">
        <x:v>1</x:v>
      </x:c>
      <x:c r="L557" s="56" t="str">
        <x:f>'Actions'!BE13</x:f>
        <x:v>OK</x:v>
      </x:c>
      <x:c r="M557" s="44" t="str">
        <x:v>Источник Actions.Move Distance</x:v>
      </x:c>
    </x:row>
    <x:row r="558" ht="36" customHeight="1">
      <x:c r="A558" s="118" t="n">
        <x:v>553</x:v>
      </x:c>
      <x:c r="B558" s="35" t="str">
        <x:v>action</x:v>
      </x:c>
      <x:c r="C558" s="35" t="str">
        <x:v>bear_rampage_charge</x:v>
      </x:c>
      <x:c r="D558" s="35" t="str">
        <x:v>base_stagger</x:v>
      </x:c>
      <x:c r="E558" s="38" t="str">
        <x:v>int</x:v>
      </x:c>
      <x:c r="F558" s="56" t="n">
        <x:f>'Actions'!AQ13</x:f>
        <x:v>180</x:v>
      </x:c>
      <x:c r="G558" s="38" t="str"/>
      <x:c r="H558" s="35" t="str">
        <x:v>Actions</x:v>
      </x:c>
      <x:c r="I558" s="35" t="str">
        <x:v>AQ13</x:v>
      </x:c>
      <x:c r="J558" s="85" t="b">
        <x:v>1</x:v>
      </x:c>
      <x:c r="K558" s="85" t="b">
        <x:v>1</x:v>
      </x:c>
      <x:c r="L558" s="56" t="str">
        <x:f>'Actions'!BE13</x:f>
        <x:v>OK</x:v>
      </x:c>
      <x:c r="M558" s="44" t="str">
        <x:v>Источник Actions.Base Stagger</x:v>
      </x:c>
    </x:row>
    <x:row r="559" ht="36" customHeight="1">
      <x:c r="A559" s="118" t="n">
        <x:v>554</x:v>
      </x:c>
      <x:c r="B559" s="35" t="str">
        <x:v>action</x:v>
      </x:c>
      <x:c r="C559" s="35" t="str">
        <x:v>bear_rampage_charge</x:v>
      </x:c>
      <x:c r="D559" s="35" t="str">
        <x:v>base_stun_ticks</x:v>
      </x:c>
      <x:c r="E559" s="38" t="str">
        <x:v>int</x:v>
      </x:c>
      <x:c r="F559" s="56" t="n">
        <x:f>'Actions'!AR13</x:f>
        <x:v>7</x:v>
      </x:c>
      <x:c r="G559" s="38" t="str"/>
      <x:c r="H559" s="35" t="str">
        <x:v>Actions</x:v>
      </x:c>
      <x:c r="I559" s="35" t="str">
        <x:v>AR13</x:v>
      </x:c>
      <x:c r="J559" s="85" t="b">
        <x:v>1</x:v>
      </x:c>
      <x:c r="K559" s="85" t="b">
        <x:v>1</x:v>
      </x:c>
      <x:c r="L559" s="56" t="str">
        <x:f>'Actions'!BE13</x:f>
        <x:v>OK</x:v>
      </x:c>
      <x:c r="M559" s="44" t="str">
        <x:v>Источник Actions.Base Stun Ticks</x:v>
      </x:c>
    </x:row>
    <x:row r="560" ht="36" customHeight="1">
      <x:c r="A560" s="118" t="n">
        <x:v>555</x:v>
      </x:c>
      <x:c r="B560" s="35" t="str">
        <x:v>action</x:v>
      </x:c>
      <x:c r="C560" s="35" t="str">
        <x:v>bear_rampage_charge</x:v>
      </x:c>
      <x:c r="D560" s="35" t="str">
        <x:v>base_knockback</x:v>
      </x:c>
      <x:c r="E560" s="38" t="str">
        <x:v>int</x:v>
      </x:c>
      <x:c r="F560" s="56" t="n">
        <x:f>'Actions'!AS13</x:f>
        <x:v>1400</x:v>
      </x:c>
      <x:c r="G560" s="38" t="str"/>
      <x:c r="H560" s="35" t="str">
        <x:v>Actions</x:v>
      </x:c>
      <x:c r="I560" s="35" t="str">
        <x:v>AS13</x:v>
      </x:c>
      <x:c r="J560" s="85" t="b">
        <x:v>1</x:v>
      </x:c>
      <x:c r="K560" s="85" t="b">
        <x:v>1</x:v>
      </x:c>
      <x:c r="L560" s="56" t="str">
        <x:f>'Actions'!BE13</x:f>
        <x:v>OK</x:v>
      </x:c>
      <x:c r="M560" s="44" t="str">
        <x:v>Источник Actions.Base Knockback</x:v>
      </x:c>
    </x:row>
    <x:row r="561" ht="36" customHeight="1">
      <x:c r="A561" s="118" t="n">
        <x:v>556</x:v>
      </x:c>
      <x:c r="B561" s="35" t="str">
        <x:v>action</x:v>
      </x:c>
      <x:c r="C561" s="35" t="str">
        <x:v>bear_rampage_charge</x:v>
      </x:c>
      <x:c r="D561" s="35" t="str">
        <x:v>knockback_min</x:v>
      </x:c>
      <x:c r="E561" s="38" t="str">
        <x:v>int</x:v>
      </x:c>
      <x:c r="F561" s="56" t="n">
        <x:f>'Actions'!AT13</x:f>
        <x:v>600</x:v>
      </x:c>
      <x:c r="G561" s="38" t="str"/>
      <x:c r="H561" s="35" t="str">
        <x:v>Actions</x:v>
      </x:c>
      <x:c r="I561" s="35" t="str">
        <x:v>AT13</x:v>
      </x:c>
      <x:c r="J561" s="85" t="b">
        <x:v>1</x:v>
      </x:c>
      <x:c r="K561" s="85" t="b">
        <x:v>1</x:v>
      </x:c>
      <x:c r="L561" s="56" t="str">
        <x:f>'Actions'!BE13</x:f>
        <x:v>OK</x:v>
      </x:c>
      <x:c r="M561" s="44" t="str">
        <x:v>Источник Actions.Knockback Min</x:v>
      </x:c>
    </x:row>
    <x:row r="562" ht="36" customHeight="1">
      <x:c r="A562" s="118" t="n">
        <x:v>557</x:v>
      </x:c>
      <x:c r="B562" s="35" t="str">
        <x:v>action</x:v>
      </x:c>
      <x:c r="C562" s="35" t="str">
        <x:v>bear_rampage_charge</x:v>
      </x:c>
      <x:c r="D562" s="35" t="str">
        <x:v>knockback_max</x:v>
      </x:c>
      <x:c r="E562" s="38" t="str">
        <x:v>int</x:v>
      </x:c>
      <x:c r="F562" s="56" t="n">
        <x:f>'Actions'!AU13</x:f>
        <x:v>1800</x:v>
      </x:c>
      <x:c r="G562" s="38" t="str"/>
      <x:c r="H562" s="35" t="str">
        <x:v>Actions</x:v>
      </x:c>
      <x:c r="I562" s="35" t="str">
        <x:v>AU13</x:v>
      </x:c>
      <x:c r="J562" s="85" t="b">
        <x:v>1</x:v>
      </x:c>
      <x:c r="K562" s="85" t="b">
        <x:v>1</x:v>
      </x:c>
      <x:c r="L562" s="56" t="str">
        <x:f>'Actions'!BE13</x:f>
        <x:v>OK</x:v>
      </x:c>
      <x:c r="M562" s="44" t="str">
        <x:v>Источник Actions.Knockback Max</x:v>
      </x:c>
    </x:row>
    <x:row r="563" ht="36" customHeight="1">
      <x:c r="A563" s="118" t="n">
        <x:v>558</x:v>
      </x:c>
      <x:c r="B563" s="35" t="str">
        <x:v>action</x:v>
      </x:c>
      <x:c r="C563" s="35" t="str">
        <x:v>bear_rampage_charge</x:v>
      </x:c>
      <x:c r="D563" s="35" t="str">
        <x:v>wall_damage_per_unit_fp</x:v>
      </x:c>
      <x:c r="E563" s="38" t="str">
        <x:v>int</x:v>
      </x:c>
      <x:c r="F563" s="56" t="n">
        <x:f>'Actions'!AV13</x:f>
        <x:v>150</x:v>
      </x:c>
      <x:c r="G563" s="38" t="str"/>
      <x:c r="H563" s="35" t="str">
        <x:v>Actions</x:v>
      </x:c>
      <x:c r="I563" s="35" t="str">
        <x:v>AV13</x:v>
      </x:c>
      <x:c r="J563" s="85" t="b">
        <x:v>1</x:v>
      </x:c>
      <x:c r="K563" s="85" t="b">
        <x:v>1</x:v>
      </x:c>
      <x:c r="L563" s="56" t="str">
        <x:f>'Actions'!BE13</x:f>
        <x:v>OK</x:v>
      </x:c>
      <x:c r="M563" s="44" t="str">
        <x:v>Источник Actions.Wall Damage / Unit FP</x:v>
      </x:c>
    </x:row>
    <x:row r="564" ht="36" customHeight="1">
      <x:c r="A564" s="118" t="n">
        <x:v>559</x:v>
      </x:c>
      <x:c r="B564" s="35" t="str">
        <x:v>action</x:v>
      </x:c>
      <x:c r="C564" s="35" t="str">
        <x:v>bear_rampage_charge</x:v>
      </x:c>
      <x:c r="D564" s="35" t="str">
        <x:v>wall_damage_min</x:v>
      </x:c>
      <x:c r="E564" s="38" t="str">
        <x:v>int</x:v>
      </x:c>
      <x:c r="F564" s="56" t="n">
        <x:f>'Actions'!AW13</x:f>
        <x:v>20</x:v>
      </x:c>
      <x:c r="G564" s="38" t="str"/>
      <x:c r="H564" s="35" t="str">
        <x:v>Actions</x:v>
      </x:c>
      <x:c r="I564" s="35" t="str">
        <x:v>AW13</x:v>
      </x:c>
      <x:c r="J564" s="85" t="b">
        <x:v>1</x:v>
      </x:c>
      <x:c r="K564" s="85" t="b">
        <x:v>1</x:v>
      </x:c>
      <x:c r="L564" s="56" t="str">
        <x:f>'Actions'!BE13</x:f>
        <x:v>OK</x:v>
      </x:c>
      <x:c r="M564" s="44" t="str">
        <x:v>Источник Actions.Wall Damage Min</x:v>
      </x:c>
    </x:row>
    <x:row r="565" ht="36" customHeight="1">
      <x:c r="A565" s="118" t="n">
        <x:v>560</x:v>
      </x:c>
      <x:c r="B565" s="35" t="str">
        <x:v>action</x:v>
      </x:c>
      <x:c r="C565" s="35" t="str">
        <x:v>bear_rampage_charge</x:v>
      </x:c>
      <x:c r="D565" s="35" t="str">
        <x:v>wall_damage_max</x:v>
      </x:c>
      <x:c r="E565" s="38" t="str">
        <x:v>int</x:v>
      </x:c>
      <x:c r="F565" s="56" t="n">
        <x:f>'Actions'!AX13</x:f>
        <x:v>160</x:v>
      </x:c>
      <x:c r="G565" s="38" t="str"/>
      <x:c r="H565" s="35" t="str">
        <x:v>Actions</x:v>
      </x:c>
      <x:c r="I565" s="35" t="str">
        <x:v>AX13</x:v>
      </x:c>
      <x:c r="J565" s="85" t="b">
        <x:v>1</x:v>
      </x:c>
      <x:c r="K565" s="85" t="b">
        <x:v>1</x:v>
      </x:c>
      <x:c r="L565" s="56" t="str">
        <x:f>'Actions'!BE13</x:f>
        <x:v>OK</x:v>
      </x:c>
      <x:c r="M565" s="44" t="str">
        <x:v>Источник Actions.Wall Damage Max</x:v>
      </x:c>
    </x:row>
    <x:row r="566" ht="36" customHeight="1">
      <x:c r="A566" s="118" t="n">
        <x:v>561</x:v>
      </x:c>
      <x:c r="B566" s="35" t="str">
        <x:v>action</x:v>
      </x:c>
      <x:c r="C566" s="35" t="str">
        <x:v>bear_rampage_charge</x:v>
      </x:c>
      <x:c r="D566" s="35" t="str">
        <x:v>max_consecutive_uses</x:v>
      </x:c>
      <x:c r="E566" s="38" t="str">
        <x:v>int</x:v>
      </x:c>
      <x:c r="F566" s="56" t="n">
        <x:f>'Actions'!AY13</x:f>
        <x:v>1</x:v>
      </x:c>
      <x:c r="G566" s="38" t="str"/>
      <x:c r="H566" s="35" t="str">
        <x:v>Actions</x:v>
      </x:c>
      <x:c r="I566" s="35" t="str">
        <x:v>AY13</x:v>
      </x:c>
      <x:c r="J566" s="85" t="b">
        <x:v>1</x:v>
      </x:c>
      <x:c r="K566" s="85" t="b">
        <x:v>1</x:v>
      </x:c>
      <x:c r="L566" s="56" t="str">
        <x:f>'Actions'!BE13</x:f>
        <x:v>OK</x:v>
      </x:c>
      <x:c r="M566" s="44" t="str">
        <x:v>Источник Actions.Max Consecutive Uses</x:v>
      </x:c>
    </x:row>
    <x:row r="567" ht="36" customHeight="1">
      <x:c r="A567" s="118" t="n">
        <x:v>562</x:v>
      </x:c>
      <x:c r="B567" s="35" t="str">
        <x:v>action</x:v>
      </x:c>
      <x:c r="C567" s="35" t="str">
        <x:v>bear_rampage_charge</x:v>
      </x:c>
      <x:c r="D567" s="35" t="str">
        <x:v>opportunity_cap_fp</x:v>
      </x:c>
      <x:c r="E567" s="38" t="str">
        <x:v>int</x:v>
      </x:c>
      <x:c r="F567" s="56" t="n">
        <x:f>'Actions'!AZ13</x:f>
        <x:v>2500</x:v>
      </x:c>
      <x:c r="G567" s="38" t="str"/>
      <x:c r="H567" s="35" t="str">
        <x:v>Actions</x:v>
      </x:c>
      <x:c r="I567" s="35" t="str">
        <x:v>AZ13</x:v>
      </x:c>
      <x:c r="J567" s="85" t="b">
        <x:v>1</x:v>
      </x:c>
      <x:c r="K567" s="85" t="b">
        <x:v>1</x:v>
      </x:c>
      <x:c r="L567" s="56" t="str">
        <x:f>'Actions'!BE13</x:f>
        <x:v>OK</x:v>
      </x:c>
      <x:c r="M567" s="44" t="str">
        <x:v>Источник Actions.Opportunity Cap FP</x:v>
      </x:c>
    </x:row>
    <x:row r="568" ht="36" customHeight="1">
      <x:c r="A568" s="118" t="n">
        <x:v>563</x:v>
      </x:c>
      <x:c r="B568" s="35" t="str">
        <x:v>action</x:v>
      </x:c>
      <x:c r="C568" s="35" t="str">
        <x:v>bear_rampage_charge</x:v>
      </x:c>
      <x:c r="D568" s="35" t="str">
        <x:v>hard_opportunity_misses</x:v>
      </x:c>
      <x:c r="E568" s="38" t="str">
        <x:v>int</x:v>
      </x:c>
      <x:c r="F568" s="56" t="n">
        <x:f>'Actions'!BA13</x:f>
        <x:v>4</x:v>
      </x:c>
      <x:c r="G568" s="38" t="str"/>
      <x:c r="H568" s="35" t="str">
        <x:v>Actions</x:v>
      </x:c>
      <x:c r="I568" s="35" t="str">
        <x:v>BA13</x:v>
      </x:c>
      <x:c r="J568" s="85" t="b">
        <x:v>1</x:v>
      </x:c>
      <x:c r="K568" s="85" t="b">
        <x:v>1</x:v>
      </x:c>
      <x:c r="L568" s="56" t="str">
        <x:f>'Actions'!BE13</x:f>
        <x:v>OK</x:v>
      </x:c>
      <x:c r="M568" s="44" t="str">
        <x:v>Источник Actions.Hard Opportunity Misses</x:v>
      </x:c>
    </x:row>
    <x:row r="569" ht="36" customHeight="1">
      <x:c r="A569" s="118" t="n">
        <x:v>564</x:v>
      </x:c>
      <x:c r="B569" s="35" t="str">
        <x:v>action</x:v>
      </x:c>
      <x:c r="C569" s="35" t="str">
        <x:v>bear_earthbreaker</x:v>
      </x:c>
      <x:c r="D569" s="35" t="str">
        <x:v>action_id</x:v>
      </x:c>
      <x:c r="E569" s="38" t="str">
        <x:v>string</x:v>
      </x:c>
      <x:c r="F569" s="56" t="str">
        <x:f>'Actions'!A14</x:f>
        <x:v>bear_earthbreaker</x:v>
      </x:c>
      <x:c r="G569" s="38" t="str"/>
      <x:c r="H569" s="35" t="str">
        <x:v>Actions</x:v>
      </x:c>
      <x:c r="I569" s="35" t="str">
        <x:v>A14</x:v>
      </x:c>
      <x:c r="J569" s="85" t="b">
        <x:v>1</x:v>
      </x:c>
      <x:c r="K569" s="85" t="b">
        <x:v>1</x:v>
      </x:c>
      <x:c r="L569" s="56" t="str">
        <x:f>'Actions'!BE14</x:f>
        <x:v>OK</x:v>
      </x:c>
      <x:c r="M569" s="44" t="str">
        <x:v>Источник Actions.Action ID</x:v>
      </x:c>
    </x:row>
    <x:row r="570" ht="36" customHeight="1">
      <x:c r="A570" s="118" t="n">
        <x:v>565</x:v>
      </x:c>
      <x:c r="B570" s="35" t="str">
        <x:v>action</x:v>
      </x:c>
      <x:c r="C570" s="35" t="str">
        <x:v>bear_earthbreaker</x:v>
      </x:c>
      <x:c r="D570" s="35" t="str">
        <x:v>animal_id</x:v>
      </x:c>
      <x:c r="E570" s="38" t="str">
        <x:v>string</x:v>
      </x:c>
      <x:c r="F570" s="56" t="str">
        <x:f>'Actions'!B14</x:f>
        <x:v>bear</x:v>
      </x:c>
      <x:c r="G570" s="38" t="str"/>
      <x:c r="H570" s="35" t="str">
        <x:v>Actions</x:v>
      </x:c>
      <x:c r="I570" s="35" t="str">
        <x:v>B14</x:v>
      </x:c>
      <x:c r="J570" s="85" t="b">
        <x:v>1</x:v>
      </x:c>
      <x:c r="K570" s="85" t="b">
        <x:v>1</x:v>
      </x:c>
      <x:c r="L570" s="56" t="str">
        <x:f>'Actions'!BE14</x:f>
        <x:v>OK</x:v>
      </x:c>
      <x:c r="M570" s="44" t="str">
        <x:v>Источник Actions.Animal ID</x:v>
      </x:c>
    </x:row>
    <x:row r="571" ht="36" customHeight="1">
      <x:c r="A571" s="118" t="n">
        <x:v>566</x:v>
      </x:c>
      <x:c r="B571" s="35" t="str">
        <x:v>action</x:v>
      </x:c>
      <x:c r="C571" s="35" t="str">
        <x:v>bear_earthbreaker</x:v>
      </x:c>
      <x:c r="D571" s="35" t="str">
        <x:v>slot_type</x:v>
      </x:c>
      <x:c r="E571" s="38" t="str">
        <x:v>string</x:v>
      </x:c>
      <x:c r="F571" s="56" t="str">
        <x:f>'Actions'!D14</x:f>
        <x:v>Special</x:v>
      </x:c>
      <x:c r="G571" s="38" t="str"/>
      <x:c r="H571" s="35" t="str">
        <x:v>Actions</x:v>
      </x:c>
      <x:c r="I571" s="35" t="str">
        <x:v>D14</x:v>
      </x:c>
      <x:c r="J571" s="85" t="b">
        <x:v>1</x:v>
      </x:c>
      <x:c r="K571" s="85" t="b">
        <x:v>1</x:v>
      </x:c>
      <x:c r="L571" s="56" t="str">
        <x:f>'Actions'!BE14</x:f>
        <x:v>OK</x:v>
      </x:c>
      <x:c r="M571" s="44" t="str">
        <x:v>Источник Actions.Slot Type</x:v>
      </x:c>
    </x:row>
    <x:row r="572" ht="36" customHeight="1">
      <x:c r="A572" s="118" t="n">
        <x:v>567</x:v>
      </x:c>
      <x:c r="B572" s="35" t="str">
        <x:v>action</x:v>
      </x:c>
      <x:c r="C572" s="35" t="str">
        <x:v>bear_earthbreaker</x:v>
      </x:c>
      <x:c r="D572" s="35" t="str">
        <x:v>category</x:v>
      </x:c>
      <x:c r="E572" s="38" t="str">
        <x:v>string</x:v>
      </x:c>
      <x:c r="F572" s="56" t="str">
        <x:f>'Actions'!E14</x:f>
        <x:v>SignatureGround</x:v>
      </x:c>
      <x:c r="G572" s="38" t="str"/>
      <x:c r="H572" s="35" t="str">
        <x:v>Actions</x:v>
      </x:c>
      <x:c r="I572" s="35" t="str">
        <x:v>E14</x:v>
      </x:c>
      <x:c r="J572" s="85" t="b">
        <x:v>1</x:v>
      </x:c>
      <x:c r="K572" s="85" t="b">
        <x:v>1</x:v>
      </x:c>
      <x:c r="L572" s="56" t="str">
        <x:f>'Actions'!BE14</x:f>
        <x:v>OK</x:v>
      </x:c>
      <x:c r="M572" s="44" t="str">
        <x:v>Источник Actions.Category</x:v>
      </x:c>
    </x:row>
    <x:row r="573" ht="36" customHeight="1">
      <x:c r="A573" s="118" t="n">
        <x:v>568</x:v>
      </x:c>
      <x:c r="B573" s="35" t="str">
        <x:v>action</x:v>
      </x:c>
      <x:c r="C573" s="35" t="str">
        <x:v>bear_earthbreaker</x:v>
      </x:c>
      <x:c r="D573" s="35" t="str">
        <x:v>tags</x:v>
      </x:c>
      <x:c r="E573" s="38" t="str">
        <x:v>string</x:v>
      </x:c>
      <x:c r="F573" s="56" t="str">
        <x:f>'Actions'!F14</x:f>
        <x:v>special|signature|heavy|ground|undodgeable|stagger</x:v>
      </x:c>
      <x:c r="G573" s="38" t="str"/>
      <x:c r="H573" s="35" t="str">
        <x:v>Actions</x:v>
      </x:c>
      <x:c r="I573" s="35" t="str">
        <x:v>F14</x:v>
      </x:c>
      <x:c r="J573" s="85" t="b">
        <x:v>1</x:v>
      </x:c>
      <x:c r="K573" s="85" t="b">
        <x:v>1</x:v>
      </x:c>
      <x:c r="L573" s="56" t="str">
        <x:f>'Actions'!BE14</x:f>
        <x:v>OK</x:v>
      </x:c>
      <x:c r="M573" s="44" t="str">
        <x:v>Источник Actions.Tags</x:v>
      </x:c>
    </x:row>
    <x:row r="574" ht="36" customHeight="1">
      <x:c r="A574" s="118" t="n">
        <x:v>569</x:v>
      </x:c>
      <x:c r="B574" s="35" t="str">
        <x:v>action</x:v>
      </x:c>
      <x:c r="C574" s="35" t="str">
        <x:v>bear_earthbreaker</x:v>
      </x:c>
      <x:c r="D574" s="35" t="str">
        <x:v>base_weight</x:v>
      </x:c>
      <x:c r="E574" s="38" t="str">
        <x:v>int</x:v>
      </x:c>
      <x:c r="F574" s="56" t="n">
        <x:f>'Actions'!G14</x:f>
        <x:v>470</x:v>
      </x:c>
      <x:c r="G574" s="38" t="str"/>
      <x:c r="H574" s="35" t="str">
        <x:v>Actions</x:v>
      </x:c>
      <x:c r="I574" s="35" t="str">
        <x:v>G14</x:v>
      </x:c>
      <x:c r="J574" s="85" t="b">
        <x:v>1</x:v>
      </x:c>
      <x:c r="K574" s="85" t="b">
        <x:v>1</x:v>
      </x:c>
      <x:c r="L574" s="56" t="str">
        <x:f>'Actions'!BE14</x:f>
        <x:v>OK</x:v>
      </x:c>
      <x:c r="M574" s="44" t="str">
        <x:v>Источник Actions.Base Weight</x:v>
      </x:c>
    </x:row>
    <x:row r="575" ht="36" customHeight="1">
      <x:c r="A575" s="118" t="n">
        <x:v>570</x:v>
      </x:c>
      <x:c r="B575" s="35" t="str">
        <x:v>action</x:v>
      </x:c>
      <x:c r="C575" s="35" t="str">
        <x:v>bear_earthbreaker</x:v>
      </x:c>
      <x:c r="D575" s="35" t="str">
        <x:v>preferred_range_min</x:v>
      </x:c>
      <x:c r="E575" s="38" t="str">
        <x:v>int</x:v>
      </x:c>
      <x:c r="F575" s="56" t="n">
        <x:f>'Actions'!H14</x:f>
        <x:v>300</x:v>
      </x:c>
      <x:c r="G575" s="38" t="str"/>
      <x:c r="H575" s="35" t="str">
        <x:v>Actions</x:v>
      </x:c>
      <x:c r="I575" s="35" t="str">
        <x:v>H14</x:v>
      </x:c>
      <x:c r="J575" s="85" t="b">
        <x:v>1</x:v>
      </x:c>
      <x:c r="K575" s="85" t="b">
        <x:v>1</x:v>
      </x:c>
      <x:c r="L575" s="56" t="str">
        <x:f>'Actions'!BE14</x:f>
        <x:v>OK</x:v>
      </x:c>
      <x:c r="M575" s="44" t="str">
        <x:v>Источник Actions.Preferred Range Min</x:v>
      </x:c>
    </x:row>
    <x:row r="576" ht="36" customHeight="1">
      <x:c r="A576" s="118" t="n">
        <x:v>571</x:v>
      </x:c>
      <x:c r="B576" s="35" t="str">
        <x:v>action</x:v>
      </x:c>
      <x:c r="C576" s="35" t="str">
        <x:v>bear_earthbreaker</x:v>
      </x:c>
      <x:c r="D576" s="35" t="str">
        <x:v>preferred_range_max</x:v>
      </x:c>
      <x:c r="E576" s="38" t="str">
        <x:v>int</x:v>
      </x:c>
      <x:c r="F576" s="56" t="n">
        <x:f>'Actions'!I14</x:f>
        <x:v>1700</x:v>
      </x:c>
      <x:c r="G576" s="38" t="str"/>
      <x:c r="H576" s="35" t="str">
        <x:v>Actions</x:v>
      </x:c>
      <x:c r="I576" s="35" t="str">
        <x:v>I14</x:v>
      </x:c>
      <x:c r="J576" s="85" t="b">
        <x:v>1</x:v>
      </x:c>
      <x:c r="K576" s="85" t="b">
        <x:v>1</x:v>
      </x:c>
      <x:c r="L576" s="56" t="str">
        <x:f>'Actions'!BE14</x:f>
        <x:v>OK</x:v>
      </x:c>
      <x:c r="M576" s="44" t="str">
        <x:v>Источник Actions.Preferred Range Max</x:v>
      </x:c>
    </x:row>
    <x:row r="577" ht="36" customHeight="1">
      <x:c r="A577" s="118" t="n">
        <x:v>572</x:v>
      </x:c>
      <x:c r="B577" s="35" t="str">
        <x:v>action</x:v>
      </x:c>
      <x:c r="C577" s="35" t="str">
        <x:v>bear_earthbreaker</x:v>
      </x:c>
      <x:c r="D577" s="35" t="str">
        <x:v>hit_range_min</x:v>
      </x:c>
      <x:c r="E577" s="38" t="str">
        <x:v>int</x:v>
      </x:c>
      <x:c r="F577" s="56" t="n">
        <x:f>'Actions'!J14</x:f>
        <x:v>0</x:v>
      </x:c>
      <x:c r="G577" s="38" t="str"/>
      <x:c r="H577" s="35" t="str">
        <x:v>Actions</x:v>
      </x:c>
      <x:c r="I577" s="35" t="str">
        <x:v>J14</x:v>
      </x:c>
      <x:c r="J577" s="85" t="b">
        <x:v>1</x:v>
      </x:c>
      <x:c r="K577" s="85" t="b">
        <x:v>1</x:v>
      </x:c>
      <x:c r="L577" s="56" t="str">
        <x:f>'Actions'!BE14</x:f>
        <x:v>OK</x:v>
      </x:c>
      <x:c r="M577" s="44" t="str">
        <x:v>Источник Actions.Hit Range Min</x:v>
      </x:c>
    </x:row>
    <x:row r="578" ht="36" customHeight="1">
      <x:c r="A578" s="118" t="n">
        <x:v>573</x:v>
      </x:c>
      <x:c r="B578" s="35" t="str">
        <x:v>action</x:v>
      </x:c>
      <x:c r="C578" s="35" t="str">
        <x:v>bear_earthbreaker</x:v>
      </x:c>
      <x:c r="D578" s="35" t="str">
        <x:v>hit_range_max</x:v>
      </x:c>
      <x:c r="E578" s="38" t="str">
        <x:v>int</x:v>
      </x:c>
      <x:c r="F578" s="56" t="n">
        <x:f>'Actions'!K14</x:f>
        <x:v>2200</x:v>
      </x:c>
      <x:c r="G578" s="38" t="str"/>
      <x:c r="H578" s="35" t="str">
        <x:v>Actions</x:v>
      </x:c>
      <x:c r="I578" s="35" t="str">
        <x:v>K14</x:v>
      </x:c>
      <x:c r="J578" s="85" t="b">
        <x:v>1</x:v>
      </x:c>
      <x:c r="K578" s="85" t="b">
        <x:v>1</x:v>
      </x:c>
      <x:c r="L578" s="56" t="str">
        <x:f>'Actions'!BE14</x:f>
        <x:v>OK</x:v>
      </x:c>
      <x:c r="M578" s="44" t="str">
        <x:v>Источник Actions.Hit Range Max</x:v>
      </x:c>
    </x:row>
    <x:row r="579" ht="36" customHeight="1">
      <x:c r="A579" s="118" t="n">
        <x:v>574</x:v>
      </x:c>
      <x:c r="B579" s="35" t="str">
        <x:v>action</x:v>
      </x:c>
      <x:c r="C579" s="35" t="str">
        <x:v>bear_earthbreaker</x:v>
      </x:c>
      <x:c r="D579" s="35" t="str">
        <x:v>energy_cost</x:v>
      </x:c>
      <x:c r="E579" s="38" t="str">
        <x:v>int</x:v>
      </x:c>
      <x:c r="F579" s="56" t="n">
        <x:f>'Actions'!L14</x:f>
        <x:v>250</x:v>
      </x:c>
      <x:c r="G579" s="38" t="str"/>
      <x:c r="H579" s="35" t="str">
        <x:v>Actions</x:v>
      </x:c>
      <x:c r="I579" s="35" t="str">
        <x:v>L14</x:v>
      </x:c>
      <x:c r="J579" s="85" t="b">
        <x:v>1</x:v>
      </x:c>
      <x:c r="K579" s="85" t="b">
        <x:v>1</x:v>
      </x:c>
      <x:c r="L579" s="56" t="str">
        <x:f>'Actions'!BE14</x:f>
        <x:v>OK</x:v>
      </x:c>
      <x:c r="M579" s="44" t="str">
        <x:v>Источник Actions.Energy Cost</x:v>
      </x:c>
    </x:row>
    <x:row r="580" ht="36" customHeight="1">
      <x:c r="A580" s="118" t="n">
        <x:v>575</x:v>
      </x:c>
      <x:c r="B580" s="35" t="str">
        <x:v>action</x:v>
      </x:c>
      <x:c r="C580" s="35" t="str">
        <x:v>bear_earthbreaker</x:v>
      </x:c>
      <x:c r="D580" s="35" t="str">
        <x:v>resource_cost</x:v>
      </x:c>
      <x:c r="E580" s="38" t="str">
        <x:v>int</x:v>
      </x:c>
      <x:c r="F580" s="56" t="n">
        <x:f>'Actions'!M14</x:f>
        <x:v>450</x:v>
      </x:c>
      <x:c r="G580" s="38" t="str"/>
      <x:c r="H580" s="35" t="str">
        <x:v>Actions</x:v>
      </x:c>
      <x:c r="I580" s="35" t="str">
        <x:v>M14</x:v>
      </x:c>
      <x:c r="J580" s="85" t="b">
        <x:v>1</x:v>
      </x:c>
      <x:c r="K580" s="85" t="b">
        <x:v>1</x:v>
      </x:c>
      <x:c r="L580" s="56" t="str">
        <x:f>'Actions'!BE14</x:f>
        <x:v>OK</x:v>
      </x:c>
      <x:c r="M580" s="44" t="str">
        <x:v>Источник Actions.Resource Cost</x:v>
      </x:c>
    </x:row>
    <x:row r="581" ht="36" customHeight="1">
      <x:c r="A581" s="118" t="n">
        <x:v>576</x:v>
      </x:c>
      <x:c r="B581" s="35" t="str">
        <x:v>action</x:v>
      </x:c>
      <x:c r="C581" s="35" t="str">
        <x:v>bear_earthbreaker</x:v>
      </x:c>
      <x:c r="D581" s="35" t="str">
        <x:v>base_damage</x:v>
      </x:c>
      <x:c r="E581" s="38" t="str">
        <x:v>int</x:v>
      </x:c>
      <x:c r="F581" s="56" t="n">
        <x:f>'Actions'!N14</x:f>
        <x:v>80</x:v>
      </x:c>
      <x:c r="G581" s="38" t="str"/>
      <x:c r="H581" s="35" t="str">
        <x:v>Actions</x:v>
      </x:c>
      <x:c r="I581" s="35" t="str">
        <x:v>N14</x:v>
      </x:c>
      <x:c r="J581" s="85" t="b">
        <x:v>1</x:v>
      </x:c>
      <x:c r="K581" s="85" t="b">
        <x:v>1</x:v>
      </x:c>
      <x:c r="L581" s="56" t="str">
        <x:f>'Actions'!BE14</x:f>
        <x:v>OK</x:v>
      </x:c>
      <x:c r="M581" s="44" t="str">
        <x:v>Источник Actions.Base Damage / hit</x:v>
      </x:c>
    </x:row>
    <x:row r="582" ht="36" customHeight="1">
      <x:c r="A582" s="118" t="n">
        <x:v>577</x:v>
      </x:c>
      <x:c r="B582" s="35" t="str">
        <x:v>action</x:v>
      </x:c>
      <x:c r="C582" s="35" t="str">
        <x:v>bear_earthbreaker</x:v>
      </x:c>
      <x:c r="D582" s="35" t="str">
        <x:v>power_ratio_fp</x:v>
      </x:c>
      <x:c r="E582" s="38" t="str">
        <x:v>int</x:v>
      </x:c>
      <x:c r="F582" s="56" t="n">
        <x:f>'Actions'!O14</x:f>
        <x:v>1000</x:v>
      </x:c>
      <x:c r="G582" s="38" t="str"/>
      <x:c r="H582" s="35" t="str">
        <x:v>Actions</x:v>
      </x:c>
      <x:c r="I582" s="35" t="str">
        <x:v>O14</x:v>
      </x:c>
      <x:c r="J582" s="85" t="b">
        <x:v>1</x:v>
      </x:c>
      <x:c r="K582" s="85" t="b">
        <x:v>1</x:v>
      </x:c>
      <x:c r="L582" s="56" t="str">
        <x:f>'Actions'!BE14</x:f>
        <x:v>OK</x:v>
      </x:c>
      <x:c r="M582" s="44" t="str">
        <x:v>Источник Actions.Power Ratio FP</x:v>
      </x:c>
    </x:row>
    <x:row r="583" ht="36" customHeight="1">
      <x:c r="A583" s="118" t="n">
        <x:v>578</x:v>
      </x:c>
      <x:c r="B583" s="35" t="str">
        <x:v>action</x:v>
      </x:c>
      <x:c r="C583" s="35" t="str">
        <x:v>bear_earthbreaker</x:v>
      </x:c>
      <x:c r="D583" s="35" t="str">
        <x:v>min_damage</x:v>
      </x:c>
      <x:c r="E583" s="38" t="str">
        <x:v>int</x:v>
      </x:c>
      <x:c r="F583" s="56" t="n">
        <x:f>'Actions'!P14</x:f>
        <x:v>30</x:v>
      </x:c>
      <x:c r="G583" s="38" t="str"/>
      <x:c r="H583" s="35" t="str">
        <x:v>Actions</x:v>
      </x:c>
      <x:c r="I583" s="35" t="str">
        <x:v>P14</x:v>
      </x:c>
      <x:c r="J583" s="85" t="b">
        <x:v>1</x:v>
      </x:c>
      <x:c r="K583" s="85" t="b">
        <x:v>1</x:v>
      </x:c>
      <x:c r="L583" s="56" t="str">
        <x:f>'Actions'!BE14</x:f>
        <x:v>OK</x:v>
      </x:c>
      <x:c r="M583" s="44" t="str">
        <x:v>Источник Actions.Min Damage</x:v>
      </x:c>
    </x:row>
    <x:row r="584" ht="36" customHeight="1">
      <x:c r="A584" s="118" t="n">
        <x:v>579</x:v>
      </x:c>
      <x:c r="B584" s="35" t="str">
        <x:v>action</x:v>
      </x:c>
      <x:c r="C584" s="35" t="str">
        <x:v>bear_earthbreaker</x:v>
      </x:c>
      <x:c r="D584" s="35" t="str">
        <x:v>chip_min</x:v>
      </x:c>
      <x:c r="E584" s="38" t="str">
        <x:v>int</x:v>
      </x:c>
      <x:c r="F584" s="56" t="n">
        <x:f>'Actions'!Q14</x:f>
        <x:v>10</x:v>
      </x:c>
      <x:c r="G584" s="38" t="str"/>
      <x:c r="H584" s="35" t="str">
        <x:v>Actions</x:v>
      </x:c>
      <x:c r="I584" s="35" t="str">
        <x:v>Q14</x:v>
      </x:c>
      <x:c r="J584" s="85" t="b">
        <x:v>1</x:v>
      </x:c>
      <x:c r="K584" s="85" t="b">
        <x:v>1</x:v>
      </x:c>
      <x:c r="L584" s="56" t="str">
        <x:f>'Actions'!BE14</x:f>
        <x:v>OK</x:v>
      </x:c>
      <x:c r="M584" s="44" t="str">
        <x:v>Источник Actions.Chip Min</x:v>
      </x:c>
    </x:row>
    <x:row r="585" ht="36" customHeight="1">
      <x:c r="A585" s="118" t="n">
        <x:v>580</x:v>
      </x:c>
      <x:c r="B585" s="35" t="str">
        <x:v>action</x:v>
      </x:c>
      <x:c r="C585" s="35" t="str">
        <x:v>bear_earthbreaker</x:v>
      </x:c>
      <x:c r="D585" s="35" t="str">
        <x:v>startup_base_ticks</x:v>
      </x:c>
      <x:c r="E585" s="38" t="str">
        <x:v>int</x:v>
      </x:c>
      <x:c r="F585" s="56" t="n">
        <x:f>'Actions'!R14</x:f>
        <x:v>14</x:v>
      </x:c>
      <x:c r="G585" s="38" t="str"/>
      <x:c r="H585" s="35" t="str">
        <x:v>Actions</x:v>
      </x:c>
      <x:c r="I585" s="35" t="str">
        <x:v>R14</x:v>
      </x:c>
      <x:c r="J585" s="85" t="b">
        <x:v>1</x:v>
      </x:c>
      <x:c r="K585" s="85" t="b">
        <x:v>1</x:v>
      </x:c>
      <x:c r="L585" s="56" t="str">
        <x:f>'Actions'!BE14</x:f>
        <x:v>OK</x:v>
      </x:c>
      <x:c r="M585" s="44" t="str">
        <x:v>Источник Actions.Startup Base Ticks</x:v>
      </x:c>
    </x:row>
    <x:row r="586" ht="36" customHeight="1">
      <x:c r="A586" s="118" t="n">
        <x:v>581</x:v>
      </x:c>
      <x:c r="B586" s="35" t="str">
        <x:v>action</x:v>
      </x:c>
      <x:c r="C586" s="35" t="str">
        <x:v>bear_earthbreaker</x:v>
      </x:c>
      <x:c r="D586" s="35" t="str">
        <x:v>startup_min_ticks</x:v>
      </x:c>
      <x:c r="E586" s="38" t="str">
        <x:v>int</x:v>
      </x:c>
      <x:c r="F586" s="56" t="n">
        <x:f>'Actions'!S14</x:f>
        <x:v>10</x:v>
      </x:c>
      <x:c r="G586" s="38" t="str"/>
      <x:c r="H586" s="35" t="str">
        <x:v>Actions</x:v>
      </x:c>
      <x:c r="I586" s="35" t="str">
        <x:v>S14</x:v>
      </x:c>
      <x:c r="J586" s="85" t="b">
        <x:v>1</x:v>
      </x:c>
      <x:c r="K586" s="85" t="b">
        <x:v>1</x:v>
      </x:c>
      <x:c r="L586" s="56" t="str">
        <x:f>'Actions'!BE14</x:f>
        <x:v>OK</x:v>
      </x:c>
      <x:c r="M586" s="44" t="str">
        <x:v>Источник Actions.Startup Min Ticks</x:v>
      </x:c>
    </x:row>
    <x:row r="587" ht="36" customHeight="1">
      <x:c r="A587" s="118" t="n">
        <x:v>582</x:v>
      </x:c>
      <x:c r="B587" s="35" t="str">
        <x:v>action</x:v>
      </x:c>
      <x:c r="C587" s="35" t="str">
        <x:v>bear_earthbreaker</x:v>
      </x:c>
      <x:c r="D587" s="35" t="str">
        <x:v>startup_max_ticks</x:v>
      </x:c>
      <x:c r="E587" s="38" t="str">
        <x:v>int</x:v>
      </x:c>
      <x:c r="F587" s="56" t="n">
        <x:f>'Actions'!T14</x:f>
        <x:v>20</x:v>
      </x:c>
      <x:c r="G587" s="38" t="str"/>
      <x:c r="H587" s="35" t="str">
        <x:v>Actions</x:v>
      </x:c>
      <x:c r="I587" s="35" t="str">
        <x:v>T14</x:v>
      </x:c>
      <x:c r="J587" s="85" t="b">
        <x:v>1</x:v>
      </x:c>
      <x:c r="K587" s="85" t="b">
        <x:v>1</x:v>
      </x:c>
      <x:c r="L587" s="56" t="str">
        <x:f>'Actions'!BE14</x:f>
        <x:v>OK</x:v>
      </x:c>
      <x:c r="M587" s="44" t="str">
        <x:v>Источник Actions.Startup Max Ticks</x:v>
      </x:c>
    </x:row>
    <x:row r="588" ht="36" customHeight="1">
      <x:c r="A588" s="118" t="n">
        <x:v>583</x:v>
      </x:c>
      <x:c r="B588" s="35" t="str">
        <x:v>action</x:v>
      </x:c>
      <x:c r="C588" s="35" t="str">
        <x:v>bear_earthbreaker</x:v>
      </x:c>
      <x:c r="D588" s="35" t="str">
        <x:v>active_ticks</x:v>
      </x:c>
      <x:c r="E588" s="38" t="str">
        <x:v>int</x:v>
      </x:c>
      <x:c r="F588" s="56" t="n">
        <x:f>'Actions'!U14</x:f>
        <x:v>2</x:v>
      </x:c>
      <x:c r="G588" s="38" t="str"/>
      <x:c r="H588" s="35" t="str">
        <x:v>Actions</x:v>
      </x:c>
      <x:c r="I588" s="35" t="str">
        <x:v>U14</x:v>
      </x:c>
      <x:c r="J588" s="85" t="b">
        <x:v>1</x:v>
      </x:c>
      <x:c r="K588" s="85" t="b">
        <x:v>1</x:v>
      </x:c>
      <x:c r="L588" s="56" t="str">
        <x:f>'Actions'!BE14</x:f>
        <x:v>OK</x:v>
      </x:c>
      <x:c r="M588" s="44" t="str">
        <x:v>Источник Actions.Active Ticks</x:v>
      </x:c>
    </x:row>
    <x:row r="589" ht="36" customHeight="1">
      <x:c r="A589" s="118" t="n">
        <x:v>584</x:v>
      </x:c>
      <x:c r="B589" s="35" t="str">
        <x:v>action</x:v>
      </x:c>
      <x:c r="C589" s="35" t="str">
        <x:v>bear_earthbreaker</x:v>
      </x:c>
      <x:c r="D589" s="35" t="str">
        <x:v>hit_schedule</x:v>
      </x:c>
      <x:c r="E589" s="38" t="str">
        <x:v>string</x:v>
      </x:c>
      <x:c r="F589" s="56" t="str">
        <x:f>'Actions'!V14</x:f>
        <x:v>0</x:v>
      </x:c>
      <x:c r="G589" s="38" t="str"/>
      <x:c r="H589" s="35" t="str">
        <x:v>Actions</x:v>
      </x:c>
      <x:c r="I589" s="35" t="str">
        <x:v>V14</x:v>
      </x:c>
      <x:c r="J589" s="85" t="b">
        <x:v>1</x:v>
      </x:c>
      <x:c r="K589" s="85" t="b">
        <x:v>1</x:v>
      </x:c>
      <x:c r="L589" s="56" t="str">
        <x:f>'Actions'!BE14</x:f>
        <x:v>OK</x:v>
      </x:c>
      <x:c r="M589" s="44" t="str">
        <x:v>Источник Actions.Hit Schedule</x:v>
      </x:c>
    </x:row>
    <x:row r="590" ht="36" customHeight="1">
      <x:c r="A590" s="118" t="n">
        <x:v>585</x:v>
      </x:c>
      <x:c r="B590" s="35" t="str">
        <x:v>action</x:v>
      </x:c>
      <x:c r="C590" s="35" t="str">
        <x:v>bear_earthbreaker</x:v>
      </x:c>
      <x:c r="D590" s="35" t="str">
        <x:v>hit_count</x:v>
      </x:c>
      <x:c r="E590" s="38" t="str">
        <x:v>int</x:v>
      </x:c>
      <x:c r="F590" s="56" t="n">
        <x:f>'Actions'!W14</x:f>
        <x:v>1</x:v>
      </x:c>
      <x:c r="G590" s="38" t="str"/>
      <x:c r="H590" s="35" t="str">
        <x:v>Actions</x:v>
      </x:c>
      <x:c r="I590" s="35" t="str">
        <x:v>W14</x:v>
      </x:c>
      <x:c r="J590" s="85" t="b">
        <x:v>1</x:v>
      </x:c>
      <x:c r="K590" s="85" t="b">
        <x:v>1</x:v>
      </x:c>
      <x:c r="L590" s="56" t="str">
        <x:f>'Actions'!BE14</x:f>
        <x:v>OK</x:v>
      </x:c>
      <x:c r="M590" s="44" t="str">
        <x:v>Источник Actions.Hit Count</x:v>
      </x:c>
    </x:row>
    <x:row r="591" ht="36" customHeight="1">
      <x:c r="A591" s="118" t="n">
        <x:v>586</x:v>
      </x:c>
      <x:c r="B591" s="35" t="str">
        <x:v>action</x:v>
      </x:c>
      <x:c r="C591" s="35" t="str">
        <x:v>bear_earthbreaker</x:v>
      </x:c>
      <x:c r="D591" s="35" t="str">
        <x:v>recovery_base_ticks</x:v>
      </x:c>
      <x:c r="E591" s="38" t="str">
        <x:v>int</x:v>
      </x:c>
      <x:c r="F591" s="56" t="n">
        <x:f>'Actions'!X14</x:f>
        <x:v>17</x:v>
      </x:c>
      <x:c r="G591" s="38" t="str"/>
      <x:c r="H591" s="35" t="str">
        <x:v>Actions</x:v>
      </x:c>
      <x:c r="I591" s="35" t="str">
        <x:v>X14</x:v>
      </x:c>
      <x:c r="J591" s="85" t="b">
        <x:v>1</x:v>
      </x:c>
      <x:c r="K591" s="85" t="b">
        <x:v>1</x:v>
      </x:c>
      <x:c r="L591" s="56" t="str">
        <x:f>'Actions'!BE14</x:f>
        <x:v>OK</x:v>
      </x:c>
      <x:c r="M591" s="44" t="str">
        <x:v>Источник Actions.Recovery Base Ticks</x:v>
      </x:c>
    </x:row>
    <x:row r="592" ht="36" customHeight="1">
      <x:c r="A592" s="118" t="n">
        <x:v>587</x:v>
      </x:c>
      <x:c r="B592" s="35" t="str">
        <x:v>action</x:v>
      </x:c>
      <x:c r="C592" s="35" t="str">
        <x:v>bear_earthbreaker</x:v>
      </x:c>
      <x:c r="D592" s="35" t="str">
        <x:v>recovery_min_ticks</x:v>
      </x:c>
      <x:c r="E592" s="38" t="str">
        <x:v>int</x:v>
      </x:c>
      <x:c r="F592" s="56" t="n">
        <x:f>'Actions'!Y14</x:f>
        <x:v>12</x:v>
      </x:c>
      <x:c r="G592" s="38" t="str"/>
      <x:c r="H592" s="35" t="str">
        <x:v>Actions</x:v>
      </x:c>
      <x:c r="I592" s="35" t="str">
        <x:v>Y14</x:v>
      </x:c>
      <x:c r="J592" s="85" t="b">
        <x:v>1</x:v>
      </x:c>
      <x:c r="K592" s="85" t="b">
        <x:v>1</x:v>
      </x:c>
      <x:c r="L592" s="56" t="str">
        <x:f>'Actions'!BE14</x:f>
        <x:v>OK</x:v>
      </x:c>
      <x:c r="M592" s="44" t="str">
        <x:v>Источник Actions.Recovery Min Ticks</x:v>
      </x:c>
    </x:row>
    <x:row r="593" ht="36" customHeight="1">
      <x:c r="A593" s="118" t="n">
        <x:v>588</x:v>
      </x:c>
      <x:c r="B593" s="35" t="str">
        <x:v>action</x:v>
      </x:c>
      <x:c r="C593" s="35" t="str">
        <x:v>bear_earthbreaker</x:v>
      </x:c>
      <x:c r="D593" s="35" t="str">
        <x:v>recovery_max_ticks</x:v>
      </x:c>
      <x:c r="E593" s="38" t="str">
        <x:v>int</x:v>
      </x:c>
      <x:c r="F593" s="56" t="n">
        <x:f>'Actions'!Z14</x:f>
        <x:v>25</x:v>
      </x:c>
      <x:c r="G593" s="38" t="str"/>
      <x:c r="H593" s="35" t="str">
        <x:v>Actions</x:v>
      </x:c>
      <x:c r="I593" s="35" t="str">
        <x:v>Z14</x:v>
      </x:c>
      <x:c r="J593" s="85" t="b">
        <x:v>1</x:v>
      </x:c>
      <x:c r="K593" s="85" t="b">
        <x:v>1</x:v>
      </x:c>
      <x:c r="L593" s="56" t="str">
        <x:f>'Actions'!BE14</x:f>
        <x:v>OK</x:v>
      </x:c>
      <x:c r="M593" s="44" t="str">
        <x:v>Источник Actions.Recovery Max Ticks</x:v>
      </x:c>
    </x:row>
    <x:row r="594" ht="36" customHeight="1">
      <x:c r="A594" s="118" t="n">
        <x:v>589</x:v>
      </x:c>
      <x:c r="B594" s="35" t="str">
        <x:v>action</x:v>
      </x:c>
      <x:c r="C594" s="35" t="str">
        <x:v>bear_earthbreaker</x:v>
      </x:c>
      <x:c r="D594" s="35" t="str">
        <x:v>cooldown_ticks</x:v>
      </x:c>
      <x:c r="E594" s="38" t="str">
        <x:v>int</x:v>
      </x:c>
      <x:c r="F594" s="56" t="n">
        <x:f>'Actions'!AA14</x:f>
        <x:v>75</x:v>
      </x:c>
      <x:c r="G594" s="38" t="str"/>
      <x:c r="H594" s="35" t="str">
        <x:v>Actions</x:v>
      </x:c>
      <x:c r="I594" s="35" t="str">
        <x:v>AA14</x:v>
      </x:c>
      <x:c r="J594" s="85" t="b">
        <x:v>1</x:v>
      </x:c>
      <x:c r="K594" s="85" t="b">
        <x:v>1</x:v>
      </x:c>
      <x:c r="L594" s="56" t="str">
        <x:f>'Actions'!BE14</x:f>
        <x:v>OK</x:v>
      </x:c>
      <x:c r="M594" s="44" t="str">
        <x:v>Источник Actions.Cooldown Ticks</x:v>
      </x:c>
    </x:row>
    <x:row r="595" ht="36" customHeight="1">
      <x:c r="A595" s="118" t="n">
        <x:v>590</x:v>
      </x:c>
      <x:c r="B595" s="35" t="str">
        <x:v>action</x:v>
      </x:c>
      <x:c r="C595" s="35" t="str">
        <x:v>bear_earthbreaker</x:v>
      </x:c>
      <x:c r="D595" s="35" t="str">
        <x:v>action_priority</x:v>
      </x:c>
      <x:c r="E595" s="38" t="str">
        <x:v>int</x:v>
      </x:c>
      <x:c r="F595" s="56" t="n">
        <x:f>'Actions'!AB14</x:f>
        <x:v>60</x:v>
      </x:c>
      <x:c r="G595" s="38" t="str"/>
      <x:c r="H595" s="35" t="str">
        <x:v>Actions</x:v>
      </x:c>
      <x:c r="I595" s="35" t="str">
        <x:v>AB14</x:v>
      </x:c>
      <x:c r="J595" s="85" t="b">
        <x:v>1</x:v>
      </x:c>
      <x:c r="K595" s="85" t="b">
        <x:v>1</x:v>
      </x:c>
      <x:c r="L595" s="56" t="str">
        <x:f>'Actions'!BE14</x:f>
        <x:v>OK</x:v>
      </x:c>
      <x:c r="M595" s="44" t="str">
        <x:v>Источник Actions.Action Priority</x:v>
      </x:c>
    </x:row>
    <x:row r="596" ht="36" customHeight="1">
      <x:c r="A596" s="118" t="n">
        <x:v>591</x:v>
      </x:c>
      <x:c r="B596" s="35" t="str">
        <x:v>action</x:v>
      </x:c>
      <x:c r="C596" s="35" t="str">
        <x:v>bear_earthbreaker</x:v>
      </x:c>
      <x:c r="D596" s="35" t="str">
        <x:v>clash_priority</x:v>
      </x:c>
      <x:c r="E596" s="38" t="str">
        <x:v>int</x:v>
      </x:c>
      <x:c r="F596" s="56" t="n">
        <x:f>'Actions'!AC14</x:f>
        <x:v>60</x:v>
      </x:c>
      <x:c r="G596" s="38" t="str"/>
      <x:c r="H596" s="35" t="str">
        <x:v>Actions</x:v>
      </x:c>
      <x:c r="I596" s="35" t="str">
        <x:v>AC14</x:v>
      </x:c>
      <x:c r="J596" s="85" t="b">
        <x:v>1</x:v>
      </x:c>
      <x:c r="K596" s="85" t="b">
        <x:v>1</x:v>
      </x:c>
      <x:c r="L596" s="56" t="str">
        <x:f>'Actions'!BE14</x:f>
        <x:v>OK</x:v>
      </x:c>
      <x:c r="M596" s="44" t="str">
        <x:v>Источник Actions.Clash Priority</x:v>
      </x:c>
    </x:row>
    <x:row r="597" ht="36" customHeight="1">
      <x:c r="A597" s="118" t="n">
        <x:v>592</x:v>
      </x:c>
      <x:c r="B597" s="35" t="str">
        <x:v>action</x:v>
      </x:c>
      <x:c r="C597" s="35" t="str">
        <x:v>bear_earthbreaker</x:v>
      </x:c>
      <x:c r="D597" s="35" t="str">
        <x:v>grab_priority</x:v>
      </x:c>
      <x:c r="E597" s="38" t="str">
        <x:v>int</x:v>
      </x:c>
      <x:c r="F597" s="56" t="n">
        <x:f>'Actions'!AD14</x:f>
        <x:v>0</x:v>
      </x:c>
      <x:c r="G597" s="38" t="str"/>
      <x:c r="H597" s="35" t="str">
        <x:v>Actions</x:v>
      </x:c>
      <x:c r="I597" s="35" t="str">
        <x:v>AD14</x:v>
      </x:c>
      <x:c r="J597" s="85" t="b">
        <x:v>1</x:v>
      </x:c>
      <x:c r="K597" s="85" t="b">
        <x:v>1</x:v>
      </x:c>
      <x:c r="L597" s="56" t="str">
        <x:f>'Actions'!BE14</x:f>
        <x:v>OK</x:v>
      </x:c>
      <x:c r="M597" s="44" t="str">
        <x:v>Источник Actions.Grab Priority</x:v>
      </x:c>
    </x:row>
    <x:row r="598" ht="36" customHeight="1">
      <x:c r="A598" s="118" t="n">
        <x:v>593</x:v>
      </x:c>
      <x:c r="B598" s="35" t="str">
        <x:v>action</x:v>
      </x:c>
      <x:c r="C598" s="35" t="str">
        <x:v>bear_earthbreaker</x:v>
      </x:c>
      <x:c r="D598" s="35" t="str">
        <x:v>resolution_priority</x:v>
      </x:c>
      <x:c r="E598" s="38" t="str">
        <x:v>int</x:v>
      </x:c>
      <x:c r="F598" s="56" t="n">
        <x:f>'Actions'!AE14</x:f>
        <x:v>60</x:v>
      </x:c>
      <x:c r="G598" s="38" t="str"/>
      <x:c r="H598" s="35" t="str">
        <x:v>Actions</x:v>
      </x:c>
      <x:c r="I598" s="35" t="str">
        <x:v>AE14</x:v>
      </x:c>
      <x:c r="J598" s="85" t="b">
        <x:v>1</x:v>
      </x:c>
      <x:c r="K598" s="85" t="b">
        <x:v>1</x:v>
      </x:c>
      <x:c r="L598" s="56" t="str">
        <x:f>'Actions'!BE14</x:f>
        <x:v>OK</x:v>
      </x:c>
      <x:c r="M598" s="44" t="str">
        <x:v>Источник Actions.Resolution Priority</x:v>
      </x:c>
    </x:row>
    <x:row r="599" ht="36" customHeight="1">
      <x:c r="A599" s="118" t="n">
        <x:v>594</x:v>
      </x:c>
      <x:c r="B599" s="35" t="str">
        <x:v>action</x:v>
      </x:c>
      <x:c r="C599" s="35" t="str">
        <x:v>bear_earthbreaker</x:v>
      </x:c>
      <x:c r="D599" s="35" t="str">
        <x:v>interrupt_profile</x:v>
      </x:c>
      <x:c r="E599" s="38" t="str">
        <x:v>string</x:v>
      </x:c>
      <x:c r="F599" s="56" t="str">
        <x:f>'Actions'!AF14</x:f>
        <x:v>Committed</x:v>
      </x:c>
      <x:c r="G599" s="38" t="str"/>
      <x:c r="H599" s="35" t="str">
        <x:v>Actions</x:v>
      </x:c>
      <x:c r="I599" s="35" t="str">
        <x:v>AF14</x:v>
      </x:c>
      <x:c r="J599" s="85" t="b">
        <x:v>1</x:v>
      </x:c>
      <x:c r="K599" s="85" t="b">
        <x:v>1</x:v>
      </x:c>
      <x:c r="L599" s="56" t="str">
        <x:f>'Actions'!BE14</x:f>
        <x:v>OK</x:v>
      </x:c>
      <x:c r="M599" s="44" t="str">
        <x:v>Источник Actions.Interrupt Profile</x:v>
      </x:c>
    </x:row>
    <x:row r="600" ht="36" customHeight="1">
      <x:c r="A600" s="118" t="n">
        <x:v>595</x:v>
      </x:c>
      <x:c r="B600" s="35" t="str">
        <x:v>action</x:v>
      </x:c>
      <x:c r="C600" s="35" t="str">
        <x:v>bear_earthbreaker</x:v>
      </x:c>
      <x:c r="D600" s="35" t="str">
        <x:v>blockable</x:v>
      </x:c>
      <x:c r="E600" s="38" t="str">
        <x:v>bool</x:v>
      </x:c>
      <x:c r="F600" s="56" t="b">
        <x:f>'Actions'!AG14</x:f>
        <x:v>1</x:v>
      </x:c>
      <x:c r="G600" s="38" t="str"/>
      <x:c r="H600" s="35" t="str">
        <x:v>Actions</x:v>
      </x:c>
      <x:c r="I600" s="35" t="str">
        <x:v>AG14</x:v>
      </x:c>
      <x:c r="J600" s="85" t="b">
        <x:v>1</x:v>
      </x:c>
      <x:c r="K600" s="85" t="b">
        <x:v>1</x:v>
      </x:c>
      <x:c r="L600" s="56" t="str">
        <x:f>'Actions'!BE14</x:f>
        <x:v>OK</x:v>
      </x:c>
      <x:c r="M600" s="44" t="str">
        <x:v>Источник Actions.Blockable</x:v>
      </x:c>
    </x:row>
    <x:row r="601" ht="36" customHeight="1">
      <x:c r="A601" s="118" t="n">
        <x:v>596</x:v>
      </x:c>
      <x:c r="B601" s="35" t="str">
        <x:v>action</x:v>
      </x:c>
      <x:c r="C601" s="35" t="str">
        <x:v>bear_earthbreaker</x:v>
      </x:c>
      <x:c r="D601" s="35" t="str">
        <x:v>dodgeable</x:v>
      </x:c>
      <x:c r="E601" s="38" t="str">
        <x:v>bool</x:v>
      </x:c>
      <x:c r="F601" s="56" t="b">
        <x:f>'Actions'!AH14</x:f>
        <x:v>0</x:v>
      </x:c>
      <x:c r="G601" s="38" t="str"/>
      <x:c r="H601" s="35" t="str">
        <x:v>Actions</x:v>
      </x:c>
      <x:c r="I601" s="35" t="str">
        <x:v>AH14</x:v>
      </x:c>
      <x:c r="J601" s="85" t="b">
        <x:v>1</x:v>
      </x:c>
      <x:c r="K601" s="85" t="b">
        <x:v>1</x:v>
      </x:c>
      <x:c r="L601" s="56" t="str">
        <x:f>'Actions'!BE14</x:f>
        <x:v>OK</x:v>
      </x:c>
      <x:c r="M601" s="44" t="str">
        <x:v>Источник Actions.Dodgeable</x:v>
      </x:c>
    </x:row>
    <x:row r="602" ht="36" customHeight="1">
      <x:c r="A602" s="118" t="n">
        <x:v>597</x:v>
      </x:c>
      <x:c r="B602" s="35" t="str">
        <x:v>action</x:v>
      </x:c>
      <x:c r="C602" s="35" t="str">
        <x:v>bear_earthbreaker</x:v>
      </x:c>
      <x:c r="D602" s="35" t="str">
        <x:v>undodgeable</x:v>
      </x:c>
      <x:c r="E602" s="38" t="str">
        <x:v>bool</x:v>
      </x:c>
      <x:c r="F602" s="56" t="b">
        <x:f>'Actions'!AI14</x:f>
        <x:v>1</x:v>
      </x:c>
      <x:c r="G602" s="38" t="str"/>
      <x:c r="H602" s="35" t="str">
        <x:v>Actions</x:v>
      </x:c>
      <x:c r="I602" s="35" t="str">
        <x:v>AI14</x:v>
      </x:c>
      <x:c r="J602" s="85" t="b">
        <x:v>1</x:v>
      </x:c>
      <x:c r="K602" s="85" t="b">
        <x:v>1</x:v>
      </x:c>
      <x:c r="L602" s="56" t="str">
        <x:f>'Actions'!BE14</x:f>
        <x:v>OK</x:v>
      </x:c>
      <x:c r="M602" s="44" t="str">
        <x:v>Источник Actions.Undodgeable</x:v>
      </x:c>
    </x:row>
    <x:row r="603" ht="36" customHeight="1">
      <x:c r="A603" s="118" t="n">
        <x:v>598</x:v>
      </x:c>
      <x:c r="B603" s="35" t="str">
        <x:v>action</x:v>
      </x:c>
      <x:c r="C603" s="35" t="str">
        <x:v>bear_earthbreaker</x:v>
      </x:c>
      <x:c r="D603" s="35" t="str">
        <x:v>wall_impact</x:v>
      </x:c>
      <x:c r="E603" s="38" t="str">
        <x:v>bool</x:v>
      </x:c>
      <x:c r="F603" s="56" t="b">
        <x:f>'Actions'!AJ14</x:f>
        <x:v>0</x:v>
      </x:c>
      <x:c r="G603" s="38" t="str"/>
      <x:c r="H603" s="35" t="str">
        <x:v>Actions</x:v>
      </x:c>
      <x:c r="I603" s="35" t="str">
        <x:v>AJ14</x:v>
      </x:c>
      <x:c r="J603" s="85" t="b">
        <x:v>1</x:v>
      </x:c>
      <x:c r="K603" s="85" t="b">
        <x:v>1</x:v>
      </x:c>
      <x:c r="L603" s="56" t="str">
        <x:f>'Actions'!BE14</x:f>
        <x:v>OK</x:v>
      </x:c>
      <x:c r="M603" s="44" t="str">
        <x:v>Источник Actions.Wall Impact</x:v>
      </x:c>
    </x:row>
    <x:row r="604" ht="36" customHeight="1">
      <x:c r="A604" s="118" t="n">
        <x:v>599</x:v>
      </x:c>
      <x:c r="B604" s="35" t="str">
        <x:v>action</x:v>
      </x:c>
      <x:c r="C604" s="35" t="str">
        <x:v>bear_earthbreaker</x:v>
      </x:c>
      <x:c r="D604" s="35" t="str">
        <x:v>track_target</x:v>
      </x:c>
      <x:c r="E604" s="38" t="str">
        <x:v>bool</x:v>
      </x:c>
      <x:c r="F604" s="56" t="b">
        <x:f>'Actions'!AK14</x:f>
        <x:v>0</x:v>
      </x:c>
      <x:c r="G604" s="38" t="str"/>
      <x:c r="H604" s="35" t="str">
        <x:v>Actions</x:v>
      </x:c>
      <x:c r="I604" s="35" t="str">
        <x:v>AK14</x:v>
      </x:c>
      <x:c r="J604" s="85" t="b">
        <x:v>1</x:v>
      </x:c>
      <x:c r="K604" s="85" t="b">
        <x:v>1</x:v>
      </x:c>
      <x:c r="L604" s="56" t="str">
        <x:f>'Actions'!BE14</x:f>
        <x:v>OK</x:v>
      </x:c>
      <x:c r="M604" s="44" t="str">
        <x:v>Источник Actions.Track Target</x:v>
      </x:c>
    </x:row>
    <x:row r="605" ht="36" customHeight="1">
      <x:c r="A605" s="118" t="n">
        <x:v>600</x:v>
      </x:c>
      <x:c r="B605" s="35" t="str">
        <x:v>action</x:v>
      </x:c>
      <x:c r="C605" s="35" t="str">
        <x:v>bear_earthbreaker</x:v>
      </x:c>
      <x:c r="D605" s="35" t="str">
        <x:v>block_base_chance_fp</x:v>
      </x:c>
      <x:c r="E605" s="38" t="str">
        <x:v>int</x:v>
      </x:c>
      <x:c r="F605" s="56" t="n">
        <x:f>'Actions'!AL14</x:f>
        <x:v>0</x:v>
      </x:c>
      <x:c r="G605" s="38" t="str"/>
      <x:c r="H605" s="35" t="str">
        <x:v>Actions</x:v>
      </x:c>
      <x:c r="I605" s="35" t="str">
        <x:v>AL14</x:v>
      </x:c>
      <x:c r="J605" s="85" t="b">
        <x:v>1</x:v>
      </x:c>
      <x:c r="K605" s="85" t="b">
        <x:v>1</x:v>
      </x:c>
      <x:c r="L605" s="56" t="str">
        <x:f>'Actions'!BE14</x:f>
        <x:v>OK</x:v>
      </x:c>
      <x:c r="M605" s="44" t="str">
        <x:v>Источник Actions.Block Base Chance FP</x:v>
      </x:c>
    </x:row>
    <x:row r="606" ht="36" customHeight="1">
      <x:c r="A606" s="118" t="n">
        <x:v>601</x:v>
      </x:c>
      <x:c r="B606" s="35" t="str">
        <x:v>action</x:v>
      </x:c>
      <x:c r="C606" s="35" t="str">
        <x:v>bear_earthbreaker</x:v>
      </x:c>
      <x:c r="D606" s="35" t="str">
        <x:v>block_reduction_fp</x:v>
      </x:c>
      <x:c r="E606" s="38" t="str">
        <x:v>int</x:v>
      </x:c>
      <x:c r="F606" s="56" t="n">
        <x:f>'Actions'!AM14</x:f>
        <x:v>0</x:v>
      </x:c>
      <x:c r="G606" s="38" t="str"/>
      <x:c r="H606" s="35" t="str">
        <x:v>Actions</x:v>
      </x:c>
      <x:c r="I606" s="35" t="str">
        <x:v>AM14</x:v>
      </x:c>
      <x:c r="J606" s="85" t="b">
        <x:v>1</x:v>
      </x:c>
      <x:c r="K606" s="85" t="b">
        <x:v>1</x:v>
      </x:c>
      <x:c r="L606" s="56" t="str">
        <x:f>'Actions'!BE14</x:f>
        <x:v>OK</x:v>
      </x:c>
      <x:c r="M606" s="44" t="str">
        <x:v>Источник Actions.Block Reduction FP</x:v>
      </x:c>
    </x:row>
    <x:row r="607" ht="36" customHeight="1">
      <x:c r="A607" s="118" t="n">
        <x:v>602</x:v>
      </x:c>
      <x:c r="B607" s="35" t="str">
        <x:v>action</x:v>
      </x:c>
      <x:c r="C607" s="35" t="str">
        <x:v>bear_earthbreaker</x:v>
      </x:c>
      <x:c r="D607" s="35" t="str">
        <x:v>dodge_base_chance_fp</x:v>
      </x:c>
      <x:c r="E607" s="38" t="str">
        <x:v>int</x:v>
      </x:c>
      <x:c r="F607" s="56" t="n">
        <x:f>'Actions'!AN14</x:f>
        <x:v>0</x:v>
      </x:c>
      <x:c r="G607" s="38" t="str"/>
      <x:c r="H607" s="35" t="str">
        <x:v>Actions</x:v>
      </x:c>
      <x:c r="I607" s="35" t="str">
        <x:v>AN14</x:v>
      </x:c>
      <x:c r="J607" s="85" t="b">
        <x:v>1</x:v>
      </x:c>
      <x:c r="K607" s="85" t="b">
        <x:v>1</x:v>
      </x:c>
      <x:c r="L607" s="56" t="str">
        <x:f>'Actions'!BE14</x:f>
        <x:v>OK</x:v>
      </x:c>
      <x:c r="M607" s="44" t="str">
        <x:v>Источник Actions.Dodge Base Chance FP</x:v>
      </x:c>
    </x:row>
    <x:row r="608" ht="36" customHeight="1">
      <x:c r="A608" s="118" t="n">
        <x:v>603</x:v>
      </x:c>
      <x:c r="B608" s="35" t="str">
        <x:v>action</x:v>
      </x:c>
      <x:c r="C608" s="35" t="str">
        <x:v>bear_earthbreaker</x:v>
      </x:c>
      <x:c r="D608" s="35" t="str">
        <x:v>movement_mode</x:v>
      </x:c>
      <x:c r="E608" s="38" t="str">
        <x:v>string</x:v>
      </x:c>
      <x:c r="F608" s="56" t="str">
        <x:f>'Actions'!AO14</x:f>
        <x:v>None</x:v>
      </x:c>
      <x:c r="G608" s="38" t="str"/>
      <x:c r="H608" s="35" t="str">
        <x:v>Actions</x:v>
      </x:c>
      <x:c r="I608" s="35" t="str">
        <x:v>AO14</x:v>
      </x:c>
      <x:c r="J608" s="85" t="b">
        <x:v>1</x:v>
      </x:c>
      <x:c r="K608" s="85" t="b">
        <x:v>1</x:v>
      </x:c>
      <x:c r="L608" s="56" t="str">
        <x:f>'Actions'!BE14</x:f>
        <x:v>OK</x:v>
      </x:c>
      <x:c r="M608" s="44" t="str">
        <x:v>Источник Actions.Movement Mode</x:v>
      </x:c>
    </x:row>
    <x:row r="609" ht="36" customHeight="1">
      <x:c r="A609" s="118" t="n">
        <x:v>604</x:v>
      </x:c>
      <x:c r="B609" s="35" t="str">
        <x:v>action</x:v>
      </x:c>
      <x:c r="C609" s="35" t="str">
        <x:v>bear_earthbreaker</x:v>
      </x:c>
      <x:c r="D609" s="35" t="str">
        <x:v>move_distance</x:v>
      </x:c>
      <x:c r="E609" s="38" t="str">
        <x:v>int</x:v>
      </x:c>
      <x:c r="F609" s="56" t="n">
        <x:f>'Actions'!AP14</x:f>
        <x:v>0</x:v>
      </x:c>
      <x:c r="G609" s="38" t="str"/>
      <x:c r="H609" s="35" t="str">
        <x:v>Actions</x:v>
      </x:c>
      <x:c r="I609" s="35" t="str">
        <x:v>AP14</x:v>
      </x:c>
      <x:c r="J609" s="85" t="b">
        <x:v>1</x:v>
      </x:c>
      <x:c r="K609" s="85" t="b">
        <x:v>1</x:v>
      </x:c>
      <x:c r="L609" s="56" t="str">
        <x:f>'Actions'!BE14</x:f>
        <x:v>OK</x:v>
      </x:c>
      <x:c r="M609" s="44" t="str">
        <x:v>Источник Actions.Move Distance</x:v>
      </x:c>
    </x:row>
    <x:row r="610" ht="36" customHeight="1">
      <x:c r="A610" s="118" t="n">
        <x:v>605</x:v>
      </x:c>
      <x:c r="B610" s="35" t="str">
        <x:v>action</x:v>
      </x:c>
      <x:c r="C610" s="35" t="str">
        <x:v>bear_earthbreaker</x:v>
      </x:c>
      <x:c r="D610" s="35" t="str">
        <x:v>base_stagger</x:v>
      </x:c>
      <x:c r="E610" s="38" t="str">
        <x:v>int</x:v>
      </x:c>
      <x:c r="F610" s="56" t="n">
        <x:f>'Actions'!AQ14</x:f>
        <x:v>220</x:v>
      </x:c>
      <x:c r="G610" s="38" t="str"/>
      <x:c r="H610" s="35" t="str">
        <x:v>Actions</x:v>
      </x:c>
      <x:c r="I610" s="35" t="str">
        <x:v>AQ14</x:v>
      </x:c>
      <x:c r="J610" s="85" t="b">
        <x:v>1</x:v>
      </x:c>
      <x:c r="K610" s="85" t="b">
        <x:v>1</x:v>
      </x:c>
      <x:c r="L610" s="56" t="str">
        <x:f>'Actions'!BE14</x:f>
        <x:v>OK</x:v>
      </x:c>
      <x:c r="M610" s="44" t="str">
        <x:v>Источник Actions.Base Stagger</x:v>
      </x:c>
    </x:row>
    <x:row r="611" ht="36" customHeight="1">
      <x:c r="A611" s="118" t="n">
        <x:v>606</x:v>
      </x:c>
      <x:c r="B611" s="35" t="str">
        <x:v>action</x:v>
      </x:c>
      <x:c r="C611" s="35" t="str">
        <x:v>bear_earthbreaker</x:v>
      </x:c>
      <x:c r="D611" s="35" t="str">
        <x:v>base_stun_ticks</x:v>
      </x:c>
      <x:c r="E611" s="38" t="str">
        <x:v>int</x:v>
      </x:c>
      <x:c r="F611" s="56" t="n">
        <x:f>'Actions'!AR14</x:f>
        <x:v>10</x:v>
      </x:c>
      <x:c r="G611" s="38" t="str"/>
      <x:c r="H611" s="35" t="str">
        <x:v>Actions</x:v>
      </x:c>
      <x:c r="I611" s="35" t="str">
        <x:v>AR14</x:v>
      </x:c>
      <x:c r="J611" s="85" t="b">
        <x:v>1</x:v>
      </x:c>
      <x:c r="K611" s="85" t="b">
        <x:v>1</x:v>
      </x:c>
      <x:c r="L611" s="56" t="str">
        <x:f>'Actions'!BE14</x:f>
        <x:v>OK</x:v>
      </x:c>
      <x:c r="M611" s="44" t="str">
        <x:v>Источник Actions.Base Stun Ticks</x:v>
      </x:c>
    </x:row>
    <x:row r="612" ht="36" customHeight="1">
      <x:c r="A612" s="118" t="n">
        <x:v>607</x:v>
      </x:c>
      <x:c r="B612" s="35" t="str">
        <x:v>action</x:v>
      </x:c>
      <x:c r="C612" s="35" t="str">
        <x:v>bear_earthbreaker</x:v>
      </x:c>
      <x:c r="D612" s="35" t="str">
        <x:v>base_knockback</x:v>
      </x:c>
      <x:c r="E612" s="38" t="str">
        <x:v>int</x:v>
      </x:c>
      <x:c r="F612" s="56" t="n">
        <x:f>'Actions'!AS14</x:f>
        <x:v>250</x:v>
      </x:c>
      <x:c r="G612" s="38" t="str"/>
      <x:c r="H612" s="35" t="str">
        <x:v>Actions</x:v>
      </x:c>
      <x:c r="I612" s="35" t="str">
        <x:v>AS14</x:v>
      </x:c>
      <x:c r="J612" s="85" t="b">
        <x:v>1</x:v>
      </x:c>
      <x:c r="K612" s="85" t="b">
        <x:v>1</x:v>
      </x:c>
      <x:c r="L612" s="56" t="str">
        <x:f>'Actions'!BE14</x:f>
        <x:v>OK</x:v>
      </x:c>
      <x:c r="M612" s="44" t="str">
        <x:v>Источник Actions.Base Knockback</x:v>
      </x:c>
    </x:row>
    <x:row r="613" ht="36" customHeight="1">
      <x:c r="A613" s="118" t="n">
        <x:v>608</x:v>
      </x:c>
      <x:c r="B613" s="35" t="str">
        <x:v>action</x:v>
      </x:c>
      <x:c r="C613" s="35" t="str">
        <x:v>bear_earthbreaker</x:v>
      </x:c>
      <x:c r="D613" s="35" t="str">
        <x:v>knockback_min</x:v>
      </x:c>
      <x:c r="E613" s="38" t="str">
        <x:v>int</x:v>
      </x:c>
      <x:c r="F613" s="56" t="n">
        <x:f>'Actions'!AT14</x:f>
        <x:v>0</x:v>
      </x:c>
      <x:c r="G613" s="38" t="str"/>
      <x:c r="H613" s="35" t="str">
        <x:v>Actions</x:v>
      </x:c>
      <x:c r="I613" s="35" t="str">
        <x:v>AT14</x:v>
      </x:c>
      <x:c r="J613" s="85" t="b">
        <x:v>1</x:v>
      </x:c>
      <x:c r="K613" s="85" t="b">
        <x:v>1</x:v>
      </x:c>
      <x:c r="L613" s="56" t="str">
        <x:f>'Actions'!BE14</x:f>
        <x:v>OK</x:v>
      </x:c>
      <x:c r="M613" s="44" t="str">
        <x:v>Источник Actions.Knockback Min</x:v>
      </x:c>
    </x:row>
    <x:row r="614" ht="36" customHeight="1">
      <x:c r="A614" s="118" t="n">
        <x:v>609</x:v>
      </x:c>
      <x:c r="B614" s="35" t="str">
        <x:v>action</x:v>
      </x:c>
      <x:c r="C614" s="35" t="str">
        <x:v>bear_earthbreaker</x:v>
      </x:c>
      <x:c r="D614" s="35" t="str">
        <x:v>knockback_max</x:v>
      </x:c>
      <x:c r="E614" s="38" t="str">
        <x:v>int</x:v>
      </x:c>
      <x:c r="F614" s="56" t="n">
        <x:f>'Actions'!AU14</x:f>
        <x:v>500</x:v>
      </x:c>
      <x:c r="G614" s="38" t="str"/>
      <x:c r="H614" s="35" t="str">
        <x:v>Actions</x:v>
      </x:c>
      <x:c r="I614" s="35" t="str">
        <x:v>AU14</x:v>
      </x:c>
      <x:c r="J614" s="85" t="b">
        <x:v>1</x:v>
      </x:c>
      <x:c r="K614" s="85" t="b">
        <x:v>1</x:v>
      </x:c>
      <x:c r="L614" s="56" t="str">
        <x:f>'Actions'!BE14</x:f>
        <x:v>OK</x:v>
      </x:c>
      <x:c r="M614" s="44" t="str">
        <x:v>Источник Actions.Knockback Max</x:v>
      </x:c>
    </x:row>
    <x:row r="615" ht="36" customHeight="1">
      <x:c r="A615" s="118" t="n">
        <x:v>610</x:v>
      </x:c>
      <x:c r="B615" s="35" t="str">
        <x:v>action</x:v>
      </x:c>
      <x:c r="C615" s="35" t="str">
        <x:v>bear_earthbreaker</x:v>
      </x:c>
      <x:c r="D615" s="35" t="str">
        <x:v>wall_damage_per_unit_fp</x:v>
      </x:c>
      <x:c r="E615" s="38" t="str">
        <x:v>int</x:v>
      </x:c>
      <x:c r="F615" s="56" t="n">
        <x:f>'Actions'!AV14</x:f>
        <x:v>0</x:v>
      </x:c>
      <x:c r="G615" s="38" t="str"/>
      <x:c r="H615" s="35" t="str">
        <x:v>Actions</x:v>
      </x:c>
      <x:c r="I615" s="35" t="str">
        <x:v>AV14</x:v>
      </x:c>
      <x:c r="J615" s="85" t="b">
        <x:v>1</x:v>
      </x:c>
      <x:c r="K615" s="85" t="b">
        <x:v>1</x:v>
      </x:c>
      <x:c r="L615" s="56" t="str">
        <x:f>'Actions'!BE14</x:f>
        <x:v>OK</x:v>
      </x:c>
      <x:c r="M615" s="44" t="str">
        <x:v>Источник Actions.Wall Damage / Unit FP</x:v>
      </x:c>
    </x:row>
    <x:row r="616" ht="36" customHeight="1">
      <x:c r="A616" s="118" t="n">
        <x:v>611</x:v>
      </x:c>
      <x:c r="B616" s="35" t="str">
        <x:v>action</x:v>
      </x:c>
      <x:c r="C616" s="35" t="str">
        <x:v>bear_earthbreaker</x:v>
      </x:c>
      <x:c r="D616" s="35" t="str">
        <x:v>wall_damage_min</x:v>
      </x:c>
      <x:c r="E616" s="38" t="str">
        <x:v>int</x:v>
      </x:c>
      <x:c r="F616" s="56" t="n">
        <x:f>'Actions'!AW14</x:f>
        <x:v>0</x:v>
      </x:c>
      <x:c r="G616" s="38" t="str"/>
      <x:c r="H616" s="35" t="str">
        <x:v>Actions</x:v>
      </x:c>
      <x:c r="I616" s="35" t="str">
        <x:v>AW14</x:v>
      </x:c>
      <x:c r="J616" s="85" t="b">
        <x:v>1</x:v>
      </x:c>
      <x:c r="K616" s="85" t="b">
        <x:v>1</x:v>
      </x:c>
      <x:c r="L616" s="56" t="str">
        <x:f>'Actions'!BE14</x:f>
        <x:v>OK</x:v>
      </x:c>
      <x:c r="M616" s="44" t="str">
        <x:v>Источник Actions.Wall Damage Min</x:v>
      </x:c>
    </x:row>
    <x:row r="617" ht="36" customHeight="1">
      <x:c r="A617" s="118" t="n">
        <x:v>612</x:v>
      </x:c>
      <x:c r="B617" s="35" t="str">
        <x:v>action</x:v>
      </x:c>
      <x:c r="C617" s="35" t="str">
        <x:v>bear_earthbreaker</x:v>
      </x:c>
      <x:c r="D617" s="35" t="str">
        <x:v>wall_damage_max</x:v>
      </x:c>
      <x:c r="E617" s="38" t="str">
        <x:v>int</x:v>
      </x:c>
      <x:c r="F617" s="56" t="n">
        <x:f>'Actions'!AX14</x:f>
        <x:v>0</x:v>
      </x:c>
      <x:c r="G617" s="38" t="str"/>
      <x:c r="H617" s="35" t="str">
        <x:v>Actions</x:v>
      </x:c>
      <x:c r="I617" s="35" t="str">
        <x:v>AX14</x:v>
      </x:c>
      <x:c r="J617" s="85" t="b">
        <x:v>1</x:v>
      </x:c>
      <x:c r="K617" s="85" t="b">
        <x:v>1</x:v>
      </x:c>
      <x:c r="L617" s="56" t="str">
        <x:f>'Actions'!BE14</x:f>
        <x:v>OK</x:v>
      </x:c>
      <x:c r="M617" s="44" t="str">
        <x:v>Источник Actions.Wall Damage Max</x:v>
      </x:c>
    </x:row>
    <x:row r="618" ht="36" customHeight="1">
      <x:c r="A618" s="118" t="n">
        <x:v>613</x:v>
      </x:c>
      <x:c r="B618" s="35" t="str">
        <x:v>action</x:v>
      </x:c>
      <x:c r="C618" s="35" t="str">
        <x:v>bear_earthbreaker</x:v>
      </x:c>
      <x:c r="D618" s="35" t="str">
        <x:v>max_consecutive_uses</x:v>
      </x:c>
      <x:c r="E618" s="38" t="str">
        <x:v>int</x:v>
      </x:c>
      <x:c r="F618" s="56" t="n">
        <x:f>'Actions'!AY14</x:f>
        <x:v>1</x:v>
      </x:c>
      <x:c r="G618" s="38" t="str"/>
      <x:c r="H618" s="35" t="str">
        <x:v>Actions</x:v>
      </x:c>
      <x:c r="I618" s="35" t="str">
        <x:v>AY14</x:v>
      </x:c>
      <x:c r="J618" s="85" t="b">
        <x:v>1</x:v>
      </x:c>
      <x:c r="K618" s="85" t="b">
        <x:v>1</x:v>
      </x:c>
      <x:c r="L618" s="56" t="str">
        <x:f>'Actions'!BE14</x:f>
        <x:v>OK</x:v>
      </x:c>
      <x:c r="M618" s="44" t="str">
        <x:v>Источник Actions.Max Consecutive Uses</x:v>
      </x:c>
    </x:row>
    <x:row r="619" ht="36" customHeight="1">
      <x:c r="A619" s="118" t="n">
        <x:v>614</x:v>
      </x:c>
      <x:c r="B619" s="35" t="str">
        <x:v>action</x:v>
      </x:c>
      <x:c r="C619" s="35" t="str">
        <x:v>bear_earthbreaker</x:v>
      </x:c>
      <x:c r="D619" s="35" t="str">
        <x:v>opportunity_cap_fp</x:v>
      </x:c>
      <x:c r="E619" s="38" t="str">
        <x:v>int</x:v>
      </x:c>
      <x:c r="F619" s="56" t="n">
        <x:f>'Actions'!AZ14</x:f>
        <x:v>2500</x:v>
      </x:c>
      <x:c r="G619" s="38" t="str"/>
      <x:c r="H619" s="35" t="str">
        <x:v>Actions</x:v>
      </x:c>
      <x:c r="I619" s="35" t="str">
        <x:v>AZ14</x:v>
      </x:c>
      <x:c r="J619" s="85" t="b">
        <x:v>1</x:v>
      </x:c>
      <x:c r="K619" s="85" t="b">
        <x:v>1</x:v>
      </x:c>
      <x:c r="L619" s="56" t="str">
        <x:f>'Actions'!BE14</x:f>
        <x:v>OK</x:v>
      </x:c>
      <x:c r="M619" s="44" t="str">
        <x:v>Источник Actions.Opportunity Cap FP</x:v>
      </x:c>
    </x:row>
    <x:row r="620" ht="36" customHeight="1">
      <x:c r="A620" s="118" t="n">
        <x:v>615</x:v>
      </x:c>
      <x:c r="B620" s="35" t="str">
        <x:v>action</x:v>
      </x:c>
      <x:c r="C620" s="35" t="str">
        <x:v>bear_earthbreaker</x:v>
      </x:c>
      <x:c r="D620" s="35" t="str">
        <x:v>hard_opportunity_misses</x:v>
      </x:c>
      <x:c r="E620" s="38" t="str">
        <x:v>int</x:v>
      </x:c>
      <x:c r="F620" s="56" t="n">
        <x:f>'Actions'!BA14</x:f>
        <x:v>4</x:v>
      </x:c>
      <x:c r="G620" s="38" t="str"/>
      <x:c r="H620" s="35" t="str">
        <x:v>Actions</x:v>
      </x:c>
      <x:c r="I620" s="35" t="str">
        <x:v>BA14</x:v>
      </x:c>
      <x:c r="J620" s="85" t="b">
        <x:v>1</x:v>
      </x:c>
      <x:c r="K620" s="85" t="b">
        <x:v>1</x:v>
      </x:c>
      <x:c r="L620" s="56" t="str">
        <x:f>'Actions'!BE14</x:f>
        <x:v>OK</x:v>
      </x:c>
      <x:c r="M620" s="44" t="str">
        <x:v>Источник Actions.Hard Opportunity Misses</x:v>
      </x:c>
    </x:row>
    <x:row r="621" ht="36" customHeight="1">
      <x:c r="A621" s="118" t="n">
        <x:v>616</x:v>
      </x:c>
      <x:c r="B621" s="35" t="str">
        <x:v>action</x:v>
      </x:c>
      <x:c r="C621" s="35" t="str">
        <x:v>bear_fury_maul</x:v>
      </x:c>
      <x:c r="D621" s="35" t="str">
        <x:v>action_id</x:v>
      </x:c>
      <x:c r="E621" s="38" t="str">
        <x:v>string</x:v>
      </x:c>
      <x:c r="F621" s="56" t="str">
        <x:f>'Actions'!A15</x:f>
        <x:v>bear_fury_maul</x:v>
      </x:c>
      <x:c r="G621" s="38" t="str"/>
      <x:c r="H621" s="35" t="str">
        <x:v>Actions</x:v>
      </x:c>
      <x:c r="I621" s="35" t="str">
        <x:v>A15</x:v>
      </x:c>
      <x:c r="J621" s="85" t="b">
        <x:v>1</x:v>
      </x:c>
      <x:c r="K621" s="85" t="b">
        <x:v>1</x:v>
      </x:c>
      <x:c r="L621" s="56" t="str">
        <x:f>'Actions'!BE15</x:f>
        <x:v>OK</x:v>
      </x:c>
      <x:c r="M621" s="44" t="str">
        <x:v>Источник Actions.Action ID</x:v>
      </x:c>
    </x:row>
    <x:row r="622" ht="36" customHeight="1">
      <x:c r="A622" s="118" t="n">
        <x:v>617</x:v>
      </x:c>
      <x:c r="B622" s="35" t="str">
        <x:v>action</x:v>
      </x:c>
      <x:c r="C622" s="35" t="str">
        <x:v>bear_fury_maul</x:v>
      </x:c>
      <x:c r="D622" s="35" t="str">
        <x:v>animal_id</x:v>
      </x:c>
      <x:c r="E622" s="38" t="str">
        <x:v>string</x:v>
      </x:c>
      <x:c r="F622" s="56" t="str">
        <x:f>'Actions'!B15</x:f>
        <x:v>bear</x:v>
      </x:c>
      <x:c r="G622" s="38" t="str"/>
      <x:c r="H622" s="35" t="str">
        <x:v>Actions</x:v>
      </x:c>
      <x:c r="I622" s="35" t="str">
        <x:v>B15</x:v>
      </x:c>
      <x:c r="J622" s="85" t="b">
        <x:v>1</x:v>
      </x:c>
      <x:c r="K622" s="85" t="b">
        <x:v>1</x:v>
      </x:c>
      <x:c r="L622" s="56" t="str">
        <x:f>'Actions'!BE15</x:f>
        <x:v>OK</x:v>
      </x:c>
      <x:c r="M622" s="44" t="str">
        <x:v>Источник Actions.Animal ID</x:v>
      </x:c>
    </x:row>
    <x:row r="623" ht="36" customHeight="1">
      <x:c r="A623" s="118" t="n">
        <x:v>618</x:v>
      </x:c>
      <x:c r="B623" s="35" t="str">
        <x:v>action</x:v>
      </x:c>
      <x:c r="C623" s="35" t="str">
        <x:v>bear_fury_maul</x:v>
      </x:c>
      <x:c r="D623" s="35" t="str">
        <x:v>slot_type</x:v>
      </x:c>
      <x:c r="E623" s="38" t="str">
        <x:v>string</x:v>
      </x:c>
      <x:c r="F623" s="56" t="str">
        <x:f>'Actions'!D15</x:f>
        <x:v>Special</x:v>
      </x:c>
      <x:c r="G623" s="38" t="str"/>
      <x:c r="H623" s="35" t="str">
        <x:v>Actions</x:v>
      </x:c>
      <x:c r="I623" s="35" t="str">
        <x:v>D15</x:v>
      </x:c>
      <x:c r="J623" s="85" t="b">
        <x:v>1</x:v>
      </x:c>
      <x:c r="K623" s="85" t="b">
        <x:v>1</x:v>
      </x:c>
      <x:c r="L623" s="56" t="str">
        <x:f>'Actions'!BE15</x:f>
        <x:v>OK</x:v>
      </x:c>
      <x:c r="M623" s="44" t="str">
        <x:v>Источник Actions.Slot Type</x:v>
      </x:c>
    </x:row>
    <x:row r="624" ht="36" customHeight="1">
      <x:c r="A624" s="118" t="n">
        <x:v>619</x:v>
      </x:c>
      <x:c r="B624" s="35" t="str">
        <x:v>action</x:v>
      </x:c>
      <x:c r="C624" s="35" t="str">
        <x:v>bear_fury_maul</x:v>
      </x:c>
      <x:c r="D624" s="35" t="str">
        <x:v>category</x:v>
      </x:c>
      <x:c r="E624" s="38" t="str">
        <x:v>string</x:v>
      </x:c>
      <x:c r="F624" s="56" t="str">
        <x:f>'Actions'!E15</x:f>
        <x:v>SignatureMultiHit</x:v>
      </x:c>
      <x:c r="G624" s="38" t="str"/>
      <x:c r="H624" s="35" t="str">
        <x:v>Actions</x:v>
      </x:c>
      <x:c r="I624" s="35" t="str">
        <x:v>E15</x:v>
      </x:c>
      <x:c r="J624" s="85" t="b">
        <x:v>1</x:v>
      </x:c>
      <x:c r="K624" s="85" t="b">
        <x:v>1</x:v>
      </x:c>
      <x:c r="L624" s="56" t="str">
        <x:f>'Actions'!BE15</x:f>
        <x:v>OK</x:v>
      </x:c>
      <x:c r="M624" s="44" t="str">
        <x:v>Источник Actions.Category</x:v>
      </x:c>
    </x:row>
    <x:row r="625" ht="36" customHeight="1">
      <x:c r="A625" s="118" t="n">
        <x:v>620</x:v>
      </x:c>
      <x:c r="B625" s="35" t="str">
        <x:v>action</x:v>
      </x:c>
      <x:c r="C625" s="35" t="str">
        <x:v>bear_fury_maul</x:v>
      </x:c>
      <x:c r="D625" s="35" t="str">
        <x:v>tags</x:v>
      </x:c>
      <x:c r="E625" s="38" t="str">
        <x:v>string</x:v>
      </x:c>
      <x:c r="F625" s="56" t="str">
        <x:f>'Actions'!F15</x:f>
        <x:v>special|signature|multi_hit|finisher|punish</x:v>
      </x:c>
      <x:c r="G625" s="38" t="str"/>
      <x:c r="H625" s="35" t="str">
        <x:v>Actions</x:v>
      </x:c>
      <x:c r="I625" s="35" t="str">
        <x:v>F15</x:v>
      </x:c>
      <x:c r="J625" s="85" t="b">
        <x:v>1</x:v>
      </x:c>
      <x:c r="K625" s="85" t="b">
        <x:v>1</x:v>
      </x:c>
      <x:c r="L625" s="56" t="str">
        <x:f>'Actions'!BE15</x:f>
        <x:v>OK</x:v>
      </x:c>
      <x:c r="M625" s="44" t="str">
        <x:v>Источник Actions.Tags</x:v>
      </x:c>
    </x:row>
    <x:row r="626" ht="36" customHeight="1">
      <x:c r="A626" s="118" t="n">
        <x:v>621</x:v>
      </x:c>
      <x:c r="B626" s="35" t="str">
        <x:v>action</x:v>
      </x:c>
      <x:c r="C626" s="35" t="str">
        <x:v>bear_fury_maul</x:v>
      </x:c>
      <x:c r="D626" s="35" t="str">
        <x:v>base_weight</x:v>
      </x:c>
      <x:c r="E626" s="38" t="str">
        <x:v>int</x:v>
      </x:c>
      <x:c r="F626" s="56" t="n">
        <x:f>'Actions'!G15</x:f>
        <x:v>420</x:v>
      </x:c>
      <x:c r="G626" s="38" t="str"/>
      <x:c r="H626" s="35" t="str">
        <x:v>Actions</x:v>
      </x:c>
      <x:c r="I626" s="35" t="str">
        <x:v>G15</x:v>
      </x:c>
      <x:c r="J626" s="85" t="b">
        <x:v>1</x:v>
      </x:c>
      <x:c r="K626" s="85" t="b">
        <x:v>1</x:v>
      </x:c>
      <x:c r="L626" s="56" t="str">
        <x:f>'Actions'!BE15</x:f>
        <x:v>OK</x:v>
      </x:c>
      <x:c r="M626" s="44" t="str">
        <x:v>Источник Actions.Base Weight</x:v>
      </x:c>
    </x:row>
    <x:row r="627" ht="36" customHeight="1">
      <x:c r="A627" s="118" t="n">
        <x:v>622</x:v>
      </x:c>
      <x:c r="B627" s="35" t="str">
        <x:v>action</x:v>
      </x:c>
      <x:c r="C627" s="35" t="str">
        <x:v>bear_fury_maul</x:v>
      </x:c>
      <x:c r="D627" s="35" t="str">
        <x:v>preferred_range_min</x:v>
      </x:c>
      <x:c r="E627" s="38" t="str">
        <x:v>int</x:v>
      </x:c>
      <x:c r="F627" s="56" t="n">
        <x:f>'Actions'!H15</x:f>
        <x:v>0</x:v>
      </x:c>
      <x:c r="G627" s="38" t="str"/>
      <x:c r="H627" s="35" t="str">
        <x:v>Actions</x:v>
      </x:c>
      <x:c r="I627" s="35" t="str">
        <x:v>H15</x:v>
      </x:c>
      <x:c r="J627" s="85" t="b">
        <x:v>1</x:v>
      </x:c>
      <x:c r="K627" s="85" t="b">
        <x:v>1</x:v>
      </x:c>
      <x:c r="L627" s="56" t="str">
        <x:f>'Actions'!BE15</x:f>
        <x:v>OK</x:v>
      </x:c>
      <x:c r="M627" s="44" t="str">
        <x:v>Источник Actions.Preferred Range Min</x:v>
      </x:c>
    </x:row>
    <x:row r="628" ht="36" customHeight="1">
      <x:c r="A628" s="118" t="n">
        <x:v>623</x:v>
      </x:c>
      <x:c r="B628" s="35" t="str">
        <x:v>action</x:v>
      </x:c>
      <x:c r="C628" s="35" t="str">
        <x:v>bear_fury_maul</x:v>
      </x:c>
      <x:c r="D628" s="35" t="str">
        <x:v>preferred_range_max</x:v>
      </x:c>
      <x:c r="E628" s="38" t="str">
        <x:v>int</x:v>
      </x:c>
      <x:c r="F628" s="56" t="n">
        <x:f>'Actions'!I15</x:f>
        <x:v>850</x:v>
      </x:c>
      <x:c r="G628" s="38" t="str"/>
      <x:c r="H628" s="35" t="str">
        <x:v>Actions</x:v>
      </x:c>
      <x:c r="I628" s="35" t="str">
        <x:v>I15</x:v>
      </x:c>
      <x:c r="J628" s="85" t="b">
        <x:v>1</x:v>
      </x:c>
      <x:c r="K628" s="85" t="b">
        <x:v>1</x:v>
      </x:c>
      <x:c r="L628" s="56" t="str">
        <x:f>'Actions'!BE15</x:f>
        <x:v>OK</x:v>
      </x:c>
      <x:c r="M628" s="44" t="str">
        <x:v>Источник Actions.Preferred Range Max</x:v>
      </x:c>
    </x:row>
    <x:row r="629" ht="36" customHeight="1">
      <x:c r="A629" s="118" t="n">
        <x:v>624</x:v>
      </x:c>
      <x:c r="B629" s="35" t="str">
        <x:v>action</x:v>
      </x:c>
      <x:c r="C629" s="35" t="str">
        <x:v>bear_fury_maul</x:v>
      </x:c>
      <x:c r="D629" s="35" t="str">
        <x:v>hit_range_min</x:v>
      </x:c>
      <x:c r="E629" s="38" t="str">
        <x:v>int</x:v>
      </x:c>
      <x:c r="F629" s="56" t="n">
        <x:f>'Actions'!J15</x:f>
        <x:v>0</x:v>
      </x:c>
      <x:c r="G629" s="38" t="str"/>
      <x:c r="H629" s="35" t="str">
        <x:v>Actions</x:v>
      </x:c>
      <x:c r="I629" s="35" t="str">
        <x:v>J15</x:v>
      </x:c>
      <x:c r="J629" s="85" t="b">
        <x:v>1</x:v>
      </x:c>
      <x:c r="K629" s="85" t="b">
        <x:v>1</x:v>
      </x:c>
      <x:c r="L629" s="56" t="str">
        <x:f>'Actions'!BE15</x:f>
        <x:v>OK</x:v>
      </x:c>
      <x:c r="M629" s="44" t="str">
        <x:v>Источник Actions.Hit Range Min</x:v>
      </x:c>
    </x:row>
    <x:row r="630" ht="36" customHeight="1">
      <x:c r="A630" s="118" t="n">
        <x:v>625</x:v>
      </x:c>
      <x:c r="B630" s="35" t="str">
        <x:v>action</x:v>
      </x:c>
      <x:c r="C630" s="35" t="str">
        <x:v>bear_fury_maul</x:v>
      </x:c>
      <x:c r="D630" s="35" t="str">
        <x:v>hit_range_max</x:v>
      </x:c>
      <x:c r="E630" s="38" t="str">
        <x:v>int</x:v>
      </x:c>
      <x:c r="F630" s="56" t="n">
        <x:f>'Actions'!K15</x:f>
        <x:v>1050</x:v>
      </x:c>
      <x:c r="G630" s="38" t="str"/>
      <x:c r="H630" s="35" t="str">
        <x:v>Actions</x:v>
      </x:c>
      <x:c r="I630" s="35" t="str">
        <x:v>K15</x:v>
      </x:c>
      <x:c r="J630" s="85" t="b">
        <x:v>1</x:v>
      </x:c>
      <x:c r="K630" s="85" t="b">
        <x:v>1</x:v>
      </x:c>
      <x:c r="L630" s="56" t="str">
        <x:f>'Actions'!BE15</x:f>
        <x:v>OK</x:v>
      </x:c>
      <x:c r="M630" s="44" t="str">
        <x:v>Источник Actions.Hit Range Max</x:v>
      </x:c>
    </x:row>
    <x:row r="631" ht="36" customHeight="1">
      <x:c r="A631" s="118" t="n">
        <x:v>626</x:v>
      </x:c>
      <x:c r="B631" s="35" t="str">
        <x:v>action</x:v>
      </x:c>
      <x:c r="C631" s="35" t="str">
        <x:v>bear_fury_maul</x:v>
      </x:c>
      <x:c r="D631" s="35" t="str">
        <x:v>energy_cost</x:v>
      </x:c>
      <x:c r="E631" s="38" t="str">
        <x:v>int</x:v>
      </x:c>
      <x:c r="F631" s="56" t="n">
        <x:f>'Actions'!L15</x:f>
        <x:v>350</x:v>
      </x:c>
      <x:c r="G631" s="38" t="str"/>
      <x:c r="H631" s="35" t="str">
        <x:v>Actions</x:v>
      </x:c>
      <x:c r="I631" s="35" t="str">
        <x:v>L15</x:v>
      </x:c>
      <x:c r="J631" s="85" t="b">
        <x:v>1</x:v>
      </x:c>
      <x:c r="K631" s="85" t="b">
        <x:v>1</x:v>
      </x:c>
      <x:c r="L631" s="56" t="str">
        <x:f>'Actions'!BE15</x:f>
        <x:v>OK</x:v>
      </x:c>
      <x:c r="M631" s="44" t="str">
        <x:v>Источник Actions.Energy Cost</x:v>
      </x:c>
    </x:row>
    <x:row r="632" ht="36" customHeight="1">
      <x:c r="A632" s="118" t="n">
        <x:v>627</x:v>
      </x:c>
      <x:c r="B632" s="35" t="str">
        <x:v>action</x:v>
      </x:c>
      <x:c r="C632" s="35" t="str">
        <x:v>bear_fury_maul</x:v>
      </x:c>
      <x:c r="D632" s="35" t="str">
        <x:v>resource_cost</x:v>
      </x:c>
      <x:c r="E632" s="38" t="str">
        <x:v>int</x:v>
      </x:c>
      <x:c r="F632" s="56" t="n">
        <x:f>'Actions'!M15</x:f>
        <x:v>650</x:v>
      </x:c>
      <x:c r="G632" s="38" t="str"/>
      <x:c r="H632" s="35" t="str">
        <x:v>Actions</x:v>
      </x:c>
      <x:c r="I632" s="35" t="str">
        <x:v>M15</x:v>
      </x:c>
      <x:c r="J632" s="85" t="b">
        <x:v>1</x:v>
      </x:c>
      <x:c r="K632" s="85" t="b">
        <x:v>1</x:v>
      </x:c>
      <x:c r="L632" s="56" t="str">
        <x:f>'Actions'!BE15</x:f>
        <x:v>OK</x:v>
      </x:c>
      <x:c r="M632" s="44" t="str">
        <x:v>Источник Actions.Resource Cost</x:v>
      </x:c>
    </x:row>
    <x:row r="633" ht="36" customHeight="1">
      <x:c r="A633" s="118" t="n">
        <x:v>628</x:v>
      </x:c>
      <x:c r="B633" s="35" t="str">
        <x:v>action</x:v>
      </x:c>
      <x:c r="C633" s="35" t="str">
        <x:v>bear_fury_maul</x:v>
      </x:c>
      <x:c r="D633" s="35" t="str">
        <x:v>base_damage</x:v>
      </x:c>
      <x:c r="E633" s="38" t="str">
        <x:v>int</x:v>
      </x:c>
      <x:c r="F633" s="56" t="n">
        <x:f>'Actions'!N15</x:f>
        <x:v>28</x:v>
      </x:c>
      <x:c r="G633" s="38" t="str"/>
      <x:c r="H633" s="35" t="str">
        <x:v>Actions</x:v>
      </x:c>
      <x:c r="I633" s="35" t="str">
        <x:v>N15</x:v>
      </x:c>
      <x:c r="J633" s="85" t="b">
        <x:v>1</x:v>
      </x:c>
      <x:c r="K633" s="85" t="b">
        <x:v>1</x:v>
      </x:c>
      <x:c r="L633" s="56" t="str">
        <x:f>'Actions'!BE15</x:f>
        <x:v>OK</x:v>
      </x:c>
      <x:c r="M633" s="44" t="str">
        <x:v>Источник Actions.Base Damage / hit</x:v>
      </x:c>
    </x:row>
    <x:row r="634" ht="36" customHeight="1">
      <x:c r="A634" s="118" t="n">
        <x:v>629</x:v>
      </x:c>
      <x:c r="B634" s="35" t="str">
        <x:v>action</x:v>
      </x:c>
      <x:c r="C634" s="35" t="str">
        <x:v>bear_fury_maul</x:v>
      </x:c>
      <x:c r="D634" s="35" t="str">
        <x:v>power_ratio_fp</x:v>
      </x:c>
      <x:c r="E634" s="38" t="str">
        <x:v>int</x:v>
      </x:c>
      <x:c r="F634" s="56" t="n">
        <x:f>'Actions'!O15</x:f>
        <x:v>420</x:v>
      </x:c>
      <x:c r="G634" s="38" t="str"/>
      <x:c r="H634" s="35" t="str">
        <x:v>Actions</x:v>
      </x:c>
      <x:c r="I634" s="35" t="str">
        <x:v>O15</x:v>
      </x:c>
      <x:c r="J634" s="85" t="b">
        <x:v>1</x:v>
      </x:c>
      <x:c r="K634" s="85" t="b">
        <x:v>1</x:v>
      </x:c>
      <x:c r="L634" s="56" t="str">
        <x:f>'Actions'!BE15</x:f>
        <x:v>OK</x:v>
      </x:c>
      <x:c r="M634" s="44" t="str">
        <x:v>Источник Actions.Power Ratio FP</x:v>
      </x:c>
    </x:row>
    <x:row r="635" ht="36" customHeight="1">
      <x:c r="A635" s="118" t="n">
        <x:v>630</x:v>
      </x:c>
      <x:c r="B635" s="35" t="str">
        <x:v>action</x:v>
      </x:c>
      <x:c r="C635" s="35" t="str">
        <x:v>bear_fury_maul</x:v>
      </x:c>
      <x:c r="D635" s="35" t="str">
        <x:v>min_damage</x:v>
      </x:c>
      <x:c r="E635" s="38" t="str">
        <x:v>int</x:v>
      </x:c>
      <x:c r="F635" s="56" t="n">
        <x:f>'Actions'!P15</x:f>
        <x:v>10</x:v>
      </x:c>
      <x:c r="G635" s="38" t="str"/>
      <x:c r="H635" s="35" t="str">
        <x:v>Actions</x:v>
      </x:c>
      <x:c r="I635" s="35" t="str">
        <x:v>P15</x:v>
      </x:c>
      <x:c r="J635" s="85" t="b">
        <x:v>1</x:v>
      </x:c>
      <x:c r="K635" s="85" t="b">
        <x:v>1</x:v>
      </x:c>
      <x:c r="L635" s="56" t="str">
        <x:f>'Actions'!BE15</x:f>
        <x:v>OK</x:v>
      </x:c>
      <x:c r="M635" s="44" t="str">
        <x:v>Источник Actions.Min Damage</x:v>
      </x:c>
    </x:row>
    <x:row r="636" ht="36" customHeight="1">
      <x:c r="A636" s="118" t="n">
        <x:v>631</x:v>
      </x:c>
      <x:c r="B636" s="35" t="str">
        <x:v>action</x:v>
      </x:c>
      <x:c r="C636" s="35" t="str">
        <x:v>bear_fury_maul</x:v>
      </x:c>
      <x:c r="D636" s="35" t="str">
        <x:v>chip_min</x:v>
      </x:c>
      <x:c r="E636" s="38" t="str">
        <x:v>int</x:v>
      </x:c>
      <x:c r="F636" s="56" t="n">
        <x:f>'Actions'!Q15</x:f>
        <x:v>3</x:v>
      </x:c>
      <x:c r="G636" s="38" t="str"/>
      <x:c r="H636" s="35" t="str">
        <x:v>Actions</x:v>
      </x:c>
      <x:c r="I636" s="35" t="str">
        <x:v>Q15</x:v>
      </x:c>
      <x:c r="J636" s="85" t="b">
        <x:v>1</x:v>
      </x:c>
      <x:c r="K636" s="85" t="b">
        <x:v>1</x:v>
      </x:c>
      <x:c r="L636" s="56" t="str">
        <x:f>'Actions'!BE15</x:f>
        <x:v>OK</x:v>
      </x:c>
      <x:c r="M636" s="44" t="str">
        <x:v>Источник Actions.Chip Min</x:v>
      </x:c>
    </x:row>
    <x:row r="637" ht="36" customHeight="1">
      <x:c r="A637" s="118" t="n">
        <x:v>632</x:v>
      </x:c>
      <x:c r="B637" s="35" t="str">
        <x:v>action</x:v>
      </x:c>
      <x:c r="C637" s="35" t="str">
        <x:v>bear_fury_maul</x:v>
      </x:c>
      <x:c r="D637" s="35" t="str">
        <x:v>startup_base_ticks</x:v>
      </x:c>
      <x:c r="E637" s="38" t="str">
        <x:v>int</x:v>
      </x:c>
      <x:c r="F637" s="56" t="n">
        <x:f>'Actions'!R15</x:f>
        <x:v>6</x:v>
      </x:c>
      <x:c r="G637" s="38" t="str"/>
      <x:c r="H637" s="35" t="str">
        <x:v>Actions</x:v>
      </x:c>
      <x:c r="I637" s="35" t="str">
        <x:v>R15</x:v>
      </x:c>
      <x:c r="J637" s="85" t="b">
        <x:v>1</x:v>
      </x:c>
      <x:c r="K637" s="85" t="b">
        <x:v>1</x:v>
      </x:c>
      <x:c r="L637" s="56" t="str">
        <x:f>'Actions'!BE15</x:f>
        <x:v>OK</x:v>
      </x:c>
      <x:c r="M637" s="44" t="str">
        <x:v>Источник Actions.Startup Base Ticks</x:v>
      </x:c>
    </x:row>
    <x:row r="638" ht="36" customHeight="1">
      <x:c r="A638" s="118" t="n">
        <x:v>633</x:v>
      </x:c>
      <x:c r="B638" s="35" t="str">
        <x:v>action</x:v>
      </x:c>
      <x:c r="C638" s="35" t="str">
        <x:v>bear_fury_maul</x:v>
      </x:c>
      <x:c r="D638" s="35" t="str">
        <x:v>startup_min_ticks</x:v>
      </x:c>
      <x:c r="E638" s="38" t="str">
        <x:v>int</x:v>
      </x:c>
      <x:c r="F638" s="56" t="n">
        <x:f>'Actions'!S15</x:f>
        <x:v>4</x:v>
      </x:c>
      <x:c r="G638" s="38" t="str"/>
      <x:c r="H638" s="35" t="str">
        <x:v>Actions</x:v>
      </x:c>
      <x:c r="I638" s="35" t="str">
        <x:v>S15</x:v>
      </x:c>
      <x:c r="J638" s="85" t="b">
        <x:v>1</x:v>
      </x:c>
      <x:c r="K638" s="85" t="b">
        <x:v>1</x:v>
      </x:c>
      <x:c r="L638" s="56" t="str">
        <x:f>'Actions'!BE15</x:f>
        <x:v>OK</x:v>
      </x:c>
      <x:c r="M638" s="44" t="str">
        <x:v>Источник Actions.Startup Min Ticks</x:v>
      </x:c>
    </x:row>
    <x:row r="639" ht="36" customHeight="1">
      <x:c r="A639" s="118" t="n">
        <x:v>634</x:v>
      </x:c>
      <x:c r="B639" s="35" t="str">
        <x:v>action</x:v>
      </x:c>
      <x:c r="C639" s="35" t="str">
        <x:v>bear_fury_maul</x:v>
      </x:c>
      <x:c r="D639" s="35" t="str">
        <x:v>startup_max_ticks</x:v>
      </x:c>
      <x:c r="E639" s="38" t="str">
        <x:v>int</x:v>
      </x:c>
      <x:c r="F639" s="56" t="n">
        <x:f>'Actions'!T15</x:f>
        <x:v>9</x:v>
      </x:c>
      <x:c r="G639" s="38" t="str"/>
      <x:c r="H639" s="35" t="str">
        <x:v>Actions</x:v>
      </x:c>
      <x:c r="I639" s="35" t="str">
        <x:v>T15</x:v>
      </x:c>
      <x:c r="J639" s="85" t="b">
        <x:v>1</x:v>
      </x:c>
      <x:c r="K639" s="85" t="b">
        <x:v>1</x:v>
      </x:c>
      <x:c r="L639" s="56" t="str">
        <x:f>'Actions'!BE15</x:f>
        <x:v>OK</x:v>
      </x:c>
      <x:c r="M639" s="44" t="str">
        <x:v>Источник Actions.Startup Max Ticks</x:v>
      </x:c>
    </x:row>
    <x:row r="640" ht="36" customHeight="1">
      <x:c r="A640" s="118" t="n">
        <x:v>635</x:v>
      </x:c>
      <x:c r="B640" s="35" t="str">
        <x:v>action</x:v>
      </x:c>
      <x:c r="C640" s="35" t="str">
        <x:v>bear_fury_maul</x:v>
      </x:c>
      <x:c r="D640" s="35" t="str">
        <x:v>active_ticks</x:v>
      </x:c>
      <x:c r="E640" s="38" t="str">
        <x:v>int</x:v>
      </x:c>
      <x:c r="F640" s="56" t="n">
        <x:f>'Actions'!U15</x:f>
        <x:v>12</x:v>
      </x:c>
      <x:c r="G640" s="38" t="str"/>
      <x:c r="H640" s="35" t="str">
        <x:v>Actions</x:v>
      </x:c>
      <x:c r="I640" s="35" t="str">
        <x:v>U15</x:v>
      </x:c>
      <x:c r="J640" s="85" t="b">
        <x:v>1</x:v>
      </x:c>
      <x:c r="K640" s="85" t="b">
        <x:v>1</x:v>
      </x:c>
      <x:c r="L640" s="56" t="str">
        <x:f>'Actions'!BE15</x:f>
        <x:v>OK</x:v>
      </x:c>
      <x:c r="M640" s="44" t="str">
        <x:v>Источник Actions.Active Ticks</x:v>
      </x:c>
    </x:row>
    <x:row r="641" ht="36" customHeight="1">
      <x:c r="A641" s="118" t="n">
        <x:v>636</x:v>
      </x:c>
      <x:c r="B641" s="35" t="str">
        <x:v>action</x:v>
      </x:c>
      <x:c r="C641" s="35" t="str">
        <x:v>bear_fury_maul</x:v>
      </x:c>
      <x:c r="D641" s="35" t="str">
        <x:v>hit_schedule</x:v>
      </x:c>
      <x:c r="E641" s="38" t="str">
        <x:v>string</x:v>
      </x:c>
      <x:c r="F641" s="56" t="str">
        <x:f>'Actions'!V15</x:f>
        <x:v>0|3|6|10</x:v>
      </x:c>
      <x:c r="G641" s="38" t="str"/>
      <x:c r="H641" s="35" t="str">
        <x:v>Actions</x:v>
      </x:c>
      <x:c r="I641" s="35" t="str">
        <x:v>V15</x:v>
      </x:c>
      <x:c r="J641" s="85" t="b">
        <x:v>1</x:v>
      </x:c>
      <x:c r="K641" s="85" t="b">
        <x:v>1</x:v>
      </x:c>
      <x:c r="L641" s="56" t="str">
        <x:f>'Actions'!BE15</x:f>
        <x:v>OK</x:v>
      </x:c>
      <x:c r="M641" s="44" t="str">
        <x:v>Источник Actions.Hit Schedule</x:v>
      </x:c>
    </x:row>
    <x:row r="642" ht="36" customHeight="1">
      <x:c r="A642" s="118" t="n">
        <x:v>637</x:v>
      </x:c>
      <x:c r="B642" s="35" t="str">
        <x:v>action</x:v>
      </x:c>
      <x:c r="C642" s="35" t="str">
        <x:v>bear_fury_maul</x:v>
      </x:c>
      <x:c r="D642" s="35" t="str">
        <x:v>hit_count</x:v>
      </x:c>
      <x:c r="E642" s="38" t="str">
        <x:v>int</x:v>
      </x:c>
      <x:c r="F642" s="56" t="n">
        <x:f>'Actions'!W15</x:f>
        <x:v>4</x:v>
      </x:c>
      <x:c r="G642" s="38" t="str"/>
      <x:c r="H642" s="35" t="str">
        <x:v>Actions</x:v>
      </x:c>
      <x:c r="I642" s="35" t="str">
        <x:v>W15</x:v>
      </x:c>
      <x:c r="J642" s="85" t="b">
        <x:v>1</x:v>
      </x:c>
      <x:c r="K642" s="85" t="b">
        <x:v>1</x:v>
      </x:c>
      <x:c r="L642" s="56" t="str">
        <x:f>'Actions'!BE15</x:f>
        <x:v>OK</x:v>
      </x:c>
      <x:c r="M642" s="44" t="str">
        <x:v>Источник Actions.Hit Count</x:v>
      </x:c>
    </x:row>
    <x:row r="643" ht="36" customHeight="1">
      <x:c r="A643" s="118" t="n">
        <x:v>638</x:v>
      </x:c>
      <x:c r="B643" s="35" t="str">
        <x:v>action</x:v>
      </x:c>
      <x:c r="C643" s="35" t="str">
        <x:v>bear_fury_maul</x:v>
      </x:c>
      <x:c r="D643" s="35" t="str">
        <x:v>recovery_base_ticks</x:v>
      </x:c>
      <x:c r="E643" s="38" t="str">
        <x:v>int</x:v>
      </x:c>
      <x:c r="F643" s="56" t="n">
        <x:f>'Actions'!X15</x:f>
        <x:v>22</x:v>
      </x:c>
      <x:c r="G643" s="38" t="str"/>
      <x:c r="H643" s="35" t="str">
        <x:v>Actions</x:v>
      </x:c>
      <x:c r="I643" s="35" t="str">
        <x:v>X15</x:v>
      </x:c>
      <x:c r="J643" s="85" t="b">
        <x:v>1</x:v>
      </x:c>
      <x:c r="K643" s="85" t="b">
        <x:v>1</x:v>
      </x:c>
      <x:c r="L643" s="56" t="str">
        <x:f>'Actions'!BE15</x:f>
        <x:v>OK</x:v>
      </x:c>
      <x:c r="M643" s="44" t="str">
        <x:v>Источник Actions.Recovery Base Ticks</x:v>
      </x:c>
    </x:row>
    <x:row r="644" ht="36" customHeight="1">
      <x:c r="A644" s="118" t="n">
        <x:v>639</x:v>
      </x:c>
      <x:c r="B644" s="35" t="str">
        <x:v>action</x:v>
      </x:c>
      <x:c r="C644" s="35" t="str">
        <x:v>bear_fury_maul</x:v>
      </x:c>
      <x:c r="D644" s="35" t="str">
        <x:v>recovery_min_ticks</x:v>
      </x:c>
      <x:c r="E644" s="38" t="str">
        <x:v>int</x:v>
      </x:c>
      <x:c r="F644" s="56" t="n">
        <x:f>'Actions'!Y15</x:f>
        <x:v>15</x:v>
      </x:c>
      <x:c r="G644" s="38" t="str"/>
      <x:c r="H644" s="35" t="str">
        <x:v>Actions</x:v>
      </x:c>
      <x:c r="I644" s="35" t="str">
        <x:v>Y15</x:v>
      </x:c>
      <x:c r="J644" s="85" t="b">
        <x:v>1</x:v>
      </x:c>
      <x:c r="K644" s="85" t="b">
        <x:v>1</x:v>
      </x:c>
      <x:c r="L644" s="56" t="str">
        <x:f>'Actions'!BE15</x:f>
        <x:v>OK</x:v>
      </x:c>
      <x:c r="M644" s="44" t="str">
        <x:v>Источник Actions.Recovery Min Ticks</x:v>
      </x:c>
    </x:row>
    <x:row r="645" ht="36" customHeight="1">
      <x:c r="A645" s="118" t="n">
        <x:v>640</x:v>
      </x:c>
      <x:c r="B645" s="35" t="str">
        <x:v>action</x:v>
      </x:c>
      <x:c r="C645" s="35" t="str">
        <x:v>bear_fury_maul</x:v>
      </x:c>
      <x:c r="D645" s="35" t="str">
        <x:v>recovery_max_ticks</x:v>
      </x:c>
      <x:c r="E645" s="38" t="str">
        <x:v>int</x:v>
      </x:c>
      <x:c r="F645" s="56" t="n">
        <x:f>'Actions'!Z15</x:f>
        <x:v>32</x:v>
      </x:c>
      <x:c r="G645" s="38" t="str"/>
      <x:c r="H645" s="35" t="str">
        <x:v>Actions</x:v>
      </x:c>
      <x:c r="I645" s="35" t="str">
        <x:v>Z15</x:v>
      </x:c>
      <x:c r="J645" s="85" t="b">
        <x:v>1</x:v>
      </x:c>
      <x:c r="K645" s="85" t="b">
        <x:v>1</x:v>
      </x:c>
      <x:c r="L645" s="56" t="str">
        <x:f>'Actions'!BE15</x:f>
        <x:v>OK</x:v>
      </x:c>
      <x:c r="M645" s="44" t="str">
        <x:v>Источник Actions.Recovery Max Ticks</x:v>
      </x:c>
    </x:row>
    <x:row r="646" ht="36" customHeight="1">
      <x:c r="A646" s="118" t="n">
        <x:v>641</x:v>
      </x:c>
      <x:c r="B646" s="35" t="str">
        <x:v>action</x:v>
      </x:c>
      <x:c r="C646" s="35" t="str">
        <x:v>bear_fury_maul</x:v>
      </x:c>
      <x:c r="D646" s="35" t="str">
        <x:v>cooldown_ticks</x:v>
      </x:c>
      <x:c r="E646" s="38" t="str">
        <x:v>int</x:v>
      </x:c>
      <x:c r="F646" s="56" t="n">
        <x:f>'Actions'!AA15</x:f>
        <x:v>100</x:v>
      </x:c>
      <x:c r="G646" s="38" t="str"/>
      <x:c r="H646" s="35" t="str">
        <x:v>Actions</x:v>
      </x:c>
      <x:c r="I646" s="35" t="str">
        <x:v>AA15</x:v>
      </x:c>
      <x:c r="J646" s="85" t="b">
        <x:v>1</x:v>
      </x:c>
      <x:c r="K646" s="85" t="b">
        <x:v>1</x:v>
      </x:c>
      <x:c r="L646" s="56" t="str">
        <x:f>'Actions'!BE15</x:f>
        <x:v>OK</x:v>
      </x:c>
      <x:c r="M646" s="44" t="str">
        <x:v>Источник Actions.Cooldown Ticks</x:v>
      </x:c>
    </x:row>
    <x:row r="647" ht="36" customHeight="1">
      <x:c r="A647" s="118" t="n">
        <x:v>642</x:v>
      </x:c>
      <x:c r="B647" s="35" t="str">
        <x:v>action</x:v>
      </x:c>
      <x:c r="C647" s="35" t="str">
        <x:v>bear_fury_maul</x:v>
      </x:c>
      <x:c r="D647" s="35" t="str">
        <x:v>action_priority</x:v>
      </x:c>
      <x:c r="E647" s="38" t="str">
        <x:v>int</x:v>
      </x:c>
      <x:c r="F647" s="56" t="n">
        <x:f>'Actions'!AB15</x:f>
        <x:v>58</x:v>
      </x:c>
      <x:c r="G647" s="38" t="str"/>
      <x:c r="H647" s="35" t="str">
        <x:v>Actions</x:v>
      </x:c>
      <x:c r="I647" s="35" t="str">
        <x:v>AB15</x:v>
      </x:c>
      <x:c r="J647" s="85" t="b">
        <x:v>1</x:v>
      </x:c>
      <x:c r="K647" s="85" t="b">
        <x:v>1</x:v>
      </x:c>
      <x:c r="L647" s="56" t="str">
        <x:f>'Actions'!BE15</x:f>
        <x:v>OK</x:v>
      </x:c>
      <x:c r="M647" s="44" t="str">
        <x:v>Источник Actions.Action Priority</x:v>
      </x:c>
    </x:row>
    <x:row r="648" ht="36" customHeight="1">
      <x:c r="A648" s="118" t="n">
        <x:v>643</x:v>
      </x:c>
      <x:c r="B648" s="35" t="str">
        <x:v>action</x:v>
      </x:c>
      <x:c r="C648" s="35" t="str">
        <x:v>bear_fury_maul</x:v>
      </x:c>
      <x:c r="D648" s="35" t="str">
        <x:v>clash_priority</x:v>
      </x:c>
      <x:c r="E648" s="38" t="str">
        <x:v>int</x:v>
      </x:c>
      <x:c r="F648" s="56" t="n">
        <x:f>'Actions'!AC15</x:f>
        <x:v>55</x:v>
      </x:c>
      <x:c r="G648" s="38" t="str"/>
      <x:c r="H648" s="35" t="str">
        <x:v>Actions</x:v>
      </x:c>
      <x:c r="I648" s="35" t="str">
        <x:v>AC15</x:v>
      </x:c>
      <x:c r="J648" s="85" t="b">
        <x:v>1</x:v>
      </x:c>
      <x:c r="K648" s="85" t="b">
        <x:v>1</x:v>
      </x:c>
      <x:c r="L648" s="56" t="str">
        <x:f>'Actions'!BE15</x:f>
        <x:v>OK</x:v>
      </x:c>
      <x:c r="M648" s="44" t="str">
        <x:v>Источник Actions.Clash Priority</x:v>
      </x:c>
    </x:row>
    <x:row r="649" ht="36" customHeight="1">
      <x:c r="A649" s="118" t="n">
        <x:v>644</x:v>
      </x:c>
      <x:c r="B649" s="35" t="str">
        <x:v>action</x:v>
      </x:c>
      <x:c r="C649" s="35" t="str">
        <x:v>bear_fury_maul</x:v>
      </x:c>
      <x:c r="D649" s="35" t="str">
        <x:v>grab_priority</x:v>
      </x:c>
      <x:c r="E649" s="38" t="str">
        <x:v>int</x:v>
      </x:c>
      <x:c r="F649" s="56" t="n">
        <x:f>'Actions'!AD15</x:f>
        <x:v>0</x:v>
      </x:c>
      <x:c r="G649" s="38" t="str"/>
      <x:c r="H649" s="35" t="str">
        <x:v>Actions</x:v>
      </x:c>
      <x:c r="I649" s="35" t="str">
        <x:v>AD15</x:v>
      </x:c>
      <x:c r="J649" s="85" t="b">
        <x:v>1</x:v>
      </x:c>
      <x:c r="K649" s="85" t="b">
        <x:v>1</x:v>
      </x:c>
      <x:c r="L649" s="56" t="str">
        <x:f>'Actions'!BE15</x:f>
        <x:v>OK</x:v>
      </x:c>
      <x:c r="M649" s="44" t="str">
        <x:v>Источник Actions.Grab Priority</x:v>
      </x:c>
    </x:row>
    <x:row r="650" ht="36" customHeight="1">
      <x:c r="A650" s="118" t="n">
        <x:v>645</x:v>
      </x:c>
      <x:c r="B650" s="35" t="str">
        <x:v>action</x:v>
      </x:c>
      <x:c r="C650" s="35" t="str">
        <x:v>bear_fury_maul</x:v>
      </x:c>
      <x:c r="D650" s="35" t="str">
        <x:v>resolution_priority</x:v>
      </x:c>
      <x:c r="E650" s="38" t="str">
        <x:v>int</x:v>
      </x:c>
      <x:c r="F650" s="56" t="n">
        <x:f>'Actions'!AE15</x:f>
        <x:v>58</x:v>
      </x:c>
      <x:c r="G650" s="38" t="str"/>
      <x:c r="H650" s="35" t="str">
        <x:v>Actions</x:v>
      </x:c>
      <x:c r="I650" s="35" t="str">
        <x:v>AE15</x:v>
      </x:c>
      <x:c r="J650" s="85" t="b">
        <x:v>1</x:v>
      </x:c>
      <x:c r="K650" s="85" t="b">
        <x:v>1</x:v>
      </x:c>
      <x:c r="L650" s="56" t="str">
        <x:f>'Actions'!BE15</x:f>
        <x:v>OK</x:v>
      </x:c>
      <x:c r="M650" s="44" t="str">
        <x:v>Источник Actions.Resolution Priority</x:v>
      </x:c>
    </x:row>
    <x:row r="651" ht="36" customHeight="1">
      <x:c r="A651" s="118" t="n">
        <x:v>646</x:v>
      </x:c>
      <x:c r="B651" s="35" t="str">
        <x:v>action</x:v>
      </x:c>
      <x:c r="C651" s="35" t="str">
        <x:v>bear_fury_maul</x:v>
      </x:c>
      <x:c r="D651" s="35" t="str">
        <x:v>interrupt_profile</x:v>
      </x:c>
      <x:c r="E651" s="38" t="str">
        <x:v>string</x:v>
      </x:c>
      <x:c r="F651" s="56" t="str">
        <x:f>'Actions'!AF15</x:f>
        <x:v>UninterruptibleImpact</x:v>
      </x:c>
      <x:c r="G651" s="38" t="str"/>
      <x:c r="H651" s="35" t="str">
        <x:v>Actions</x:v>
      </x:c>
      <x:c r="I651" s="35" t="str">
        <x:v>AF15</x:v>
      </x:c>
      <x:c r="J651" s="85" t="b">
        <x:v>1</x:v>
      </x:c>
      <x:c r="K651" s="85" t="b">
        <x:v>1</x:v>
      </x:c>
      <x:c r="L651" s="56" t="str">
        <x:f>'Actions'!BE15</x:f>
        <x:v>OK</x:v>
      </x:c>
      <x:c r="M651" s="44" t="str">
        <x:v>Источник Actions.Interrupt Profile</x:v>
      </x:c>
    </x:row>
    <x:row r="652" ht="36" customHeight="1">
      <x:c r="A652" s="118" t="n">
        <x:v>647</x:v>
      </x:c>
      <x:c r="B652" s="35" t="str">
        <x:v>action</x:v>
      </x:c>
      <x:c r="C652" s="35" t="str">
        <x:v>bear_fury_maul</x:v>
      </x:c>
      <x:c r="D652" s="35" t="str">
        <x:v>blockable</x:v>
      </x:c>
      <x:c r="E652" s="38" t="str">
        <x:v>bool</x:v>
      </x:c>
      <x:c r="F652" s="56" t="b">
        <x:f>'Actions'!AG15</x:f>
        <x:v>1</x:v>
      </x:c>
      <x:c r="G652" s="38" t="str"/>
      <x:c r="H652" s="35" t="str">
        <x:v>Actions</x:v>
      </x:c>
      <x:c r="I652" s="35" t="str">
        <x:v>AG15</x:v>
      </x:c>
      <x:c r="J652" s="85" t="b">
        <x:v>1</x:v>
      </x:c>
      <x:c r="K652" s="85" t="b">
        <x:v>1</x:v>
      </x:c>
      <x:c r="L652" s="56" t="str">
        <x:f>'Actions'!BE15</x:f>
        <x:v>OK</x:v>
      </x:c>
      <x:c r="M652" s="44" t="str">
        <x:v>Источник Actions.Blockable</x:v>
      </x:c>
    </x:row>
    <x:row r="653" ht="36" customHeight="1">
      <x:c r="A653" s="118" t="n">
        <x:v>648</x:v>
      </x:c>
      <x:c r="B653" s="35" t="str">
        <x:v>action</x:v>
      </x:c>
      <x:c r="C653" s="35" t="str">
        <x:v>bear_fury_maul</x:v>
      </x:c>
      <x:c r="D653" s="35" t="str">
        <x:v>dodgeable</x:v>
      </x:c>
      <x:c r="E653" s="38" t="str">
        <x:v>bool</x:v>
      </x:c>
      <x:c r="F653" s="56" t="b">
        <x:f>'Actions'!AH15</x:f>
        <x:v>1</x:v>
      </x:c>
      <x:c r="G653" s="38" t="str"/>
      <x:c r="H653" s="35" t="str">
        <x:v>Actions</x:v>
      </x:c>
      <x:c r="I653" s="35" t="str">
        <x:v>AH15</x:v>
      </x:c>
      <x:c r="J653" s="85" t="b">
        <x:v>1</x:v>
      </x:c>
      <x:c r="K653" s="85" t="b">
        <x:v>1</x:v>
      </x:c>
      <x:c r="L653" s="56" t="str">
        <x:f>'Actions'!BE15</x:f>
        <x:v>OK</x:v>
      </x:c>
      <x:c r="M653" s="44" t="str">
        <x:v>Источник Actions.Dodgeable</x:v>
      </x:c>
    </x:row>
    <x:row r="654" ht="36" customHeight="1">
      <x:c r="A654" s="118" t="n">
        <x:v>649</x:v>
      </x:c>
      <x:c r="B654" s="35" t="str">
        <x:v>action</x:v>
      </x:c>
      <x:c r="C654" s="35" t="str">
        <x:v>bear_fury_maul</x:v>
      </x:c>
      <x:c r="D654" s="35" t="str">
        <x:v>undodgeable</x:v>
      </x:c>
      <x:c r="E654" s="38" t="str">
        <x:v>bool</x:v>
      </x:c>
      <x:c r="F654" s="56" t="b">
        <x:f>'Actions'!AI15</x:f>
        <x:v>0</x:v>
      </x:c>
      <x:c r="G654" s="38" t="str"/>
      <x:c r="H654" s="35" t="str">
        <x:v>Actions</x:v>
      </x:c>
      <x:c r="I654" s="35" t="str">
        <x:v>AI15</x:v>
      </x:c>
      <x:c r="J654" s="85" t="b">
        <x:v>1</x:v>
      </x:c>
      <x:c r="K654" s="85" t="b">
        <x:v>1</x:v>
      </x:c>
      <x:c r="L654" s="56" t="str">
        <x:f>'Actions'!BE15</x:f>
        <x:v>OK</x:v>
      </x:c>
      <x:c r="M654" s="44" t="str">
        <x:v>Источник Actions.Undodgeable</x:v>
      </x:c>
    </x:row>
    <x:row r="655" ht="36" customHeight="1">
      <x:c r="A655" s="118" t="n">
        <x:v>650</x:v>
      </x:c>
      <x:c r="B655" s="35" t="str">
        <x:v>action</x:v>
      </x:c>
      <x:c r="C655" s="35" t="str">
        <x:v>bear_fury_maul</x:v>
      </x:c>
      <x:c r="D655" s="35" t="str">
        <x:v>wall_impact</x:v>
      </x:c>
      <x:c r="E655" s="38" t="str">
        <x:v>bool</x:v>
      </x:c>
      <x:c r="F655" s="56" t="b">
        <x:f>'Actions'!AJ15</x:f>
        <x:v>0</x:v>
      </x:c>
      <x:c r="G655" s="38" t="str"/>
      <x:c r="H655" s="35" t="str">
        <x:v>Actions</x:v>
      </x:c>
      <x:c r="I655" s="35" t="str">
        <x:v>AJ15</x:v>
      </x:c>
      <x:c r="J655" s="85" t="b">
        <x:v>1</x:v>
      </x:c>
      <x:c r="K655" s="85" t="b">
        <x:v>1</x:v>
      </x:c>
      <x:c r="L655" s="56" t="str">
        <x:f>'Actions'!BE15</x:f>
        <x:v>OK</x:v>
      </x:c>
      <x:c r="M655" s="44" t="str">
        <x:v>Источник Actions.Wall Impact</x:v>
      </x:c>
    </x:row>
    <x:row r="656" ht="36" customHeight="1">
      <x:c r="A656" s="118" t="n">
        <x:v>651</x:v>
      </x:c>
      <x:c r="B656" s="35" t="str">
        <x:v>action</x:v>
      </x:c>
      <x:c r="C656" s="35" t="str">
        <x:v>bear_fury_maul</x:v>
      </x:c>
      <x:c r="D656" s="35" t="str">
        <x:v>track_target</x:v>
      </x:c>
      <x:c r="E656" s="38" t="str">
        <x:v>bool</x:v>
      </x:c>
      <x:c r="F656" s="56" t="b">
        <x:f>'Actions'!AK15</x:f>
        <x:v>0</x:v>
      </x:c>
      <x:c r="G656" s="38" t="str"/>
      <x:c r="H656" s="35" t="str">
        <x:v>Actions</x:v>
      </x:c>
      <x:c r="I656" s="35" t="str">
        <x:v>AK15</x:v>
      </x:c>
      <x:c r="J656" s="85" t="b">
        <x:v>1</x:v>
      </x:c>
      <x:c r="K656" s="85" t="b">
        <x:v>1</x:v>
      </x:c>
      <x:c r="L656" s="56" t="str">
        <x:f>'Actions'!BE15</x:f>
        <x:v>OK</x:v>
      </x:c>
      <x:c r="M656" s="44" t="str">
        <x:v>Источник Actions.Track Target</x:v>
      </x:c>
    </x:row>
    <x:row r="657" ht="36" customHeight="1">
      <x:c r="A657" s="118" t="n">
        <x:v>652</x:v>
      </x:c>
      <x:c r="B657" s="35" t="str">
        <x:v>action</x:v>
      </x:c>
      <x:c r="C657" s="35" t="str">
        <x:v>bear_fury_maul</x:v>
      </x:c>
      <x:c r="D657" s="35" t="str">
        <x:v>block_base_chance_fp</x:v>
      </x:c>
      <x:c r="E657" s="38" t="str">
        <x:v>int</x:v>
      </x:c>
      <x:c r="F657" s="56" t="n">
        <x:f>'Actions'!AL15</x:f>
        <x:v>0</x:v>
      </x:c>
      <x:c r="G657" s="38" t="str"/>
      <x:c r="H657" s="35" t="str">
        <x:v>Actions</x:v>
      </x:c>
      <x:c r="I657" s="35" t="str">
        <x:v>AL15</x:v>
      </x:c>
      <x:c r="J657" s="85" t="b">
        <x:v>1</x:v>
      </x:c>
      <x:c r="K657" s="85" t="b">
        <x:v>1</x:v>
      </x:c>
      <x:c r="L657" s="56" t="str">
        <x:f>'Actions'!BE15</x:f>
        <x:v>OK</x:v>
      </x:c>
      <x:c r="M657" s="44" t="str">
        <x:v>Источник Actions.Block Base Chance FP</x:v>
      </x:c>
    </x:row>
    <x:row r="658" ht="36" customHeight="1">
      <x:c r="A658" s="118" t="n">
        <x:v>653</x:v>
      </x:c>
      <x:c r="B658" s="35" t="str">
        <x:v>action</x:v>
      </x:c>
      <x:c r="C658" s="35" t="str">
        <x:v>bear_fury_maul</x:v>
      </x:c>
      <x:c r="D658" s="35" t="str">
        <x:v>block_reduction_fp</x:v>
      </x:c>
      <x:c r="E658" s="38" t="str">
        <x:v>int</x:v>
      </x:c>
      <x:c r="F658" s="56" t="n">
        <x:f>'Actions'!AM15</x:f>
        <x:v>0</x:v>
      </x:c>
      <x:c r="G658" s="38" t="str"/>
      <x:c r="H658" s="35" t="str">
        <x:v>Actions</x:v>
      </x:c>
      <x:c r="I658" s="35" t="str">
        <x:v>AM15</x:v>
      </x:c>
      <x:c r="J658" s="85" t="b">
        <x:v>1</x:v>
      </x:c>
      <x:c r="K658" s="85" t="b">
        <x:v>1</x:v>
      </x:c>
      <x:c r="L658" s="56" t="str">
        <x:f>'Actions'!BE15</x:f>
        <x:v>OK</x:v>
      </x:c>
      <x:c r="M658" s="44" t="str">
        <x:v>Источник Actions.Block Reduction FP</x:v>
      </x:c>
    </x:row>
    <x:row r="659" ht="36" customHeight="1">
      <x:c r="A659" s="118" t="n">
        <x:v>654</x:v>
      </x:c>
      <x:c r="B659" s="35" t="str">
        <x:v>action</x:v>
      </x:c>
      <x:c r="C659" s="35" t="str">
        <x:v>bear_fury_maul</x:v>
      </x:c>
      <x:c r="D659" s="35" t="str">
        <x:v>dodge_base_chance_fp</x:v>
      </x:c>
      <x:c r="E659" s="38" t="str">
        <x:v>int</x:v>
      </x:c>
      <x:c r="F659" s="56" t="n">
        <x:f>'Actions'!AN15</x:f>
        <x:v>0</x:v>
      </x:c>
      <x:c r="G659" s="38" t="str"/>
      <x:c r="H659" s="35" t="str">
        <x:v>Actions</x:v>
      </x:c>
      <x:c r="I659" s="35" t="str">
        <x:v>AN15</x:v>
      </x:c>
      <x:c r="J659" s="85" t="b">
        <x:v>1</x:v>
      </x:c>
      <x:c r="K659" s="85" t="b">
        <x:v>1</x:v>
      </x:c>
      <x:c r="L659" s="56" t="str">
        <x:f>'Actions'!BE15</x:f>
        <x:v>OK</x:v>
      </x:c>
      <x:c r="M659" s="44" t="str">
        <x:v>Источник Actions.Dodge Base Chance FP</x:v>
      </x:c>
    </x:row>
    <x:row r="660" ht="36" customHeight="1">
      <x:c r="A660" s="118" t="n">
        <x:v>655</x:v>
      </x:c>
      <x:c r="B660" s="35" t="str">
        <x:v>action</x:v>
      </x:c>
      <x:c r="C660" s="35" t="str">
        <x:v>bear_fury_maul</x:v>
      </x:c>
      <x:c r="D660" s="35" t="str">
        <x:v>movement_mode</x:v>
      </x:c>
      <x:c r="E660" s="38" t="str">
        <x:v>string</x:v>
      </x:c>
      <x:c r="F660" s="56" t="str">
        <x:f>'Actions'!AO15</x:f>
        <x:v>Follow</x:v>
      </x:c>
      <x:c r="G660" s="38" t="str"/>
      <x:c r="H660" s="35" t="str">
        <x:v>Actions</x:v>
      </x:c>
      <x:c r="I660" s="35" t="str">
        <x:v>AO15</x:v>
      </x:c>
      <x:c r="J660" s="85" t="b">
        <x:v>1</x:v>
      </x:c>
      <x:c r="K660" s="85" t="b">
        <x:v>1</x:v>
      </x:c>
      <x:c r="L660" s="56" t="str">
        <x:f>'Actions'!BE15</x:f>
        <x:v>OK</x:v>
      </x:c>
      <x:c r="M660" s="44" t="str">
        <x:v>Источник Actions.Movement Mode</x:v>
      </x:c>
    </x:row>
    <x:row r="661" ht="36" customHeight="1">
      <x:c r="A661" s="118" t="n">
        <x:v>656</x:v>
      </x:c>
      <x:c r="B661" s="35" t="str">
        <x:v>action</x:v>
      </x:c>
      <x:c r="C661" s="35" t="str">
        <x:v>bear_fury_maul</x:v>
      </x:c>
      <x:c r="D661" s="35" t="str">
        <x:v>move_distance</x:v>
      </x:c>
      <x:c r="E661" s="38" t="str">
        <x:v>int</x:v>
      </x:c>
      <x:c r="F661" s="56" t="n">
        <x:f>'Actions'!AP15</x:f>
        <x:v>350</x:v>
      </x:c>
      <x:c r="G661" s="38" t="str"/>
      <x:c r="H661" s="35" t="str">
        <x:v>Actions</x:v>
      </x:c>
      <x:c r="I661" s="35" t="str">
        <x:v>AP15</x:v>
      </x:c>
      <x:c r="J661" s="85" t="b">
        <x:v>1</x:v>
      </x:c>
      <x:c r="K661" s="85" t="b">
        <x:v>1</x:v>
      </x:c>
      <x:c r="L661" s="56" t="str">
        <x:f>'Actions'!BE15</x:f>
        <x:v>OK</x:v>
      </x:c>
      <x:c r="M661" s="44" t="str">
        <x:v>Источник Actions.Move Distance</x:v>
      </x:c>
    </x:row>
    <x:row r="662" ht="36" customHeight="1">
      <x:c r="A662" s="118" t="n">
        <x:v>657</x:v>
      </x:c>
      <x:c r="B662" s="35" t="str">
        <x:v>action</x:v>
      </x:c>
      <x:c r="C662" s="35" t="str">
        <x:v>bear_fury_maul</x:v>
      </x:c>
      <x:c r="D662" s="35" t="str">
        <x:v>base_stagger</x:v>
      </x:c>
      <x:c r="E662" s="38" t="str">
        <x:v>int</x:v>
      </x:c>
      <x:c r="F662" s="56" t="n">
        <x:f>'Actions'!AQ15</x:f>
        <x:v>45</x:v>
      </x:c>
      <x:c r="G662" s="38" t="str"/>
      <x:c r="H662" s="35" t="str">
        <x:v>Actions</x:v>
      </x:c>
      <x:c r="I662" s="35" t="str">
        <x:v>AQ15</x:v>
      </x:c>
      <x:c r="J662" s="85" t="b">
        <x:v>1</x:v>
      </x:c>
      <x:c r="K662" s="85" t="b">
        <x:v>1</x:v>
      </x:c>
      <x:c r="L662" s="56" t="str">
        <x:f>'Actions'!BE15</x:f>
        <x:v>OK</x:v>
      </x:c>
      <x:c r="M662" s="44" t="str">
        <x:v>Источник Actions.Base Stagger</x:v>
      </x:c>
    </x:row>
    <x:row r="663" ht="36" customHeight="1">
      <x:c r="A663" s="118" t="n">
        <x:v>658</x:v>
      </x:c>
      <x:c r="B663" s="35" t="str">
        <x:v>action</x:v>
      </x:c>
      <x:c r="C663" s="35" t="str">
        <x:v>bear_fury_maul</x:v>
      </x:c>
      <x:c r="D663" s="35" t="str">
        <x:v>base_stun_ticks</x:v>
      </x:c>
      <x:c r="E663" s="38" t="str">
        <x:v>int</x:v>
      </x:c>
      <x:c r="F663" s="56" t="n">
        <x:f>'Actions'!AR15</x:f>
        <x:v>3</x:v>
      </x:c>
      <x:c r="G663" s="38" t="str"/>
      <x:c r="H663" s="35" t="str">
        <x:v>Actions</x:v>
      </x:c>
      <x:c r="I663" s="35" t="str">
        <x:v>AR15</x:v>
      </x:c>
      <x:c r="J663" s="85" t="b">
        <x:v>1</x:v>
      </x:c>
      <x:c r="K663" s="85" t="b">
        <x:v>1</x:v>
      </x:c>
      <x:c r="L663" s="56" t="str">
        <x:f>'Actions'!BE15</x:f>
        <x:v>OK</x:v>
      </x:c>
      <x:c r="M663" s="44" t="str">
        <x:v>Источник Actions.Base Stun Ticks</x:v>
      </x:c>
    </x:row>
    <x:row r="664" ht="36" customHeight="1">
      <x:c r="A664" s="118" t="n">
        <x:v>659</x:v>
      </x:c>
      <x:c r="B664" s="35" t="str">
        <x:v>action</x:v>
      </x:c>
      <x:c r="C664" s="35" t="str">
        <x:v>bear_fury_maul</x:v>
      </x:c>
      <x:c r="D664" s="35" t="str">
        <x:v>base_knockback</x:v>
      </x:c>
      <x:c r="E664" s="38" t="str">
        <x:v>int</x:v>
      </x:c>
      <x:c r="F664" s="56" t="n">
        <x:f>'Actions'!AS15</x:f>
        <x:v>180</x:v>
      </x:c>
      <x:c r="G664" s="38" t="str"/>
      <x:c r="H664" s="35" t="str">
        <x:v>Actions</x:v>
      </x:c>
      <x:c r="I664" s="35" t="str">
        <x:v>AS15</x:v>
      </x:c>
      <x:c r="J664" s="85" t="b">
        <x:v>1</x:v>
      </x:c>
      <x:c r="K664" s="85" t="b">
        <x:v>1</x:v>
      </x:c>
      <x:c r="L664" s="56" t="str">
        <x:f>'Actions'!BE15</x:f>
        <x:v>OK</x:v>
      </x:c>
      <x:c r="M664" s="44" t="str">
        <x:v>Источник Actions.Base Knockback</x:v>
      </x:c>
    </x:row>
    <x:row r="665" ht="36" customHeight="1">
      <x:c r="A665" s="118" t="n">
        <x:v>660</x:v>
      </x:c>
      <x:c r="B665" s="35" t="str">
        <x:v>action</x:v>
      </x:c>
      <x:c r="C665" s="35" t="str">
        <x:v>bear_fury_maul</x:v>
      </x:c>
      <x:c r="D665" s="35" t="str">
        <x:v>knockback_min</x:v>
      </x:c>
      <x:c r="E665" s="38" t="str">
        <x:v>int</x:v>
      </x:c>
      <x:c r="F665" s="56" t="n">
        <x:f>'Actions'!AT15</x:f>
        <x:v>0</x:v>
      </x:c>
      <x:c r="G665" s="38" t="str"/>
      <x:c r="H665" s="35" t="str">
        <x:v>Actions</x:v>
      </x:c>
      <x:c r="I665" s="35" t="str">
        <x:v>AT15</x:v>
      </x:c>
      <x:c r="J665" s="85" t="b">
        <x:v>1</x:v>
      </x:c>
      <x:c r="K665" s="85" t="b">
        <x:v>1</x:v>
      </x:c>
      <x:c r="L665" s="56" t="str">
        <x:f>'Actions'!BE15</x:f>
        <x:v>OK</x:v>
      </x:c>
      <x:c r="M665" s="44" t="str">
        <x:v>Источник Actions.Knockback Min</x:v>
      </x:c>
    </x:row>
    <x:row r="666" ht="36" customHeight="1">
      <x:c r="A666" s="118" t="n">
        <x:v>661</x:v>
      </x:c>
      <x:c r="B666" s="35" t="str">
        <x:v>action</x:v>
      </x:c>
      <x:c r="C666" s="35" t="str">
        <x:v>bear_fury_maul</x:v>
      </x:c>
      <x:c r="D666" s="35" t="str">
        <x:v>knockback_max</x:v>
      </x:c>
      <x:c r="E666" s="38" t="str">
        <x:v>int</x:v>
      </x:c>
      <x:c r="F666" s="56" t="n">
        <x:f>'Actions'!AU15</x:f>
        <x:v>300</x:v>
      </x:c>
      <x:c r="G666" s="38" t="str"/>
      <x:c r="H666" s="35" t="str">
        <x:v>Actions</x:v>
      </x:c>
      <x:c r="I666" s="35" t="str">
        <x:v>AU15</x:v>
      </x:c>
      <x:c r="J666" s="85" t="b">
        <x:v>1</x:v>
      </x:c>
      <x:c r="K666" s="85" t="b">
        <x:v>1</x:v>
      </x:c>
      <x:c r="L666" s="56" t="str">
        <x:f>'Actions'!BE15</x:f>
        <x:v>OK</x:v>
      </x:c>
      <x:c r="M666" s="44" t="str">
        <x:v>Источник Actions.Knockback Max</x:v>
      </x:c>
    </x:row>
    <x:row r="667" ht="36" customHeight="1">
      <x:c r="A667" s="118" t="n">
        <x:v>662</x:v>
      </x:c>
      <x:c r="B667" s="35" t="str">
        <x:v>action</x:v>
      </x:c>
      <x:c r="C667" s="35" t="str">
        <x:v>bear_fury_maul</x:v>
      </x:c>
      <x:c r="D667" s="35" t="str">
        <x:v>wall_damage_per_unit_fp</x:v>
      </x:c>
      <x:c r="E667" s="38" t="str">
        <x:v>int</x:v>
      </x:c>
      <x:c r="F667" s="56" t="n">
        <x:f>'Actions'!AV15</x:f>
        <x:v>0</x:v>
      </x:c>
      <x:c r="G667" s="38" t="str"/>
      <x:c r="H667" s="35" t="str">
        <x:v>Actions</x:v>
      </x:c>
      <x:c r="I667" s="35" t="str">
        <x:v>AV15</x:v>
      </x:c>
      <x:c r="J667" s="85" t="b">
        <x:v>1</x:v>
      </x:c>
      <x:c r="K667" s="85" t="b">
        <x:v>1</x:v>
      </x:c>
      <x:c r="L667" s="56" t="str">
        <x:f>'Actions'!BE15</x:f>
        <x:v>OK</x:v>
      </x:c>
      <x:c r="M667" s="44" t="str">
        <x:v>Источник Actions.Wall Damage / Unit FP</x:v>
      </x:c>
    </x:row>
    <x:row r="668" ht="36" customHeight="1">
      <x:c r="A668" s="118" t="n">
        <x:v>663</x:v>
      </x:c>
      <x:c r="B668" s="35" t="str">
        <x:v>action</x:v>
      </x:c>
      <x:c r="C668" s="35" t="str">
        <x:v>bear_fury_maul</x:v>
      </x:c>
      <x:c r="D668" s="35" t="str">
        <x:v>wall_damage_min</x:v>
      </x:c>
      <x:c r="E668" s="38" t="str">
        <x:v>int</x:v>
      </x:c>
      <x:c r="F668" s="56" t="n">
        <x:f>'Actions'!AW15</x:f>
        <x:v>0</x:v>
      </x:c>
      <x:c r="G668" s="38" t="str"/>
      <x:c r="H668" s="35" t="str">
        <x:v>Actions</x:v>
      </x:c>
      <x:c r="I668" s="35" t="str">
        <x:v>AW15</x:v>
      </x:c>
      <x:c r="J668" s="85" t="b">
        <x:v>1</x:v>
      </x:c>
      <x:c r="K668" s="85" t="b">
        <x:v>1</x:v>
      </x:c>
      <x:c r="L668" s="56" t="str">
        <x:f>'Actions'!BE15</x:f>
        <x:v>OK</x:v>
      </x:c>
      <x:c r="M668" s="44" t="str">
        <x:v>Источник Actions.Wall Damage Min</x:v>
      </x:c>
    </x:row>
    <x:row r="669" ht="36" customHeight="1">
      <x:c r="A669" s="118" t="n">
        <x:v>664</x:v>
      </x:c>
      <x:c r="B669" s="35" t="str">
        <x:v>action</x:v>
      </x:c>
      <x:c r="C669" s="35" t="str">
        <x:v>bear_fury_maul</x:v>
      </x:c>
      <x:c r="D669" s="35" t="str">
        <x:v>wall_damage_max</x:v>
      </x:c>
      <x:c r="E669" s="38" t="str">
        <x:v>int</x:v>
      </x:c>
      <x:c r="F669" s="56" t="n">
        <x:f>'Actions'!AX15</x:f>
        <x:v>0</x:v>
      </x:c>
      <x:c r="G669" s="38" t="str"/>
      <x:c r="H669" s="35" t="str">
        <x:v>Actions</x:v>
      </x:c>
      <x:c r="I669" s="35" t="str">
        <x:v>AX15</x:v>
      </x:c>
      <x:c r="J669" s="85" t="b">
        <x:v>1</x:v>
      </x:c>
      <x:c r="K669" s="85" t="b">
        <x:v>1</x:v>
      </x:c>
      <x:c r="L669" s="56" t="str">
        <x:f>'Actions'!BE15</x:f>
        <x:v>OK</x:v>
      </x:c>
      <x:c r="M669" s="44" t="str">
        <x:v>Источник Actions.Wall Damage Max</x:v>
      </x:c>
    </x:row>
    <x:row r="670" ht="36" customHeight="1">
      <x:c r="A670" s="118" t="n">
        <x:v>665</x:v>
      </x:c>
      <x:c r="B670" s="35" t="str">
        <x:v>action</x:v>
      </x:c>
      <x:c r="C670" s="35" t="str">
        <x:v>bear_fury_maul</x:v>
      </x:c>
      <x:c r="D670" s="35" t="str">
        <x:v>max_consecutive_uses</x:v>
      </x:c>
      <x:c r="E670" s="38" t="str">
        <x:v>int</x:v>
      </x:c>
      <x:c r="F670" s="56" t="n">
        <x:f>'Actions'!AY15</x:f>
        <x:v>1</x:v>
      </x:c>
      <x:c r="G670" s="38" t="str"/>
      <x:c r="H670" s="35" t="str">
        <x:v>Actions</x:v>
      </x:c>
      <x:c r="I670" s="35" t="str">
        <x:v>AY15</x:v>
      </x:c>
      <x:c r="J670" s="85" t="b">
        <x:v>1</x:v>
      </x:c>
      <x:c r="K670" s="85" t="b">
        <x:v>1</x:v>
      </x:c>
      <x:c r="L670" s="56" t="str">
        <x:f>'Actions'!BE15</x:f>
        <x:v>OK</x:v>
      </x:c>
      <x:c r="M670" s="44" t="str">
        <x:v>Источник Actions.Max Consecutive Uses</x:v>
      </x:c>
    </x:row>
    <x:row r="671" ht="36" customHeight="1">
      <x:c r="A671" s="118" t="n">
        <x:v>666</x:v>
      </x:c>
      <x:c r="B671" s="35" t="str">
        <x:v>action</x:v>
      </x:c>
      <x:c r="C671" s="35" t="str">
        <x:v>bear_fury_maul</x:v>
      </x:c>
      <x:c r="D671" s="35" t="str">
        <x:v>opportunity_cap_fp</x:v>
      </x:c>
      <x:c r="E671" s="38" t="str">
        <x:v>int</x:v>
      </x:c>
      <x:c r="F671" s="56" t="n">
        <x:f>'Actions'!AZ15</x:f>
        <x:v>2500</x:v>
      </x:c>
      <x:c r="G671" s="38" t="str"/>
      <x:c r="H671" s="35" t="str">
        <x:v>Actions</x:v>
      </x:c>
      <x:c r="I671" s="35" t="str">
        <x:v>AZ15</x:v>
      </x:c>
      <x:c r="J671" s="85" t="b">
        <x:v>1</x:v>
      </x:c>
      <x:c r="K671" s="85" t="b">
        <x:v>1</x:v>
      </x:c>
      <x:c r="L671" s="56" t="str">
        <x:f>'Actions'!BE15</x:f>
        <x:v>OK</x:v>
      </x:c>
      <x:c r="M671" s="44" t="str">
        <x:v>Источник Actions.Opportunity Cap FP</x:v>
      </x:c>
    </x:row>
    <x:row r="672" ht="36" customHeight="1">
      <x:c r="A672" s="118" t="n">
        <x:v>667</x:v>
      </x:c>
      <x:c r="B672" s="35" t="str">
        <x:v>action</x:v>
      </x:c>
      <x:c r="C672" s="35" t="str">
        <x:v>bear_fury_maul</x:v>
      </x:c>
      <x:c r="D672" s="35" t="str">
        <x:v>hard_opportunity_misses</x:v>
      </x:c>
      <x:c r="E672" s="38" t="str">
        <x:v>int</x:v>
      </x:c>
      <x:c r="F672" s="56" t="n">
        <x:f>'Actions'!BA15</x:f>
        <x:v>4</x:v>
      </x:c>
      <x:c r="G672" s="38" t="str"/>
      <x:c r="H672" s="35" t="str">
        <x:v>Actions</x:v>
      </x:c>
      <x:c r="I672" s="35" t="str">
        <x:v>BA15</x:v>
      </x:c>
      <x:c r="J672" s="85" t="b">
        <x:v>1</x:v>
      </x:c>
      <x:c r="K672" s="85" t="b">
        <x:v>1</x:v>
      </x:c>
      <x:c r="L672" s="56" t="str">
        <x:f>'Actions'!BE15</x:f>
        <x:v>OK</x:v>
      </x:c>
      <x:c r="M672" s="44" t="str">
        <x:v>Источник Actions.Hard Opportunity Misses</x:v>
      </x:c>
    </x:row>
    <x:row r="673" ht="36" customHeight="1">
      <x:c r="A673" s="118" t="n">
        <x:v>668</x:v>
      </x:c>
      <x:c r="B673" s="35" t="str">
        <x:v>action</x:v>
      </x:c>
      <x:c r="C673" s="35" t="str">
        <x:v>kangaroo_lead_jab</x:v>
      </x:c>
      <x:c r="D673" s="35" t="str">
        <x:v>action_id</x:v>
      </x:c>
      <x:c r="E673" s="38" t="str">
        <x:v>string</x:v>
      </x:c>
      <x:c r="F673" s="56" t="str">
        <x:f>'Actions'!A16</x:f>
        <x:v>kangaroo_lead_jab</x:v>
      </x:c>
      <x:c r="G673" s="38" t="str"/>
      <x:c r="H673" s="35" t="str">
        <x:v>Actions</x:v>
      </x:c>
      <x:c r="I673" s="35" t="str">
        <x:v>A16</x:v>
      </x:c>
      <x:c r="J673" s="85" t="b">
        <x:v>1</x:v>
      </x:c>
      <x:c r="K673" s="85" t="b">
        <x:v>1</x:v>
      </x:c>
      <x:c r="L673" s="56" t="str">
        <x:f>'Actions'!BE16</x:f>
        <x:v>OK</x:v>
      </x:c>
      <x:c r="M673" s="44" t="str">
        <x:v>Источник Actions.Action ID</x:v>
      </x:c>
    </x:row>
    <x:row r="674" ht="36" customHeight="1">
      <x:c r="A674" s="118" t="n">
        <x:v>669</x:v>
      </x:c>
      <x:c r="B674" s="35" t="str">
        <x:v>action</x:v>
      </x:c>
      <x:c r="C674" s="35" t="str">
        <x:v>kangaroo_lead_jab</x:v>
      </x:c>
      <x:c r="D674" s="35" t="str">
        <x:v>animal_id</x:v>
      </x:c>
      <x:c r="E674" s="38" t="str">
        <x:v>string</x:v>
      </x:c>
      <x:c r="F674" s="56" t="str">
        <x:f>'Actions'!B16</x:f>
        <x:v>kangaroo</x:v>
      </x:c>
      <x:c r="G674" s="38" t="str"/>
      <x:c r="H674" s="35" t="str">
        <x:v>Actions</x:v>
      </x:c>
      <x:c r="I674" s="35" t="str">
        <x:v>B16</x:v>
      </x:c>
      <x:c r="J674" s="85" t="b">
        <x:v>1</x:v>
      </x:c>
      <x:c r="K674" s="85" t="b">
        <x:v>1</x:v>
      </x:c>
      <x:c r="L674" s="56" t="str">
        <x:f>'Actions'!BE16</x:f>
        <x:v>OK</x:v>
      </x:c>
      <x:c r="M674" s="44" t="str">
        <x:v>Источник Actions.Animal ID</x:v>
      </x:c>
    </x:row>
    <x:row r="675" ht="36" customHeight="1">
      <x:c r="A675" s="118" t="n">
        <x:v>670</x:v>
      </x:c>
      <x:c r="B675" s="35" t="str">
        <x:v>action</x:v>
      </x:c>
      <x:c r="C675" s="35" t="str">
        <x:v>kangaroo_lead_jab</x:v>
      </x:c>
      <x:c r="D675" s="35" t="str">
        <x:v>slot_type</x:v>
      </x:c>
      <x:c r="E675" s="38" t="str">
        <x:v>string</x:v>
      </x:c>
      <x:c r="F675" s="56" t="str">
        <x:f>'Actions'!D16</x:f>
        <x:v>Basic</x:v>
      </x:c>
      <x:c r="G675" s="38" t="str"/>
      <x:c r="H675" s="35" t="str">
        <x:v>Actions</x:v>
      </x:c>
      <x:c r="I675" s="35" t="str">
        <x:v>D16</x:v>
      </x:c>
      <x:c r="J675" s="85" t="b">
        <x:v>1</x:v>
      </x:c>
      <x:c r="K675" s="85" t="b">
        <x:v>1</x:v>
      </x:c>
      <x:c r="L675" s="56" t="str">
        <x:f>'Actions'!BE16</x:f>
        <x:v>OK</x:v>
      </x:c>
      <x:c r="M675" s="44" t="str">
        <x:v>Источник Actions.Slot Type</x:v>
      </x:c>
    </x:row>
    <x:row r="676" ht="36" customHeight="1">
      <x:c r="A676" s="118" t="n">
        <x:v>671</x:v>
      </x:c>
      <x:c r="B676" s="35" t="str">
        <x:v>action</x:v>
      </x:c>
      <x:c r="C676" s="35" t="str">
        <x:v>kangaroo_lead_jab</x:v>
      </x:c>
      <x:c r="D676" s="35" t="str">
        <x:v>category</x:v>
      </x:c>
      <x:c r="E676" s="38" t="str">
        <x:v>string</x:v>
      </x:c>
      <x:c r="F676" s="56" t="str">
        <x:f>'Actions'!E16</x:f>
        <x:v>LightStrike</x:v>
      </x:c>
      <x:c r="G676" s="38" t="str"/>
      <x:c r="H676" s="35" t="str">
        <x:v>Actions</x:v>
      </x:c>
      <x:c r="I676" s="35" t="str">
        <x:v>E16</x:v>
      </x:c>
      <x:c r="J676" s="85" t="b">
        <x:v>1</x:v>
      </x:c>
      <x:c r="K676" s="85" t="b">
        <x:v>1</x:v>
      </x:c>
      <x:c r="L676" s="56" t="str">
        <x:f>'Actions'!BE16</x:f>
        <x:v>OK</x:v>
      </x:c>
      <x:c r="M676" s="44" t="str">
        <x:v>Источник Actions.Category</x:v>
      </x:c>
    </x:row>
    <x:row r="677" ht="36" customHeight="1">
      <x:c r="A677" s="118" t="n">
        <x:v>672</x:v>
      </x:c>
      <x:c r="B677" s="35" t="str">
        <x:v>action</x:v>
      </x:c>
      <x:c r="C677" s="35" t="str">
        <x:v>kangaroo_lead_jab</x:v>
      </x:c>
      <x:c r="D677" s="35" t="str">
        <x:v>tags</x:v>
      </x:c>
      <x:c r="E677" s="38" t="str">
        <x:v>string</x:v>
      </x:c>
      <x:c r="F677" s="56" t="str">
        <x:f>'Actions'!F16</x:f>
        <x:v>strike|light|rhythm|fallback</x:v>
      </x:c>
      <x:c r="G677" s="38" t="str"/>
      <x:c r="H677" s="35" t="str">
        <x:v>Actions</x:v>
      </x:c>
      <x:c r="I677" s="35" t="str">
        <x:v>F16</x:v>
      </x:c>
      <x:c r="J677" s="85" t="b">
        <x:v>1</x:v>
      </x:c>
      <x:c r="K677" s="85" t="b">
        <x:v>1</x:v>
      </x:c>
      <x:c r="L677" s="56" t="str">
        <x:f>'Actions'!BE16</x:f>
        <x:v>OK</x:v>
      </x:c>
      <x:c r="M677" s="44" t="str">
        <x:v>Источник Actions.Tags</x:v>
      </x:c>
    </x:row>
    <x:row r="678" ht="36" customHeight="1">
      <x:c r="A678" s="118" t="n">
        <x:v>673</x:v>
      </x:c>
      <x:c r="B678" s="35" t="str">
        <x:v>action</x:v>
      </x:c>
      <x:c r="C678" s="35" t="str">
        <x:v>kangaroo_lead_jab</x:v>
      </x:c>
      <x:c r="D678" s="35" t="str">
        <x:v>base_weight</x:v>
      </x:c>
      <x:c r="E678" s="38" t="str">
        <x:v>int</x:v>
      </x:c>
      <x:c r="F678" s="56" t="n">
        <x:f>'Actions'!G16</x:f>
        <x:v>1000</x:v>
      </x:c>
      <x:c r="G678" s="38" t="str"/>
      <x:c r="H678" s="35" t="str">
        <x:v>Actions</x:v>
      </x:c>
      <x:c r="I678" s="35" t="str">
        <x:v>G16</x:v>
      </x:c>
      <x:c r="J678" s="85" t="b">
        <x:v>1</x:v>
      </x:c>
      <x:c r="K678" s="85" t="b">
        <x:v>1</x:v>
      </x:c>
      <x:c r="L678" s="56" t="str">
        <x:f>'Actions'!BE16</x:f>
        <x:v>OK</x:v>
      </x:c>
      <x:c r="M678" s="44" t="str">
        <x:v>Источник Actions.Base Weight</x:v>
      </x:c>
    </x:row>
    <x:row r="679" ht="36" customHeight="1">
      <x:c r="A679" s="118" t="n">
        <x:v>674</x:v>
      </x:c>
      <x:c r="B679" s="35" t="str">
        <x:v>action</x:v>
      </x:c>
      <x:c r="C679" s="35" t="str">
        <x:v>kangaroo_lead_jab</x:v>
      </x:c>
      <x:c r="D679" s="35" t="str">
        <x:v>preferred_range_min</x:v>
      </x:c>
      <x:c r="E679" s="38" t="str">
        <x:v>int</x:v>
      </x:c>
      <x:c r="F679" s="56" t="n">
        <x:f>'Actions'!H16</x:f>
        <x:v>100</x:v>
      </x:c>
      <x:c r="G679" s="38" t="str"/>
      <x:c r="H679" s="35" t="str">
        <x:v>Actions</x:v>
      </x:c>
      <x:c r="I679" s="35" t="str">
        <x:v>H16</x:v>
      </x:c>
      <x:c r="J679" s="85" t="b">
        <x:v>1</x:v>
      </x:c>
      <x:c r="K679" s="85" t="b">
        <x:v>1</x:v>
      </x:c>
      <x:c r="L679" s="56" t="str">
        <x:f>'Actions'!BE16</x:f>
        <x:v>OK</x:v>
      </x:c>
      <x:c r="M679" s="44" t="str">
        <x:v>Источник Actions.Preferred Range Min</x:v>
      </x:c>
    </x:row>
    <x:row r="680" ht="36" customHeight="1">
      <x:c r="A680" s="118" t="n">
        <x:v>675</x:v>
      </x:c>
      <x:c r="B680" s="35" t="str">
        <x:v>action</x:v>
      </x:c>
      <x:c r="C680" s="35" t="str">
        <x:v>kangaroo_lead_jab</x:v>
      </x:c>
      <x:c r="D680" s="35" t="str">
        <x:v>preferred_range_max</x:v>
      </x:c>
      <x:c r="E680" s="38" t="str">
        <x:v>int</x:v>
      </x:c>
      <x:c r="F680" s="56" t="n">
        <x:f>'Actions'!I16</x:f>
        <x:v>850</x:v>
      </x:c>
      <x:c r="G680" s="38" t="str"/>
      <x:c r="H680" s="35" t="str">
        <x:v>Actions</x:v>
      </x:c>
      <x:c r="I680" s="35" t="str">
        <x:v>I16</x:v>
      </x:c>
      <x:c r="J680" s="85" t="b">
        <x:v>1</x:v>
      </x:c>
      <x:c r="K680" s="85" t="b">
        <x:v>1</x:v>
      </x:c>
      <x:c r="L680" s="56" t="str">
        <x:f>'Actions'!BE16</x:f>
        <x:v>OK</x:v>
      </x:c>
      <x:c r="M680" s="44" t="str">
        <x:v>Источник Actions.Preferred Range Max</x:v>
      </x:c>
    </x:row>
    <x:row r="681" ht="36" customHeight="1">
      <x:c r="A681" s="118" t="n">
        <x:v>676</x:v>
      </x:c>
      <x:c r="B681" s="35" t="str">
        <x:v>action</x:v>
      </x:c>
      <x:c r="C681" s="35" t="str">
        <x:v>kangaroo_lead_jab</x:v>
      </x:c>
      <x:c r="D681" s="35" t="str">
        <x:v>hit_range_min</x:v>
      </x:c>
      <x:c r="E681" s="38" t="str">
        <x:v>int</x:v>
      </x:c>
      <x:c r="F681" s="56" t="n">
        <x:f>'Actions'!J16</x:f>
        <x:v>0</x:v>
      </x:c>
      <x:c r="G681" s="38" t="str"/>
      <x:c r="H681" s="35" t="str">
        <x:v>Actions</x:v>
      </x:c>
      <x:c r="I681" s="35" t="str">
        <x:v>J16</x:v>
      </x:c>
      <x:c r="J681" s="85" t="b">
        <x:v>1</x:v>
      </x:c>
      <x:c r="K681" s="85" t="b">
        <x:v>1</x:v>
      </x:c>
      <x:c r="L681" s="56" t="str">
        <x:f>'Actions'!BE16</x:f>
        <x:v>OK</x:v>
      </x:c>
      <x:c r="M681" s="44" t="str">
        <x:v>Источник Actions.Hit Range Min</x:v>
      </x:c>
    </x:row>
    <x:row r="682" ht="36" customHeight="1">
      <x:c r="A682" s="118" t="n">
        <x:v>677</x:v>
      </x:c>
      <x:c r="B682" s="35" t="str">
        <x:v>action</x:v>
      </x:c>
      <x:c r="C682" s="35" t="str">
        <x:v>kangaroo_lead_jab</x:v>
      </x:c>
      <x:c r="D682" s="35" t="str">
        <x:v>hit_range_max</x:v>
      </x:c>
      <x:c r="E682" s="38" t="str">
        <x:v>int</x:v>
      </x:c>
      <x:c r="F682" s="56" t="n">
        <x:f>'Actions'!K16</x:f>
        <x:v>950</x:v>
      </x:c>
      <x:c r="G682" s="38" t="str"/>
      <x:c r="H682" s="35" t="str">
        <x:v>Actions</x:v>
      </x:c>
      <x:c r="I682" s="35" t="str">
        <x:v>K16</x:v>
      </x:c>
      <x:c r="J682" s="85" t="b">
        <x:v>1</x:v>
      </x:c>
      <x:c r="K682" s="85" t="b">
        <x:v>1</x:v>
      </x:c>
      <x:c r="L682" s="56" t="str">
        <x:f>'Actions'!BE16</x:f>
        <x:v>OK</x:v>
      </x:c>
      <x:c r="M682" s="44" t="str">
        <x:v>Источник Actions.Hit Range Max</x:v>
      </x:c>
    </x:row>
    <x:row r="683" ht="36" customHeight="1">
      <x:c r="A683" s="118" t="n">
        <x:v>678</x:v>
      </x:c>
      <x:c r="B683" s="35" t="str">
        <x:v>action</x:v>
      </x:c>
      <x:c r="C683" s="35" t="str">
        <x:v>kangaroo_lead_jab</x:v>
      </x:c>
      <x:c r="D683" s="35" t="str">
        <x:v>energy_cost</x:v>
      </x:c>
      <x:c r="E683" s="38" t="str">
        <x:v>int</x:v>
      </x:c>
      <x:c r="F683" s="56" t="n">
        <x:f>'Actions'!L16</x:f>
        <x:v>0</x:v>
      </x:c>
      <x:c r="G683" s="38" t="str"/>
      <x:c r="H683" s="35" t="str">
        <x:v>Actions</x:v>
      </x:c>
      <x:c r="I683" s="35" t="str">
        <x:v>L16</x:v>
      </x:c>
      <x:c r="J683" s="85" t="b">
        <x:v>1</x:v>
      </x:c>
      <x:c r="K683" s="85" t="b">
        <x:v>1</x:v>
      </x:c>
      <x:c r="L683" s="56" t="str">
        <x:f>'Actions'!BE16</x:f>
        <x:v>OK</x:v>
      </x:c>
      <x:c r="M683" s="44" t="str">
        <x:v>Источник Actions.Energy Cost</x:v>
      </x:c>
    </x:row>
    <x:row r="684" ht="36" customHeight="1">
      <x:c r="A684" s="118" t="n">
        <x:v>679</x:v>
      </x:c>
      <x:c r="B684" s="35" t="str">
        <x:v>action</x:v>
      </x:c>
      <x:c r="C684" s="35" t="str">
        <x:v>kangaroo_lead_jab</x:v>
      </x:c>
      <x:c r="D684" s="35" t="str">
        <x:v>resource_cost</x:v>
      </x:c>
      <x:c r="E684" s="38" t="str">
        <x:v>int</x:v>
      </x:c>
      <x:c r="F684" s="56" t="n">
        <x:f>'Actions'!M16</x:f>
        <x:v>0</x:v>
      </x:c>
      <x:c r="G684" s="38" t="str"/>
      <x:c r="H684" s="35" t="str">
        <x:v>Actions</x:v>
      </x:c>
      <x:c r="I684" s="35" t="str">
        <x:v>M16</x:v>
      </x:c>
      <x:c r="J684" s="85" t="b">
        <x:v>1</x:v>
      </x:c>
      <x:c r="K684" s="85" t="b">
        <x:v>1</x:v>
      </x:c>
      <x:c r="L684" s="56" t="str">
        <x:f>'Actions'!BE16</x:f>
        <x:v>OK</x:v>
      </x:c>
      <x:c r="M684" s="44" t="str">
        <x:v>Источник Actions.Resource Cost</x:v>
      </x:c>
    </x:row>
    <x:row r="685" ht="36" customHeight="1">
      <x:c r="A685" s="118" t="n">
        <x:v>680</x:v>
      </x:c>
      <x:c r="B685" s="35" t="str">
        <x:v>action</x:v>
      </x:c>
      <x:c r="C685" s="35" t="str">
        <x:v>kangaroo_lead_jab</x:v>
      </x:c>
      <x:c r="D685" s="35" t="str">
        <x:v>base_damage</x:v>
      </x:c>
      <x:c r="E685" s="38" t="str">
        <x:v>int</x:v>
      </x:c>
      <x:c r="F685" s="56" t="n">
        <x:f>'Actions'!N16</x:f>
        <x:v>22</x:v>
      </x:c>
      <x:c r="G685" s="38" t="str"/>
      <x:c r="H685" s="35" t="str">
        <x:v>Actions</x:v>
      </x:c>
      <x:c r="I685" s="35" t="str">
        <x:v>N16</x:v>
      </x:c>
      <x:c r="J685" s="85" t="b">
        <x:v>1</x:v>
      </x:c>
      <x:c r="K685" s="85" t="b">
        <x:v>1</x:v>
      </x:c>
      <x:c r="L685" s="56" t="str">
        <x:f>'Actions'!BE16</x:f>
        <x:v>OK</x:v>
      </x:c>
      <x:c r="M685" s="44" t="str">
        <x:v>Источник Actions.Base Damage / hit</x:v>
      </x:c>
    </x:row>
    <x:row r="686" ht="36" customHeight="1">
      <x:c r="A686" s="118" t="n">
        <x:v>681</x:v>
      </x:c>
      <x:c r="B686" s="35" t="str">
        <x:v>action</x:v>
      </x:c>
      <x:c r="C686" s="35" t="str">
        <x:v>kangaroo_lead_jab</x:v>
      </x:c>
      <x:c r="D686" s="35" t="str">
        <x:v>power_ratio_fp</x:v>
      </x:c>
      <x:c r="E686" s="38" t="str">
        <x:v>int</x:v>
      </x:c>
      <x:c r="F686" s="56" t="n">
        <x:f>'Actions'!O16</x:f>
        <x:v>350</x:v>
      </x:c>
      <x:c r="G686" s="38" t="str"/>
      <x:c r="H686" s="35" t="str">
        <x:v>Actions</x:v>
      </x:c>
      <x:c r="I686" s="35" t="str">
        <x:v>O16</x:v>
      </x:c>
      <x:c r="J686" s="85" t="b">
        <x:v>1</x:v>
      </x:c>
      <x:c r="K686" s="85" t="b">
        <x:v>1</x:v>
      </x:c>
      <x:c r="L686" s="56" t="str">
        <x:f>'Actions'!BE16</x:f>
        <x:v>OK</x:v>
      </x:c>
      <x:c r="M686" s="44" t="str">
        <x:v>Источник Actions.Power Ratio FP</x:v>
      </x:c>
    </x:row>
    <x:row r="687" ht="36" customHeight="1">
      <x:c r="A687" s="118" t="n">
        <x:v>682</x:v>
      </x:c>
      <x:c r="B687" s="35" t="str">
        <x:v>action</x:v>
      </x:c>
      <x:c r="C687" s="35" t="str">
        <x:v>kangaroo_lead_jab</x:v>
      </x:c>
      <x:c r="D687" s="35" t="str">
        <x:v>min_damage</x:v>
      </x:c>
      <x:c r="E687" s="38" t="str">
        <x:v>int</x:v>
      </x:c>
      <x:c r="F687" s="56" t="n">
        <x:f>'Actions'!P16</x:f>
        <x:v>9</x:v>
      </x:c>
      <x:c r="G687" s="38" t="str"/>
      <x:c r="H687" s="35" t="str">
        <x:v>Actions</x:v>
      </x:c>
      <x:c r="I687" s="35" t="str">
        <x:v>P16</x:v>
      </x:c>
      <x:c r="J687" s="85" t="b">
        <x:v>1</x:v>
      </x:c>
      <x:c r="K687" s="85" t="b">
        <x:v>1</x:v>
      </x:c>
      <x:c r="L687" s="56" t="str">
        <x:f>'Actions'!BE16</x:f>
        <x:v>OK</x:v>
      </x:c>
      <x:c r="M687" s="44" t="str">
        <x:v>Источник Actions.Min Damage</x:v>
      </x:c>
    </x:row>
    <x:row r="688" ht="36" customHeight="1">
      <x:c r="A688" s="118" t="n">
        <x:v>683</x:v>
      </x:c>
      <x:c r="B688" s="35" t="str">
        <x:v>action</x:v>
      </x:c>
      <x:c r="C688" s="35" t="str">
        <x:v>kangaroo_lead_jab</x:v>
      </x:c>
      <x:c r="D688" s="35" t="str">
        <x:v>chip_min</x:v>
      </x:c>
      <x:c r="E688" s="38" t="str">
        <x:v>int</x:v>
      </x:c>
      <x:c r="F688" s="56" t="n">
        <x:f>'Actions'!Q16</x:f>
        <x:v>3</x:v>
      </x:c>
      <x:c r="G688" s="38" t="str"/>
      <x:c r="H688" s="35" t="str">
        <x:v>Actions</x:v>
      </x:c>
      <x:c r="I688" s="35" t="str">
        <x:v>Q16</x:v>
      </x:c>
      <x:c r="J688" s="85" t="b">
        <x:v>1</x:v>
      </x:c>
      <x:c r="K688" s="85" t="b">
        <x:v>1</x:v>
      </x:c>
      <x:c r="L688" s="56" t="str">
        <x:f>'Actions'!BE16</x:f>
        <x:v>OK</x:v>
      </x:c>
      <x:c r="M688" s="44" t="str">
        <x:v>Источник Actions.Chip Min</x:v>
      </x:c>
    </x:row>
    <x:row r="689" ht="36" customHeight="1">
      <x:c r="A689" s="118" t="n">
        <x:v>684</x:v>
      </x:c>
      <x:c r="B689" s="35" t="str">
        <x:v>action</x:v>
      </x:c>
      <x:c r="C689" s="35" t="str">
        <x:v>kangaroo_lead_jab</x:v>
      </x:c>
      <x:c r="D689" s="35" t="str">
        <x:v>startup_base_ticks</x:v>
      </x:c>
      <x:c r="E689" s="38" t="str">
        <x:v>int</x:v>
      </x:c>
      <x:c r="F689" s="56" t="n">
        <x:f>'Actions'!R16</x:f>
        <x:v>2</x:v>
      </x:c>
      <x:c r="G689" s="38" t="str"/>
      <x:c r="H689" s="35" t="str">
        <x:v>Actions</x:v>
      </x:c>
      <x:c r="I689" s="35" t="str">
        <x:v>R16</x:v>
      </x:c>
      <x:c r="J689" s="85" t="b">
        <x:v>1</x:v>
      </x:c>
      <x:c r="K689" s="85" t="b">
        <x:v>1</x:v>
      </x:c>
      <x:c r="L689" s="56" t="str">
        <x:f>'Actions'!BE16</x:f>
        <x:v>OK</x:v>
      </x:c>
      <x:c r="M689" s="44" t="str">
        <x:v>Источник Actions.Startup Base Ticks</x:v>
      </x:c>
    </x:row>
    <x:row r="690" ht="36" customHeight="1">
      <x:c r="A690" s="118" t="n">
        <x:v>685</x:v>
      </x:c>
      <x:c r="B690" s="35" t="str">
        <x:v>action</x:v>
      </x:c>
      <x:c r="C690" s="35" t="str">
        <x:v>kangaroo_lead_jab</x:v>
      </x:c>
      <x:c r="D690" s="35" t="str">
        <x:v>startup_min_ticks</x:v>
      </x:c>
      <x:c r="E690" s="38" t="str">
        <x:v>int</x:v>
      </x:c>
      <x:c r="F690" s="56" t="n">
        <x:f>'Actions'!S16</x:f>
        <x:v>1</x:v>
      </x:c>
      <x:c r="G690" s="38" t="str"/>
      <x:c r="H690" s="35" t="str">
        <x:v>Actions</x:v>
      </x:c>
      <x:c r="I690" s="35" t="str">
        <x:v>S16</x:v>
      </x:c>
      <x:c r="J690" s="85" t="b">
        <x:v>1</x:v>
      </x:c>
      <x:c r="K690" s="85" t="b">
        <x:v>1</x:v>
      </x:c>
      <x:c r="L690" s="56" t="str">
        <x:f>'Actions'!BE16</x:f>
        <x:v>OK</x:v>
      </x:c>
      <x:c r="M690" s="44" t="str">
        <x:v>Источник Actions.Startup Min Ticks</x:v>
      </x:c>
    </x:row>
    <x:row r="691" ht="36" customHeight="1">
      <x:c r="A691" s="118" t="n">
        <x:v>686</x:v>
      </x:c>
      <x:c r="B691" s="35" t="str">
        <x:v>action</x:v>
      </x:c>
      <x:c r="C691" s="35" t="str">
        <x:v>kangaroo_lead_jab</x:v>
      </x:c>
      <x:c r="D691" s="35" t="str">
        <x:v>startup_max_ticks</x:v>
      </x:c>
      <x:c r="E691" s="38" t="str">
        <x:v>int</x:v>
      </x:c>
      <x:c r="F691" s="56" t="n">
        <x:f>'Actions'!T16</x:f>
        <x:v>4</x:v>
      </x:c>
      <x:c r="G691" s="38" t="str"/>
      <x:c r="H691" s="35" t="str">
        <x:v>Actions</x:v>
      </x:c>
      <x:c r="I691" s="35" t="str">
        <x:v>T16</x:v>
      </x:c>
      <x:c r="J691" s="85" t="b">
        <x:v>1</x:v>
      </x:c>
      <x:c r="K691" s="85" t="b">
        <x:v>1</x:v>
      </x:c>
      <x:c r="L691" s="56" t="str">
        <x:f>'Actions'!BE16</x:f>
        <x:v>OK</x:v>
      </x:c>
      <x:c r="M691" s="44" t="str">
        <x:v>Источник Actions.Startup Max Ticks</x:v>
      </x:c>
    </x:row>
    <x:row r="692" ht="36" customHeight="1">
      <x:c r="A692" s="118" t="n">
        <x:v>687</x:v>
      </x:c>
      <x:c r="B692" s="35" t="str">
        <x:v>action</x:v>
      </x:c>
      <x:c r="C692" s="35" t="str">
        <x:v>kangaroo_lead_jab</x:v>
      </x:c>
      <x:c r="D692" s="35" t="str">
        <x:v>active_ticks</x:v>
      </x:c>
      <x:c r="E692" s="38" t="str">
        <x:v>int</x:v>
      </x:c>
      <x:c r="F692" s="56" t="n">
        <x:f>'Actions'!U16</x:f>
        <x:v>1</x:v>
      </x:c>
      <x:c r="G692" s="38" t="str"/>
      <x:c r="H692" s="35" t="str">
        <x:v>Actions</x:v>
      </x:c>
      <x:c r="I692" s="35" t="str">
        <x:v>U16</x:v>
      </x:c>
      <x:c r="J692" s="85" t="b">
        <x:v>1</x:v>
      </x:c>
      <x:c r="K692" s="85" t="b">
        <x:v>1</x:v>
      </x:c>
      <x:c r="L692" s="56" t="str">
        <x:f>'Actions'!BE16</x:f>
        <x:v>OK</x:v>
      </x:c>
      <x:c r="M692" s="44" t="str">
        <x:v>Источник Actions.Active Ticks</x:v>
      </x:c>
    </x:row>
    <x:row r="693" ht="36" customHeight="1">
      <x:c r="A693" s="118" t="n">
        <x:v>688</x:v>
      </x:c>
      <x:c r="B693" s="35" t="str">
        <x:v>action</x:v>
      </x:c>
      <x:c r="C693" s="35" t="str">
        <x:v>kangaroo_lead_jab</x:v>
      </x:c>
      <x:c r="D693" s="35" t="str">
        <x:v>hit_schedule</x:v>
      </x:c>
      <x:c r="E693" s="38" t="str">
        <x:v>string</x:v>
      </x:c>
      <x:c r="F693" s="56" t="str">
        <x:f>'Actions'!V16</x:f>
        <x:v>0</x:v>
      </x:c>
      <x:c r="G693" s="38" t="str"/>
      <x:c r="H693" s="35" t="str">
        <x:v>Actions</x:v>
      </x:c>
      <x:c r="I693" s="35" t="str">
        <x:v>V16</x:v>
      </x:c>
      <x:c r="J693" s="85" t="b">
        <x:v>1</x:v>
      </x:c>
      <x:c r="K693" s="85" t="b">
        <x:v>1</x:v>
      </x:c>
      <x:c r="L693" s="56" t="str">
        <x:f>'Actions'!BE16</x:f>
        <x:v>OK</x:v>
      </x:c>
      <x:c r="M693" s="44" t="str">
        <x:v>Источник Actions.Hit Schedule</x:v>
      </x:c>
    </x:row>
    <x:row r="694" ht="36" customHeight="1">
      <x:c r="A694" s="118" t="n">
        <x:v>689</x:v>
      </x:c>
      <x:c r="B694" s="35" t="str">
        <x:v>action</x:v>
      </x:c>
      <x:c r="C694" s="35" t="str">
        <x:v>kangaroo_lead_jab</x:v>
      </x:c>
      <x:c r="D694" s="35" t="str">
        <x:v>hit_count</x:v>
      </x:c>
      <x:c r="E694" s="38" t="str">
        <x:v>int</x:v>
      </x:c>
      <x:c r="F694" s="56" t="n">
        <x:f>'Actions'!W16</x:f>
        <x:v>1</x:v>
      </x:c>
      <x:c r="G694" s="38" t="str"/>
      <x:c r="H694" s="35" t="str">
        <x:v>Actions</x:v>
      </x:c>
      <x:c r="I694" s="35" t="str">
        <x:v>W16</x:v>
      </x:c>
      <x:c r="J694" s="85" t="b">
        <x:v>1</x:v>
      </x:c>
      <x:c r="K694" s="85" t="b">
        <x:v>1</x:v>
      </x:c>
      <x:c r="L694" s="56" t="str">
        <x:f>'Actions'!BE16</x:f>
        <x:v>OK</x:v>
      </x:c>
      <x:c r="M694" s="44" t="str">
        <x:v>Источник Actions.Hit Count</x:v>
      </x:c>
    </x:row>
    <x:row r="695" ht="36" customHeight="1">
      <x:c r="A695" s="118" t="n">
        <x:v>690</x:v>
      </x:c>
      <x:c r="B695" s="35" t="str">
        <x:v>action</x:v>
      </x:c>
      <x:c r="C695" s="35" t="str">
        <x:v>kangaroo_lead_jab</x:v>
      </x:c>
      <x:c r="D695" s="35" t="str">
        <x:v>recovery_base_ticks</x:v>
      </x:c>
      <x:c r="E695" s="38" t="str">
        <x:v>int</x:v>
      </x:c>
      <x:c r="F695" s="56" t="n">
        <x:f>'Actions'!X16</x:f>
        <x:v>4</x:v>
      </x:c>
      <x:c r="G695" s="38" t="str"/>
      <x:c r="H695" s="35" t="str">
        <x:v>Actions</x:v>
      </x:c>
      <x:c r="I695" s="35" t="str">
        <x:v>X16</x:v>
      </x:c>
      <x:c r="J695" s="85" t="b">
        <x:v>1</x:v>
      </x:c>
      <x:c r="K695" s="85" t="b">
        <x:v>1</x:v>
      </x:c>
      <x:c r="L695" s="56" t="str">
        <x:f>'Actions'!BE16</x:f>
        <x:v>OK</x:v>
      </x:c>
      <x:c r="M695" s="44" t="str">
        <x:v>Источник Actions.Recovery Base Ticks</x:v>
      </x:c>
    </x:row>
    <x:row r="696" ht="36" customHeight="1">
      <x:c r="A696" s="118" t="n">
        <x:v>691</x:v>
      </x:c>
      <x:c r="B696" s="35" t="str">
        <x:v>action</x:v>
      </x:c>
      <x:c r="C696" s="35" t="str">
        <x:v>kangaroo_lead_jab</x:v>
      </x:c>
      <x:c r="D696" s="35" t="str">
        <x:v>recovery_min_ticks</x:v>
      </x:c>
      <x:c r="E696" s="38" t="str">
        <x:v>int</x:v>
      </x:c>
      <x:c r="F696" s="56" t="n">
        <x:f>'Actions'!Y16</x:f>
        <x:v>2</x:v>
      </x:c>
      <x:c r="G696" s="38" t="str"/>
      <x:c r="H696" s="35" t="str">
        <x:v>Actions</x:v>
      </x:c>
      <x:c r="I696" s="35" t="str">
        <x:v>Y16</x:v>
      </x:c>
      <x:c r="J696" s="85" t="b">
        <x:v>1</x:v>
      </x:c>
      <x:c r="K696" s="85" t="b">
        <x:v>1</x:v>
      </x:c>
      <x:c r="L696" s="56" t="str">
        <x:f>'Actions'!BE16</x:f>
        <x:v>OK</x:v>
      </x:c>
      <x:c r="M696" s="44" t="str">
        <x:v>Источник Actions.Recovery Min Ticks</x:v>
      </x:c>
    </x:row>
    <x:row r="697" ht="36" customHeight="1">
      <x:c r="A697" s="118" t="n">
        <x:v>692</x:v>
      </x:c>
      <x:c r="B697" s="35" t="str">
        <x:v>action</x:v>
      </x:c>
      <x:c r="C697" s="35" t="str">
        <x:v>kangaroo_lead_jab</x:v>
      </x:c>
      <x:c r="D697" s="35" t="str">
        <x:v>recovery_max_ticks</x:v>
      </x:c>
      <x:c r="E697" s="38" t="str">
        <x:v>int</x:v>
      </x:c>
      <x:c r="F697" s="56" t="n">
        <x:f>'Actions'!Z16</x:f>
        <x:v>7</x:v>
      </x:c>
      <x:c r="G697" s="38" t="str"/>
      <x:c r="H697" s="35" t="str">
        <x:v>Actions</x:v>
      </x:c>
      <x:c r="I697" s="35" t="str">
        <x:v>Z16</x:v>
      </x:c>
      <x:c r="J697" s="85" t="b">
        <x:v>1</x:v>
      </x:c>
      <x:c r="K697" s="85" t="b">
        <x:v>1</x:v>
      </x:c>
      <x:c r="L697" s="56" t="str">
        <x:f>'Actions'!BE16</x:f>
        <x:v>OK</x:v>
      </x:c>
      <x:c r="M697" s="44" t="str">
        <x:v>Источник Actions.Recovery Max Ticks</x:v>
      </x:c>
    </x:row>
    <x:row r="698" ht="36" customHeight="1">
      <x:c r="A698" s="118" t="n">
        <x:v>693</x:v>
      </x:c>
      <x:c r="B698" s="35" t="str">
        <x:v>action</x:v>
      </x:c>
      <x:c r="C698" s="35" t="str">
        <x:v>kangaroo_lead_jab</x:v>
      </x:c>
      <x:c r="D698" s="35" t="str">
        <x:v>cooldown_ticks</x:v>
      </x:c>
      <x:c r="E698" s="38" t="str">
        <x:v>int</x:v>
      </x:c>
      <x:c r="F698" s="56" t="n">
        <x:f>'Actions'!AA16</x:f>
        <x:v>0</x:v>
      </x:c>
      <x:c r="G698" s="38" t="str"/>
      <x:c r="H698" s="35" t="str">
        <x:v>Actions</x:v>
      </x:c>
      <x:c r="I698" s="35" t="str">
        <x:v>AA16</x:v>
      </x:c>
      <x:c r="J698" s="85" t="b">
        <x:v>1</x:v>
      </x:c>
      <x:c r="K698" s="85" t="b">
        <x:v>1</x:v>
      </x:c>
      <x:c r="L698" s="56" t="str">
        <x:f>'Actions'!BE16</x:f>
        <x:v>OK</x:v>
      </x:c>
      <x:c r="M698" s="44" t="str">
        <x:v>Источник Actions.Cooldown Ticks</x:v>
      </x:c>
    </x:row>
    <x:row r="699" ht="36" customHeight="1">
      <x:c r="A699" s="118" t="n">
        <x:v>694</x:v>
      </x:c>
      <x:c r="B699" s="35" t="str">
        <x:v>action</x:v>
      </x:c>
      <x:c r="C699" s="35" t="str">
        <x:v>kangaroo_lead_jab</x:v>
      </x:c>
      <x:c r="D699" s="35" t="str">
        <x:v>action_priority</x:v>
      </x:c>
      <x:c r="E699" s="38" t="str">
        <x:v>int</x:v>
      </x:c>
      <x:c r="F699" s="56" t="n">
        <x:f>'Actions'!AB16</x:f>
        <x:v>25</x:v>
      </x:c>
      <x:c r="G699" s="38" t="str"/>
      <x:c r="H699" s="35" t="str">
        <x:v>Actions</x:v>
      </x:c>
      <x:c r="I699" s="35" t="str">
        <x:v>AB16</x:v>
      </x:c>
      <x:c r="J699" s="85" t="b">
        <x:v>1</x:v>
      </x:c>
      <x:c r="K699" s="85" t="b">
        <x:v>1</x:v>
      </x:c>
      <x:c r="L699" s="56" t="str">
        <x:f>'Actions'!BE16</x:f>
        <x:v>OK</x:v>
      </x:c>
      <x:c r="M699" s="44" t="str">
        <x:v>Источник Actions.Action Priority</x:v>
      </x:c>
    </x:row>
    <x:row r="700" ht="36" customHeight="1">
      <x:c r="A700" s="118" t="n">
        <x:v>695</x:v>
      </x:c>
      <x:c r="B700" s="35" t="str">
        <x:v>action</x:v>
      </x:c>
      <x:c r="C700" s="35" t="str">
        <x:v>kangaroo_lead_jab</x:v>
      </x:c>
      <x:c r="D700" s="35" t="str">
        <x:v>clash_priority</x:v>
      </x:c>
      <x:c r="E700" s="38" t="str">
        <x:v>int</x:v>
      </x:c>
      <x:c r="F700" s="56" t="n">
        <x:f>'Actions'!AC16</x:f>
        <x:v>22</x:v>
      </x:c>
      <x:c r="G700" s="38" t="str"/>
      <x:c r="H700" s="35" t="str">
        <x:v>Actions</x:v>
      </x:c>
      <x:c r="I700" s="35" t="str">
        <x:v>AC16</x:v>
      </x:c>
      <x:c r="J700" s="85" t="b">
        <x:v>1</x:v>
      </x:c>
      <x:c r="K700" s="85" t="b">
        <x:v>1</x:v>
      </x:c>
      <x:c r="L700" s="56" t="str">
        <x:f>'Actions'!BE16</x:f>
        <x:v>OK</x:v>
      </x:c>
      <x:c r="M700" s="44" t="str">
        <x:v>Источник Actions.Clash Priority</x:v>
      </x:c>
    </x:row>
    <x:row r="701" ht="36" customHeight="1">
      <x:c r="A701" s="118" t="n">
        <x:v>696</x:v>
      </x:c>
      <x:c r="B701" s="35" t="str">
        <x:v>action</x:v>
      </x:c>
      <x:c r="C701" s="35" t="str">
        <x:v>kangaroo_lead_jab</x:v>
      </x:c>
      <x:c r="D701" s="35" t="str">
        <x:v>grab_priority</x:v>
      </x:c>
      <x:c r="E701" s="38" t="str">
        <x:v>int</x:v>
      </x:c>
      <x:c r="F701" s="56" t="n">
        <x:f>'Actions'!AD16</x:f>
        <x:v>0</x:v>
      </x:c>
      <x:c r="G701" s="38" t="str"/>
      <x:c r="H701" s="35" t="str">
        <x:v>Actions</x:v>
      </x:c>
      <x:c r="I701" s="35" t="str">
        <x:v>AD16</x:v>
      </x:c>
      <x:c r="J701" s="85" t="b">
        <x:v>1</x:v>
      </x:c>
      <x:c r="K701" s="85" t="b">
        <x:v>1</x:v>
      </x:c>
      <x:c r="L701" s="56" t="str">
        <x:f>'Actions'!BE16</x:f>
        <x:v>OK</x:v>
      </x:c>
      <x:c r="M701" s="44" t="str">
        <x:v>Источник Actions.Grab Priority</x:v>
      </x:c>
    </x:row>
    <x:row r="702" ht="36" customHeight="1">
      <x:c r="A702" s="118" t="n">
        <x:v>697</x:v>
      </x:c>
      <x:c r="B702" s="35" t="str">
        <x:v>action</x:v>
      </x:c>
      <x:c r="C702" s="35" t="str">
        <x:v>kangaroo_lead_jab</x:v>
      </x:c>
      <x:c r="D702" s="35" t="str">
        <x:v>resolution_priority</x:v>
      </x:c>
      <x:c r="E702" s="38" t="str">
        <x:v>int</x:v>
      </x:c>
      <x:c r="F702" s="56" t="n">
        <x:f>'Actions'!AE16</x:f>
        <x:v>25</x:v>
      </x:c>
      <x:c r="G702" s="38" t="str"/>
      <x:c r="H702" s="35" t="str">
        <x:v>Actions</x:v>
      </x:c>
      <x:c r="I702" s="35" t="str">
        <x:v>AE16</x:v>
      </x:c>
      <x:c r="J702" s="85" t="b">
        <x:v>1</x:v>
      </x:c>
      <x:c r="K702" s="85" t="b">
        <x:v>1</x:v>
      </x:c>
      <x:c r="L702" s="56" t="str">
        <x:f>'Actions'!BE16</x:f>
        <x:v>OK</x:v>
      </x:c>
      <x:c r="M702" s="44" t="str">
        <x:v>Источник Actions.Resolution Priority</x:v>
      </x:c>
    </x:row>
    <x:row r="703" ht="36" customHeight="1">
      <x:c r="A703" s="118" t="n">
        <x:v>698</x:v>
      </x:c>
      <x:c r="B703" s="35" t="str">
        <x:v>action</x:v>
      </x:c>
      <x:c r="C703" s="35" t="str">
        <x:v>kangaroo_lead_jab</x:v>
      </x:c>
      <x:c r="D703" s="35" t="str">
        <x:v>interrupt_profile</x:v>
      </x:c>
      <x:c r="E703" s="38" t="str">
        <x:v>string</x:v>
      </x:c>
      <x:c r="F703" s="56" t="str">
        <x:f>'Actions'!AF16</x:f>
        <x:v>Committed</x:v>
      </x:c>
      <x:c r="G703" s="38" t="str"/>
      <x:c r="H703" s="35" t="str">
        <x:v>Actions</x:v>
      </x:c>
      <x:c r="I703" s="35" t="str">
        <x:v>AF16</x:v>
      </x:c>
      <x:c r="J703" s="85" t="b">
        <x:v>1</x:v>
      </x:c>
      <x:c r="K703" s="85" t="b">
        <x:v>1</x:v>
      </x:c>
      <x:c r="L703" s="56" t="str">
        <x:f>'Actions'!BE16</x:f>
        <x:v>OK</x:v>
      </x:c>
      <x:c r="M703" s="44" t="str">
        <x:v>Источник Actions.Interrupt Profile</x:v>
      </x:c>
    </x:row>
    <x:row r="704" ht="36" customHeight="1">
      <x:c r="A704" s="118" t="n">
        <x:v>699</x:v>
      </x:c>
      <x:c r="B704" s="35" t="str">
        <x:v>action</x:v>
      </x:c>
      <x:c r="C704" s="35" t="str">
        <x:v>kangaroo_lead_jab</x:v>
      </x:c>
      <x:c r="D704" s="35" t="str">
        <x:v>blockable</x:v>
      </x:c>
      <x:c r="E704" s="38" t="str">
        <x:v>bool</x:v>
      </x:c>
      <x:c r="F704" s="56" t="b">
        <x:f>'Actions'!AG16</x:f>
        <x:v>1</x:v>
      </x:c>
      <x:c r="G704" s="38" t="str"/>
      <x:c r="H704" s="35" t="str">
        <x:v>Actions</x:v>
      </x:c>
      <x:c r="I704" s="35" t="str">
        <x:v>AG16</x:v>
      </x:c>
      <x:c r="J704" s="85" t="b">
        <x:v>1</x:v>
      </x:c>
      <x:c r="K704" s="85" t="b">
        <x:v>1</x:v>
      </x:c>
      <x:c r="L704" s="56" t="str">
        <x:f>'Actions'!BE16</x:f>
        <x:v>OK</x:v>
      </x:c>
      <x:c r="M704" s="44" t="str">
        <x:v>Источник Actions.Blockable</x:v>
      </x:c>
    </x:row>
    <x:row r="705" ht="36" customHeight="1">
      <x:c r="A705" s="118" t="n">
        <x:v>700</x:v>
      </x:c>
      <x:c r="B705" s="35" t="str">
        <x:v>action</x:v>
      </x:c>
      <x:c r="C705" s="35" t="str">
        <x:v>kangaroo_lead_jab</x:v>
      </x:c>
      <x:c r="D705" s="35" t="str">
        <x:v>dodgeable</x:v>
      </x:c>
      <x:c r="E705" s="38" t="str">
        <x:v>bool</x:v>
      </x:c>
      <x:c r="F705" s="56" t="b">
        <x:f>'Actions'!AH16</x:f>
        <x:v>1</x:v>
      </x:c>
      <x:c r="G705" s="38" t="str"/>
      <x:c r="H705" s="35" t="str">
        <x:v>Actions</x:v>
      </x:c>
      <x:c r="I705" s="35" t="str">
        <x:v>AH16</x:v>
      </x:c>
      <x:c r="J705" s="85" t="b">
        <x:v>1</x:v>
      </x:c>
      <x:c r="K705" s="85" t="b">
        <x:v>1</x:v>
      </x:c>
      <x:c r="L705" s="56" t="str">
        <x:f>'Actions'!BE16</x:f>
        <x:v>OK</x:v>
      </x:c>
      <x:c r="M705" s="44" t="str">
        <x:v>Источник Actions.Dodgeable</x:v>
      </x:c>
    </x:row>
    <x:row r="706" ht="36" customHeight="1">
      <x:c r="A706" s="118" t="n">
        <x:v>701</x:v>
      </x:c>
      <x:c r="B706" s="35" t="str">
        <x:v>action</x:v>
      </x:c>
      <x:c r="C706" s="35" t="str">
        <x:v>kangaroo_lead_jab</x:v>
      </x:c>
      <x:c r="D706" s="35" t="str">
        <x:v>undodgeable</x:v>
      </x:c>
      <x:c r="E706" s="38" t="str">
        <x:v>bool</x:v>
      </x:c>
      <x:c r="F706" s="56" t="b">
        <x:f>'Actions'!AI16</x:f>
        <x:v>0</x:v>
      </x:c>
      <x:c r="G706" s="38" t="str"/>
      <x:c r="H706" s="35" t="str">
        <x:v>Actions</x:v>
      </x:c>
      <x:c r="I706" s="35" t="str">
        <x:v>AI16</x:v>
      </x:c>
      <x:c r="J706" s="85" t="b">
        <x:v>1</x:v>
      </x:c>
      <x:c r="K706" s="85" t="b">
        <x:v>1</x:v>
      </x:c>
      <x:c r="L706" s="56" t="str">
        <x:f>'Actions'!BE16</x:f>
        <x:v>OK</x:v>
      </x:c>
      <x:c r="M706" s="44" t="str">
        <x:v>Источник Actions.Undodgeable</x:v>
      </x:c>
    </x:row>
    <x:row r="707" ht="36" customHeight="1">
      <x:c r="A707" s="118" t="n">
        <x:v>702</x:v>
      </x:c>
      <x:c r="B707" s="35" t="str">
        <x:v>action</x:v>
      </x:c>
      <x:c r="C707" s="35" t="str">
        <x:v>kangaroo_lead_jab</x:v>
      </x:c>
      <x:c r="D707" s="35" t="str">
        <x:v>wall_impact</x:v>
      </x:c>
      <x:c r="E707" s="38" t="str">
        <x:v>bool</x:v>
      </x:c>
      <x:c r="F707" s="56" t="b">
        <x:f>'Actions'!AJ16</x:f>
        <x:v>0</x:v>
      </x:c>
      <x:c r="G707" s="38" t="str"/>
      <x:c r="H707" s="35" t="str">
        <x:v>Actions</x:v>
      </x:c>
      <x:c r="I707" s="35" t="str">
        <x:v>AJ16</x:v>
      </x:c>
      <x:c r="J707" s="85" t="b">
        <x:v>1</x:v>
      </x:c>
      <x:c r="K707" s="85" t="b">
        <x:v>1</x:v>
      </x:c>
      <x:c r="L707" s="56" t="str">
        <x:f>'Actions'!BE16</x:f>
        <x:v>OK</x:v>
      </x:c>
      <x:c r="M707" s="44" t="str">
        <x:v>Источник Actions.Wall Impact</x:v>
      </x:c>
    </x:row>
    <x:row r="708" ht="36" customHeight="1">
      <x:c r="A708" s="118" t="n">
        <x:v>703</x:v>
      </x:c>
      <x:c r="B708" s="35" t="str">
        <x:v>action</x:v>
      </x:c>
      <x:c r="C708" s="35" t="str">
        <x:v>kangaroo_lead_jab</x:v>
      </x:c>
      <x:c r="D708" s="35" t="str">
        <x:v>track_target</x:v>
      </x:c>
      <x:c r="E708" s="38" t="str">
        <x:v>bool</x:v>
      </x:c>
      <x:c r="F708" s="56" t="b">
        <x:f>'Actions'!AK16</x:f>
        <x:v>0</x:v>
      </x:c>
      <x:c r="G708" s="38" t="str"/>
      <x:c r="H708" s="35" t="str">
        <x:v>Actions</x:v>
      </x:c>
      <x:c r="I708" s="35" t="str">
        <x:v>AK16</x:v>
      </x:c>
      <x:c r="J708" s="85" t="b">
        <x:v>1</x:v>
      </x:c>
      <x:c r="K708" s="85" t="b">
        <x:v>1</x:v>
      </x:c>
      <x:c r="L708" s="56" t="str">
        <x:f>'Actions'!BE16</x:f>
        <x:v>OK</x:v>
      </x:c>
      <x:c r="M708" s="44" t="str">
        <x:v>Источник Actions.Track Target</x:v>
      </x:c>
    </x:row>
    <x:row r="709" ht="36" customHeight="1">
      <x:c r="A709" s="118" t="n">
        <x:v>704</x:v>
      </x:c>
      <x:c r="B709" s="35" t="str">
        <x:v>action</x:v>
      </x:c>
      <x:c r="C709" s="35" t="str">
        <x:v>kangaroo_lead_jab</x:v>
      </x:c>
      <x:c r="D709" s="35" t="str">
        <x:v>block_base_chance_fp</x:v>
      </x:c>
      <x:c r="E709" s="38" t="str">
        <x:v>int</x:v>
      </x:c>
      <x:c r="F709" s="56" t="n">
        <x:f>'Actions'!AL16</x:f>
        <x:v>0</x:v>
      </x:c>
      <x:c r="G709" s="38" t="str"/>
      <x:c r="H709" s="35" t="str">
        <x:v>Actions</x:v>
      </x:c>
      <x:c r="I709" s="35" t="str">
        <x:v>AL16</x:v>
      </x:c>
      <x:c r="J709" s="85" t="b">
        <x:v>1</x:v>
      </x:c>
      <x:c r="K709" s="85" t="b">
        <x:v>1</x:v>
      </x:c>
      <x:c r="L709" s="56" t="str">
        <x:f>'Actions'!BE16</x:f>
        <x:v>OK</x:v>
      </x:c>
      <x:c r="M709" s="44" t="str">
        <x:v>Источник Actions.Block Base Chance FP</x:v>
      </x:c>
    </x:row>
    <x:row r="710" ht="36" customHeight="1">
      <x:c r="A710" s="118" t="n">
        <x:v>705</x:v>
      </x:c>
      <x:c r="B710" s="35" t="str">
        <x:v>action</x:v>
      </x:c>
      <x:c r="C710" s="35" t="str">
        <x:v>kangaroo_lead_jab</x:v>
      </x:c>
      <x:c r="D710" s="35" t="str">
        <x:v>block_reduction_fp</x:v>
      </x:c>
      <x:c r="E710" s="38" t="str">
        <x:v>int</x:v>
      </x:c>
      <x:c r="F710" s="56" t="n">
        <x:f>'Actions'!AM16</x:f>
        <x:v>0</x:v>
      </x:c>
      <x:c r="G710" s="38" t="str"/>
      <x:c r="H710" s="35" t="str">
        <x:v>Actions</x:v>
      </x:c>
      <x:c r="I710" s="35" t="str">
        <x:v>AM16</x:v>
      </x:c>
      <x:c r="J710" s="85" t="b">
        <x:v>1</x:v>
      </x:c>
      <x:c r="K710" s="85" t="b">
        <x:v>1</x:v>
      </x:c>
      <x:c r="L710" s="56" t="str">
        <x:f>'Actions'!BE16</x:f>
        <x:v>OK</x:v>
      </x:c>
      <x:c r="M710" s="44" t="str">
        <x:v>Источник Actions.Block Reduction FP</x:v>
      </x:c>
    </x:row>
    <x:row r="711" ht="36" customHeight="1">
      <x:c r="A711" s="118" t="n">
        <x:v>706</x:v>
      </x:c>
      <x:c r="B711" s="35" t="str">
        <x:v>action</x:v>
      </x:c>
      <x:c r="C711" s="35" t="str">
        <x:v>kangaroo_lead_jab</x:v>
      </x:c>
      <x:c r="D711" s="35" t="str">
        <x:v>dodge_base_chance_fp</x:v>
      </x:c>
      <x:c r="E711" s="38" t="str">
        <x:v>int</x:v>
      </x:c>
      <x:c r="F711" s="56" t="n">
        <x:f>'Actions'!AN16</x:f>
        <x:v>0</x:v>
      </x:c>
      <x:c r="G711" s="38" t="str"/>
      <x:c r="H711" s="35" t="str">
        <x:v>Actions</x:v>
      </x:c>
      <x:c r="I711" s="35" t="str">
        <x:v>AN16</x:v>
      </x:c>
      <x:c r="J711" s="85" t="b">
        <x:v>1</x:v>
      </x:c>
      <x:c r="K711" s="85" t="b">
        <x:v>1</x:v>
      </x:c>
      <x:c r="L711" s="56" t="str">
        <x:f>'Actions'!BE16</x:f>
        <x:v>OK</x:v>
      </x:c>
      <x:c r="M711" s="44" t="str">
        <x:v>Источник Actions.Dodge Base Chance FP</x:v>
      </x:c>
    </x:row>
    <x:row r="712" ht="36" customHeight="1">
      <x:c r="A712" s="118" t="n">
        <x:v>707</x:v>
      </x:c>
      <x:c r="B712" s="35" t="str">
        <x:v>action</x:v>
      </x:c>
      <x:c r="C712" s="35" t="str">
        <x:v>kangaroo_lead_jab</x:v>
      </x:c>
      <x:c r="D712" s="35" t="str">
        <x:v>movement_mode</x:v>
      </x:c>
      <x:c r="E712" s="38" t="str">
        <x:v>string</x:v>
      </x:c>
      <x:c r="F712" s="56" t="str">
        <x:f>'Actions'!AO16</x:f>
        <x:v>None</x:v>
      </x:c>
      <x:c r="G712" s="38" t="str"/>
      <x:c r="H712" s="35" t="str">
        <x:v>Actions</x:v>
      </x:c>
      <x:c r="I712" s="35" t="str">
        <x:v>AO16</x:v>
      </x:c>
      <x:c r="J712" s="85" t="b">
        <x:v>1</x:v>
      </x:c>
      <x:c r="K712" s="85" t="b">
        <x:v>1</x:v>
      </x:c>
      <x:c r="L712" s="56" t="str">
        <x:f>'Actions'!BE16</x:f>
        <x:v>OK</x:v>
      </x:c>
      <x:c r="M712" s="44" t="str">
        <x:v>Источник Actions.Movement Mode</x:v>
      </x:c>
    </x:row>
    <x:row r="713" ht="36" customHeight="1">
      <x:c r="A713" s="118" t="n">
        <x:v>708</x:v>
      </x:c>
      <x:c r="B713" s="35" t="str">
        <x:v>action</x:v>
      </x:c>
      <x:c r="C713" s="35" t="str">
        <x:v>kangaroo_lead_jab</x:v>
      </x:c>
      <x:c r="D713" s="35" t="str">
        <x:v>move_distance</x:v>
      </x:c>
      <x:c r="E713" s="38" t="str">
        <x:v>int</x:v>
      </x:c>
      <x:c r="F713" s="56" t="n">
        <x:f>'Actions'!AP16</x:f>
        <x:v>0</x:v>
      </x:c>
      <x:c r="G713" s="38" t="str"/>
      <x:c r="H713" s="35" t="str">
        <x:v>Actions</x:v>
      </x:c>
      <x:c r="I713" s="35" t="str">
        <x:v>AP16</x:v>
      </x:c>
      <x:c r="J713" s="85" t="b">
        <x:v>1</x:v>
      </x:c>
      <x:c r="K713" s="85" t="b">
        <x:v>1</x:v>
      </x:c>
      <x:c r="L713" s="56" t="str">
        <x:f>'Actions'!BE16</x:f>
        <x:v>OK</x:v>
      </x:c>
      <x:c r="M713" s="44" t="str">
        <x:v>Источник Actions.Move Distance</x:v>
      </x:c>
    </x:row>
    <x:row r="714" ht="36" customHeight="1">
      <x:c r="A714" s="118" t="n">
        <x:v>709</x:v>
      </x:c>
      <x:c r="B714" s="35" t="str">
        <x:v>action</x:v>
      </x:c>
      <x:c r="C714" s="35" t="str">
        <x:v>kangaroo_lead_jab</x:v>
      </x:c>
      <x:c r="D714" s="35" t="str">
        <x:v>base_stagger</x:v>
      </x:c>
      <x:c r="E714" s="38" t="str">
        <x:v>int</x:v>
      </x:c>
      <x:c r="F714" s="56" t="n">
        <x:f>'Actions'!AQ16</x:f>
        <x:v>15</x:v>
      </x:c>
      <x:c r="G714" s="38" t="str"/>
      <x:c r="H714" s="35" t="str">
        <x:v>Actions</x:v>
      </x:c>
      <x:c r="I714" s="35" t="str">
        <x:v>AQ16</x:v>
      </x:c>
      <x:c r="J714" s="85" t="b">
        <x:v>1</x:v>
      </x:c>
      <x:c r="K714" s="85" t="b">
        <x:v>1</x:v>
      </x:c>
      <x:c r="L714" s="56" t="str">
        <x:f>'Actions'!BE16</x:f>
        <x:v>OK</x:v>
      </x:c>
      <x:c r="M714" s="44" t="str">
        <x:v>Источник Actions.Base Stagger</x:v>
      </x:c>
    </x:row>
    <x:row r="715" ht="36" customHeight="1">
      <x:c r="A715" s="118" t="n">
        <x:v>710</x:v>
      </x:c>
      <x:c r="B715" s="35" t="str">
        <x:v>action</x:v>
      </x:c>
      <x:c r="C715" s="35" t="str">
        <x:v>kangaroo_lead_jab</x:v>
      </x:c>
      <x:c r="D715" s="35" t="str">
        <x:v>base_stun_ticks</x:v>
      </x:c>
      <x:c r="E715" s="38" t="str">
        <x:v>int</x:v>
      </x:c>
      <x:c r="F715" s="56" t="n">
        <x:f>'Actions'!AR16</x:f>
        <x:v>0</x:v>
      </x:c>
      <x:c r="G715" s="38" t="str"/>
      <x:c r="H715" s="35" t="str">
        <x:v>Actions</x:v>
      </x:c>
      <x:c r="I715" s="35" t="str">
        <x:v>AR16</x:v>
      </x:c>
      <x:c r="J715" s="85" t="b">
        <x:v>1</x:v>
      </x:c>
      <x:c r="K715" s="85" t="b">
        <x:v>1</x:v>
      </x:c>
      <x:c r="L715" s="56" t="str">
        <x:f>'Actions'!BE16</x:f>
        <x:v>OK</x:v>
      </x:c>
      <x:c r="M715" s="44" t="str">
        <x:v>Источник Actions.Base Stun Ticks</x:v>
      </x:c>
    </x:row>
    <x:row r="716" ht="36" customHeight="1">
      <x:c r="A716" s="118" t="n">
        <x:v>711</x:v>
      </x:c>
      <x:c r="B716" s="35" t="str">
        <x:v>action</x:v>
      </x:c>
      <x:c r="C716" s="35" t="str">
        <x:v>kangaroo_lead_jab</x:v>
      </x:c>
      <x:c r="D716" s="35" t="str">
        <x:v>base_knockback</x:v>
      </x:c>
      <x:c r="E716" s="38" t="str">
        <x:v>int</x:v>
      </x:c>
      <x:c r="F716" s="56" t="n">
        <x:f>'Actions'!AS16</x:f>
        <x:v>0</x:v>
      </x:c>
      <x:c r="G716" s="38" t="str"/>
      <x:c r="H716" s="35" t="str">
        <x:v>Actions</x:v>
      </x:c>
      <x:c r="I716" s="35" t="str">
        <x:v>AS16</x:v>
      </x:c>
      <x:c r="J716" s="85" t="b">
        <x:v>1</x:v>
      </x:c>
      <x:c r="K716" s="85" t="b">
        <x:v>1</x:v>
      </x:c>
      <x:c r="L716" s="56" t="str">
        <x:f>'Actions'!BE16</x:f>
        <x:v>OK</x:v>
      </x:c>
      <x:c r="M716" s="44" t="str">
        <x:v>Источник Actions.Base Knockback</x:v>
      </x:c>
    </x:row>
    <x:row r="717" ht="36" customHeight="1">
      <x:c r="A717" s="118" t="n">
        <x:v>712</x:v>
      </x:c>
      <x:c r="B717" s="35" t="str">
        <x:v>action</x:v>
      </x:c>
      <x:c r="C717" s="35" t="str">
        <x:v>kangaroo_lead_jab</x:v>
      </x:c>
      <x:c r="D717" s="35" t="str">
        <x:v>knockback_min</x:v>
      </x:c>
      <x:c r="E717" s="38" t="str">
        <x:v>int</x:v>
      </x:c>
      <x:c r="F717" s="56" t="n">
        <x:f>'Actions'!AT16</x:f>
        <x:v>0</x:v>
      </x:c>
      <x:c r="G717" s="38" t="str"/>
      <x:c r="H717" s="35" t="str">
        <x:v>Actions</x:v>
      </x:c>
      <x:c r="I717" s="35" t="str">
        <x:v>AT16</x:v>
      </x:c>
      <x:c r="J717" s="85" t="b">
        <x:v>1</x:v>
      </x:c>
      <x:c r="K717" s="85" t="b">
        <x:v>1</x:v>
      </x:c>
      <x:c r="L717" s="56" t="str">
        <x:f>'Actions'!BE16</x:f>
        <x:v>OK</x:v>
      </x:c>
      <x:c r="M717" s="44" t="str">
        <x:v>Источник Actions.Knockback Min</x:v>
      </x:c>
    </x:row>
    <x:row r="718" ht="36" customHeight="1">
      <x:c r="A718" s="118" t="n">
        <x:v>713</x:v>
      </x:c>
      <x:c r="B718" s="35" t="str">
        <x:v>action</x:v>
      </x:c>
      <x:c r="C718" s="35" t="str">
        <x:v>kangaroo_lead_jab</x:v>
      </x:c>
      <x:c r="D718" s="35" t="str">
        <x:v>knockback_max</x:v>
      </x:c>
      <x:c r="E718" s="38" t="str">
        <x:v>int</x:v>
      </x:c>
      <x:c r="F718" s="56" t="n">
        <x:f>'Actions'!AU16</x:f>
        <x:v>0</x:v>
      </x:c>
      <x:c r="G718" s="38" t="str"/>
      <x:c r="H718" s="35" t="str">
        <x:v>Actions</x:v>
      </x:c>
      <x:c r="I718" s="35" t="str">
        <x:v>AU16</x:v>
      </x:c>
      <x:c r="J718" s="85" t="b">
        <x:v>1</x:v>
      </x:c>
      <x:c r="K718" s="85" t="b">
        <x:v>1</x:v>
      </x:c>
      <x:c r="L718" s="56" t="str">
        <x:f>'Actions'!BE16</x:f>
        <x:v>OK</x:v>
      </x:c>
      <x:c r="M718" s="44" t="str">
        <x:v>Источник Actions.Knockback Max</x:v>
      </x:c>
    </x:row>
    <x:row r="719" ht="36" customHeight="1">
      <x:c r="A719" s="118" t="n">
        <x:v>714</x:v>
      </x:c>
      <x:c r="B719" s="35" t="str">
        <x:v>action</x:v>
      </x:c>
      <x:c r="C719" s="35" t="str">
        <x:v>kangaroo_lead_jab</x:v>
      </x:c>
      <x:c r="D719" s="35" t="str">
        <x:v>wall_damage_per_unit_fp</x:v>
      </x:c>
      <x:c r="E719" s="38" t="str">
        <x:v>int</x:v>
      </x:c>
      <x:c r="F719" s="56" t="n">
        <x:f>'Actions'!AV16</x:f>
        <x:v>0</x:v>
      </x:c>
      <x:c r="G719" s="38" t="str"/>
      <x:c r="H719" s="35" t="str">
        <x:v>Actions</x:v>
      </x:c>
      <x:c r="I719" s="35" t="str">
        <x:v>AV16</x:v>
      </x:c>
      <x:c r="J719" s="85" t="b">
        <x:v>1</x:v>
      </x:c>
      <x:c r="K719" s="85" t="b">
        <x:v>1</x:v>
      </x:c>
      <x:c r="L719" s="56" t="str">
        <x:f>'Actions'!BE16</x:f>
        <x:v>OK</x:v>
      </x:c>
      <x:c r="M719" s="44" t="str">
        <x:v>Источник Actions.Wall Damage / Unit FP</x:v>
      </x:c>
    </x:row>
    <x:row r="720" ht="36" customHeight="1">
      <x:c r="A720" s="118" t="n">
        <x:v>715</x:v>
      </x:c>
      <x:c r="B720" s="35" t="str">
        <x:v>action</x:v>
      </x:c>
      <x:c r="C720" s="35" t="str">
        <x:v>kangaroo_lead_jab</x:v>
      </x:c>
      <x:c r="D720" s="35" t="str">
        <x:v>wall_damage_min</x:v>
      </x:c>
      <x:c r="E720" s="38" t="str">
        <x:v>int</x:v>
      </x:c>
      <x:c r="F720" s="56" t="n">
        <x:f>'Actions'!AW16</x:f>
        <x:v>0</x:v>
      </x:c>
      <x:c r="G720" s="38" t="str"/>
      <x:c r="H720" s="35" t="str">
        <x:v>Actions</x:v>
      </x:c>
      <x:c r="I720" s="35" t="str">
        <x:v>AW16</x:v>
      </x:c>
      <x:c r="J720" s="85" t="b">
        <x:v>1</x:v>
      </x:c>
      <x:c r="K720" s="85" t="b">
        <x:v>1</x:v>
      </x:c>
      <x:c r="L720" s="56" t="str">
        <x:f>'Actions'!BE16</x:f>
        <x:v>OK</x:v>
      </x:c>
      <x:c r="M720" s="44" t="str">
        <x:v>Источник Actions.Wall Damage Min</x:v>
      </x:c>
    </x:row>
    <x:row r="721" ht="36" customHeight="1">
      <x:c r="A721" s="118" t="n">
        <x:v>716</x:v>
      </x:c>
      <x:c r="B721" s="35" t="str">
        <x:v>action</x:v>
      </x:c>
      <x:c r="C721" s="35" t="str">
        <x:v>kangaroo_lead_jab</x:v>
      </x:c>
      <x:c r="D721" s="35" t="str">
        <x:v>wall_damage_max</x:v>
      </x:c>
      <x:c r="E721" s="38" t="str">
        <x:v>int</x:v>
      </x:c>
      <x:c r="F721" s="56" t="n">
        <x:f>'Actions'!AX16</x:f>
        <x:v>0</x:v>
      </x:c>
      <x:c r="G721" s="38" t="str"/>
      <x:c r="H721" s="35" t="str">
        <x:v>Actions</x:v>
      </x:c>
      <x:c r="I721" s="35" t="str">
        <x:v>AX16</x:v>
      </x:c>
      <x:c r="J721" s="85" t="b">
        <x:v>1</x:v>
      </x:c>
      <x:c r="K721" s="85" t="b">
        <x:v>1</x:v>
      </x:c>
      <x:c r="L721" s="56" t="str">
        <x:f>'Actions'!BE16</x:f>
        <x:v>OK</x:v>
      </x:c>
      <x:c r="M721" s="44" t="str">
        <x:v>Источник Actions.Wall Damage Max</x:v>
      </x:c>
    </x:row>
    <x:row r="722" ht="36" customHeight="1">
      <x:c r="A722" s="118" t="n">
        <x:v>717</x:v>
      </x:c>
      <x:c r="B722" s="35" t="str">
        <x:v>action</x:v>
      </x:c>
      <x:c r="C722" s="35" t="str">
        <x:v>kangaroo_lead_jab</x:v>
      </x:c>
      <x:c r="D722" s="35" t="str">
        <x:v>max_consecutive_uses</x:v>
      </x:c>
      <x:c r="E722" s="38" t="str">
        <x:v>int</x:v>
      </x:c>
      <x:c r="F722" s="56" t="n">
        <x:f>'Actions'!AY16</x:f>
        <x:v>2</x:v>
      </x:c>
      <x:c r="G722" s="38" t="str"/>
      <x:c r="H722" s="35" t="str">
        <x:v>Actions</x:v>
      </x:c>
      <x:c r="I722" s="35" t="str">
        <x:v>AY16</x:v>
      </x:c>
      <x:c r="J722" s="85" t="b">
        <x:v>1</x:v>
      </x:c>
      <x:c r="K722" s="85" t="b">
        <x:v>1</x:v>
      </x:c>
      <x:c r="L722" s="56" t="str">
        <x:f>'Actions'!BE16</x:f>
        <x:v>OK</x:v>
      </x:c>
      <x:c r="M722" s="44" t="str">
        <x:v>Источник Actions.Max Consecutive Uses</x:v>
      </x:c>
    </x:row>
    <x:row r="723" ht="36" customHeight="1">
      <x:c r="A723" s="118" t="n">
        <x:v>718</x:v>
      </x:c>
      <x:c r="B723" s="35" t="str">
        <x:v>action</x:v>
      </x:c>
      <x:c r="C723" s="35" t="str">
        <x:v>kangaroo_lead_jab</x:v>
      </x:c>
      <x:c r="D723" s="35" t="str">
        <x:v>opportunity_cap_fp</x:v>
      </x:c>
      <x:c r="E723" s="38" t="str">
        <x:v>int</x:v>
      </x:c>
      <x:c r="F723" s="56" t="n">
        <x:f>'Actions'!AZ16</x:f>
        <x:v>1000</x:v>
      </x:c>
      <x:c r="G723" s="38" t="str"/>
      <x:c r="H723" s="35" t="str">
        <x:v>Actions</x:v>
      </x:c>
      <x:c r="I723" s="35" t="str">
        <x:v>AZ16</x:v>
      </x:c>
      <x:c r="J723" s="85" t="b">
        <x:v>1</x:v>
      </x:c>
      <x:c r="K723" s="85" t="b">
        <x:v>1</x:v>
      </x:c>
      <x:c r="L723" s="56" t="str">
        <x:f>'Actions'!BE16</x:f>
        <x:v>OK</x:v>
      </x:c>
      <x:c r="M723" s="44" t="str">
        <x:v>Источник Actions.Opportunity Cap FP</x:v>
      </x:c>
    </x:row>
    <x:row r="724" ht="36" customHeight="1">
      <x:c r="A724" s="118" t="n">
        <x:v>719</x:v>
      </x:c>
      <x:c r="B724" s="35" t="str">
        <x:v>action</x:v>
      </x:c>
      <x:c r="C724" s="35" t="str">
        <x:v>kangaroo_lead_jab</x:v>
      </x:c>
      <x:c r="D724" s="35" t="str">
        <x:v>hard_opportunity_misses</x:v>
      </x:c>
      <x:c r="E724" s="38" t="str">
        <x:v>int</x:v>
      </x:c>
      <x:c r="F724" s="56" t="n">
        <x:f>'Actions'!BA16</x:f>
        <x:v>0</x:v>
      </x:c>
      <x:c r="G724" s="38" t="str"/>
      <x:c r="H724" s="35" t="str">
        <x:v>Actions</x:v>
      </x:c>
      <x:c r="I724" s="35" t="str">
        <x:v>BA16</x:v>
      </x:c>
      <x:c r="J724" s="85" t="b">
        <x:v>1</x:v>
      </x:c>
      <x:c r="K724" s="85" t="b">
        <x:v>1</x:v>
      </x:c>
      <x:c r="L724" s="56" t="str">
        <x:f>'Actions'!BE16</x:f>
        <x:v>OK</x:v>
      </x:c>
      <x:c r="M724" s="44" t="str">
        <x:v>Источник Actions.Hard Opportunity Misses</x:v>
      </x:c>
    </x:row>
    <x:row r="725" ht="36" customHeight="1">
      <x:c r="A725" s="118" t="n">
        <x:v>720</x:v>
      </x:c>
      <x:c r="B725" s="35" t="str">
        <x:v>action</x:v>
      </x:c>
      <x:c r="C725" s="35" t="str">
        <x:v>kangaroo_push_kick</x:v>
      </x:c>
      <x:c r="D725" s="35" t="str">
        <x:v>action_id</x:v>
      </x:c>
      <x:c r="E725" s="38" t="str">
        <x:v>string</x:v>
      </x:c>
      <x:c r="F725" s="56" t="str">
        <x:f>'Actions'!A17</x:f>
        <x:v>kangaroo_push_kick</x:v>
      </x:c>
      <x:c r="G725" s="38" t="str"/>
      <x:c r="H725" s="35" t="str">
        <x:v>Actions</x:v>
      </x:c>
      <x:c r="I725" s="35" t="str">
        <x:v>A17</x:v>
      </x:c>
      <x:c r="J725" s="85" t="b">
        <x:v>1</x:v>
      </x:c>
      <x:c r="K725" s="85" t="b">
        <x:v>1</x:v>
      </x:c>
      <x:c r="L725" s="56" t="str">
        <x:f>'Actions'!BE17</x:f>
        <x:v>OK</x:v>
      </x:c>
      <x:c r="M725" s="44" t="str">
        <x:v>Источник Actions.Action ID</x:v>
      </x:c>
    </x:row>
    <x:row r="726" ht="36" customHeight="1">
      <x:c r="A726" s="118" t="n">
        <x:v>721</x:v>
      </x:c>
      <x:c r="B726" s="35" t="str">
        <x:v>action</x:v>
      </x:c>
      <x:c r="C726" s="35" t="str">
        <x:v>kangaroo_push_kick</x:v>
      </x:c>
      <x:c r="D726" s="35" t="str">
        <x:v>animal_id</x:v>
      </x:c>
      <x:c r="E726" s="38" t="str">
        <x:v>string</x:v>
      </x:c>
      <x:c r="F726" s="56" t="str">
        <x:f>'Actions'!B17</x:f>
        <x:v>kangaroo</x:v>
      </x:c>
      <x:c r="G726" s="38" t="str"/>
      <x:c r="H726" s="35" t="str">
        <x:v>Actions</x:v>
      </x:c>
      <x:c r="I726" s="35" t="str">
        <x:v>B17</x:v>
      </x:c>
      <x:c r="J726" s="85" t="b">
        <x:v>1</x:v>
      </x:c>
      <x:c r="K726" s="85" t="b">
        <x:v>1</x:v>
      </x:c>
      <x:c r="L726" s="56" t="str">
        <x:f>'Actions'!BE17</x:f>
        <x:v>OK</x:v>
      </x:c>
      <x:c r="M726" s="44" t="str">
        <x:v>Источник Actions.Animal ID</x:v>
      </x:c>
    </x:row>
    <x:row r="727" ht="36" customHeight="1">
      <x:c r="A727" s="118" t="n">
        <x:v>722</x:v>
      </x:c>
      <x:c r="B727" s="35" t="str">
        <x:v>action</x:v>
      </x:c>
      <x:c r="C727" s="35" t="str">
        <x:v>kangaroo_push_kick</x:v>
      </x:c>
      <x:c r="D727" s="35" t="str">
        <x:v>slot_type</x:v>
      </x:c>
      <x:c r="E727" s="38" t="str">
        <x:v>string</x:v>
      </x:c>
      <x:c r="F727" s="56" t="str">
        <x:f>'Actions'!D17</x:f>
        <x:v>Basic</x:v>
      </x:c>
      <x:c r="G727" s="38" t="str"/>
      <x:c r="H727" s="35" t="str">
        <x:v>Actions</x:v>
      </x:c>
      <x:c r="I727" s="35" t="str">
        <x:v>D17</x:v>
      </x:c>
      <x:c r="J727" s="85" t="b">
        <x:v>1</x:v>
      </x:c>
      <x:c r="K727" s="85" t="b">
        <x:v>1</x:v>
      </x:c>
      <x:c r="L727" s="56" t="str">
        <x:f>'Actions'!BE17</x:f>
        <x:v>OK</x:v>
      </x:c>
      <x:c r="M727" s="44" t="str">
        <x:v>Источник Actions.Slot Type</x:v>
      </x:c>
    </x:row>
    <x:row r="728" ht="36" customHeight="1">
      <x:c r="A728" s="118" t="n">
        <x:v>723</x:v>
      </x:c>
      <x:c r="B728" s="35" t="str">
        <x:v>action</x:v>
      </x:c>
      <x:c r="C728" s="35" t="str">
        <x:v>kangaroo_push_kick</x:v>
      </x:c>
      <x:c r="D728" s="35" t="str">
        <x:v>category</x:v>
      </x:c>
      <x:c r="E728" s="38" t="str">
        <x:v>string</x:v>
      </x:c>
      <x:c r="F728" s="56" t="str">
        <x:f>'Actions'!E17</x:f>
        <x:v>PokeStrike</x:v>
      </x:c>
      <x:c r="G728" s="38" t="str"/>
      <x:c r="H728" s="35" t="str">
        <x:v>Actions</x:v>
      </x:c>
      <x:c r="I728" s="35" t="str">
        <x:v>E17</x:v>
      </x:c>
      <x:c r="J728" s="85" t="b">
        <x:v>1</x:v>
      </x:c>
      <x:c r="K728" s="85" t="b">
        <x:v>1</x:v>
      </x:c>
      <x:c r="L728" s="56" t="str">
        <x:f>'Actions'!BE17</x:f>
        <x:v>OK</x:v>
      </x:c>
      <x:c r="M728" s="44" t="str">
        <x:v>Источник Actions.Category</x:v>
      </x:c>
    </x:row>
    <x:row r="729" ht="36" customHeight="1">
      <x:c r="A729" s="118" t="n">
        <x:v>724</x:v>
      </x:c>
      <x:c r="B729" s="35" t="str">
        <x:v>action</x:v>
      </x:c>
      <x:c r="C729" s="35" t="str">
        <x:v>kangaroo_push_kick</x:v>
      </x:c>
      <x:c r="D729" s="35" t="str">
        <x:v>tags</x:v>
      </x:c>
      <x:c r="E729" s="38" t="str">
        <x:v>string</x:v>
      </x:c>
      <x:c r="F729" s="56" t="str">
        <x:f>'Actions'!F17</x:f>
        <x:v>strike|poke|knockback|rhythm</x:v>
      </x:c>
      <x:c r="G729" s="38" t="str"/>
      <x:c r="H729" s="35" t="str">
        <x:v>Actions</x:v>
      </x:c>
      <x:c r="I729" s="35" t="str">
        <x:v>F17</x:v>
      </x:c>
      <x:c r="J729" s="85" t="b">
        <x:v>1</x:v>
      </x:c>
      <x:c r="K729" s="85" t="b">
        <x:v>1</x:v>
      </x:c>
      <x:c r="L729" s="56" t="str">
        <x:f>'Actions'!BE17</x:f>
        <x:v>OK</x:v>
      </x:c>
      <x:c r="M729" s="44" t="str">
        <x:v>Источник Actions.Tags</x:v>
      </x:c>
    </x:row>
    <x:row r="730" ht="36" customHeight="1">
      <x:c r="A730" s="118" t="n">
        <x:v>725</x:v>
      </x:c>
      <x:c r="B730" s="35" t="str">
        <x:v>action</x:v>
      </x:c>
      <x:c r="C730" s="35" t="str">
        <x:v>kangaroo_push_kick</x:v>
      </x:c>
      <x:c r="D730" s="35" t="str">
        <x:v>base_weight</x:v>
      </x:c>
      <x:c r="E730" s="38" t="str">
        <x:v>int</x:v>
      </x:c>
      <x:c r="F730" s="56" t="n">
        <x:f>'Actions'!G17</x:f>
        <x:v>780</x:v>
      </x:c>
      <x:c r="G730" s="38" t="str"/>
      <x:c r="H730" s="35" t="str">
        <x:v>Actions</x:v>
      </x:c>
      <x:c r="I730" s="35" t="str">
        <x:v>G17</x:v>
      </x:c>
      <x:c r="J730" s="85" t="b">
        <x:v>1</x:v>
      </x:c>
      <x:c r="K730" s="85" t="b">
        <x:v>1</x:v>
      </x:c>
      <x:c r="L730" s="56" t="str">
        <x:f>'Actions'!BE17</x:f>
        <x:v>OK</x:v>
      </x:c>
      <x:c r="M730" s="44" t="str">
        <x:v>Источник Actions.Base Weight</x:v>
      </x:c>
    </x:row>
    <x:row r="731" ht="36" customHeight="1">
      <x:c r="A731" s="118" t="n">
        <x:v>726</x:v>
      </x:c>
      <x:c r="B731" s="35" t="str">
        <x:v>action</x:v>
      </x:c>
      <x:c r="C731" s="35" t="str">
        <x:v>kangaroo_push_kick</x:v>
      </x:c>
      <x:c r="D731" s="35" t="str">
        <x:v>preferred_range_min</x:v>
      </x:c>
      <x:c r="E731" s="38" t="str">
        <x:v>int</x:v>
      </x:c>
      <x:c r="F731" s="56" t="n">
        <x:f>'Actions'!H17</x:f>
        <x:v>900</x:v>
      </x:c>
      <x:c r="G731" s="38" t="str"/>
      <x:c r="H731" s="35" t="str">
        <x:v>Actions</x:v>
      </x:c>
      <x:c r="I731" s="35" t="str">
        <x:v>H17</x:v>
      </x:c>
      <x:c r="J731" s="85" t="b">
        <x:v>1</x:v>
      </x:c>
      <x:c r="K731" s="85" t="b">
        <x:v>1</x:v>
      </x:c>
      <x:c r="L731" s="56" t="str">
        <x:f>'Actions'!BE17</x:f>
        <x:v>OK</x:v>
      </x:c>
      <x:c r="M731" s="44" t="str">
        <x:v>Источник Actions.Preferred Range Min</x:v>
      </x:c>
    </x:row>
    <x:row r="732" ht="36" customHeight="1">
      <x:c r="A732" s="118" t="n">
        <x:v>727</x:v>
      </x:c>
      <x:c r="B732" s="35" t="str">
        <x:v>action</x:v>
      </x:c>
      <x:c r="C732" s="35" t="str">
        <x:v>kangaroo_push_kick</x:v>
      </x:c>
      <x:c r="D732" s="35" t="str">
        <x:v>preferred_range_max</x:v>
      </x:c>
      <x:c r="E732" s="38" t="str">
        <x:v>int</x:v>
      </x:c>
      <x:c r="F732" s="56" t="n">
        <x:f>'Actions'!I17</x:f>
        <x:v>1900</x:v>
      </x:c>
      <x:c r="G732" s="38" t="str"/>
      <x:c r="H732" s="35" t="str">
        <x:v>Actions</x:v>
      </x:c>
      <x:c r="I732" s="35" t="str">
        <x:v>I17</x:v>
      </x:c>
      <x:c r="J732" s="85" t="b">
        <x:v>1</x:v>
      </x:c>
      <x:c r="K732" s="85" t="b">
        <x:v>1</x:v>
      </x:c>
      <x:c r="L732" s="56" t="str">
        <x:f>'Actions'!BE17</x:f>
        <x:v>OK</x:v>
      </x:c>
      <x:c r="M732" s="44" t="str">
        <x:v>Источник Actions.Preferred Range Max</x:v>
      </x:c>
    </x:row>
    <x:row r="733" ht="36" customHeight="1">
      <x:c r="A733" s="118" t="n">
        <x:v>728</x:v>
      </x:c>
      <x:c r="B733" s="35" t="str">
        <x:v>action</x:v>
      </x:c>
      <x:c r="C733" s="35" t="str">
        <x:v>kangaroo_push_kick</x:v>
      </x:c>
      <x:c r="D733" s="35" t="str">
        <x:v>hit_range_min</x:v>
      </x:c>
      <x:c r="E733" s="38" t="str">
        <x:v>int</x:v>
      </x:c>
      <x:c r="F733" s="56" t="n">
        <x:f>'Actions'!J17</x:f>
        <x:v>400</x:v>
      </x:c>
      <x:c r="G733" s="38" t="str"/>
      <x:c r="H733" s="35" t="str">
        <x:v>Actions</x:v>
      </x:c>
      <x:c r="I733" s="35" t="str">
        <x:v>J17</x:v>
      </x:c>
      <x:c r="J733" s="85" t="b">
        <x:v>1</x:v>
      </x:c>
      <x:c r="K733" s="85" t="b">
        <x:v>1</x:v>
      </x:c>
      <x:c r="L733" s="56" t="str">
        <x:f>'Actions'!BE17</x:f>
        <x:v>OK</x:v>
      </x:c>
      <x:c r="M733" s="44" t="str">
        <x:v>Источник Actions.Hit Range Min</x:v>
      </x:c>
    </x:row>
    <x:row r="734" ht="36" customHeight="1">
      <x:c r="A734" s="118" t="n">
        <x:v>729</x:v>
      </x:c>
      <x:c r="B734" s="35" t="str">
        <x:v>action</x:v>
      </x:c>
      <x:c r="C734" s="35" t="str">
        <x:v>kangaroo_push_kick</x:v>
      </x:c>
      <x:c r="D734" s="35" t="str">
        <x:v>hit_range_max</x:v>
      </x:c>
      <x:c r="E734" s="38" t="str">
        <x:v>int</x:v>
      </x:c>
      <x:c r="F734" s="56" t="n">
        <x:f>'Actions'!K17</x:f>
        <x:v>2000</x:v>
      </x:c>
      <x:c r="G734" s="38" t="str"/>
      <x:c r="H734" s="35" t="str">
        <x:v>Actions</x:v>
      </x:c>
      <x:c r="I734" s="35" t="str">
        <x:v>K17</x:v>
      </x:c>
      <x:c r="J734" s="85" t="b">
        <x:v>1</x:v>
      </x:c>
      <x:c r="K734" s="85" t="b">
        <x:v>1</x:v>
      </x:c>
      <x:c r="L734" s="56" t="str">
        <x:f>'Actions'!BE17</x:f>
        <x:v>OK</x:v>
      </x:c>
      <x:c r="M734" s="44" t="str">
        <x:v>Источник Actions.Hit Range Max</x:v>
      </x:c>
    </x:row>
    <x:row r="735" ht="36" customHeight="1">
      <x:c r="A735" s="118" t="n">
        <x:v>730</x:v>
      </x:c>
      <x:c r="B735" s="35" t="str">
        <x:v>action</x:v>
      </x:c>
      <x:c r="C735" s="35" t="str">
        <x:v>kangaroo_push_kick</x:v>
      </x:c>
      <x:c r="D735" s="35" t="str">
        <x:v>energy_cost</x:v>
      </x:c>
      <x:c r="E735" s="38" t="str">
        <x:v>int</x:v>
      </x:c>
      <x:c r="F735" s="56" t="n">
        <x:f>'Actions'!L17</x:f>
        <x:v>120</x:v>
      </x:c>
      <x:c r="G735" s="38" t="str"/>
      <x:c r="H735" s="35" t="str">
        <x:v>Actions</x:v>
      </x:c>
      <x:c r="I735" s="35" t="str">
        <x:v>L17</x:v>
      </x:c>
      <x:c r="J735" s="85" t="b">
        <x:v>1</x:v>
      </x:c>
      <x:c r="K735" s="85" t="b">
        <x:v>1</x:v>
      </x:c>
      <x:c r="L735" s="56" t="str">
        <x:f>'Actions'!BE17</x:f>
        <x:v>OK</x:v>
      </x:c>
      <x:c r="M735" s="44" t="str">
        <x:v>Источник Actions.Energy Cost</x:v>
      </x:c>
    </x:row>
    <x:row r="736" ht="36" customHeight="1">
      <x:c r="A736" s="118" t="n">
        <x:v>731</x:v>
      </x:c>
      <x:c r="B736" s="35" t="str">
        <x:v>action</x:v>
      </x:c>
      <x:c r="C736" s="35" t="str">
        <x:v>kangaroo_push_kick</x:v>
      </x:c>
      <x:c r="D736" s="35" t="str">
        <x:v>resource_cost</x:v>
      </x:c>
      <x:c r="E736" s="38" t="str">
        <x:v>int</x:v>
      </x:c>
      <x:c r="F736" s="56" t="n">
        <x:f>'Actions'!M17</x:f>
        <x:v>0</x:v>
      </x:c>
      <x:c r="G736" s="38" t="str"/>
      <x:c r="H736" s="35" t="str">
        <x:v>Actions</x:v>
      </x:c>
      <x:c r="I736" s="35" t="str">
        <x:v>M17</x:v>
      </x:c>
      <x:c r="J736" s="85" t="b">
        <x:v>1</x:v>
      </x:c>
      <x:c r="K736" s="85" t="b">
        <x:v>1</x:v>
      </x:c>
      <x:c r="L736" s="56" t="str">
        <x:f>'Actions'!BE17</x:f>
        <x:v>OK</x:v>
      </x:c>
      <x:c r="M736" s="44" t="str">
        <x:v>Источник Actions.Resource Cost</x:v>
      </x:c>
    </x:row>
    <x:row r="737" ht="36" customHeight="1">
      <x:c r="A737" s="118" t="n">
        <x:v>732</x:v>
      </x:c>
      <x:c r="B737" s="35" t="str">
        <x:v>action</x:v>
      </x:c>
      <x:c r="C737" s="35" t="str">
        <x:v>kangaroo_push_kick</x:v>
      </x:c>
      <x:c r="D737" s="35" t="str">
        <x:v>base_damage</x:v>
      </x:c>
      <x:c r="E737" s="38" t="str">
        <x:v>int</x:v>
      </x:c>
      <x:c r="F737" s="56" t="n">
        <x:f>'Actions'!N17</x:f>
        <x:v>35</x:v>
      </x:c>
      <x:c r="G737" s="38" t="str"/>
      <x:c r="H737" s="35" t="str">
        <x:v>Actions</x:v>
      </x:c>
      <x:c r="I737" s="35" t="str">
        <x:v>N17</x:v>
      </x:c>
      <x:c r="J737" s="85" t="b">
        <x:v>1</x:v>
      </x:c>
      <x:c r="K737" s="85" t="b">
        <x:v>1</x:v>
      </x:c>
      <x:c r="L737" s="56" t="str">
        <x:f>'Actions'!BE17</x:f>
        <x:v>OK</x:v>
      </x:c>
      <x:c r="M737" s="44" t="str">
        <x:v>Источник Actions.Base Damage / hit</x:v>
      </x:c>
    </x:row>
    <x:row r="738" ht="36" customHeight="1">
      <x:c r="A738" s="118" t="n">
        <x:v>733</x:v>
      </x:c>
      <x:c r="B738" s="35" t="str">
        <x:v>action</x:v>
      </x:c>
      <x:c r="C738" s="35" t="str">
        <x:v>kangaroo_push_kick</x:v>
      </x:c>
      <x:c r="D738" s="35" t="str">
        <x:v>power_ratio_fp</x:v>
      </x:c>
      <x:c r="E738" s="38" t="str">
        <x:v>int</x:v>
      </x:c>
      <x:c r="F738" s="56" t="n">
        <x:f>'Actions'!O17</x:f>
        <x:v>550</x:v>
      </x:c>
      <x:c r="G738" s="38" t="str"/>
      <x:c r="H738" s="35" t="str">
        <x:v>Actions</x:v>
      </x:c>
      <x:c r="I738" s="35" t="str">
        <x:v>O17</x:v>
      </x:c>
      <x:c r="J738" s="85" t="b">
        <x:v>1</x:v>
      </x:c>
      <x:c r="K738" s="85" t="b">
        <x:v>1</x:v>
      </x:c>
      <x:c r="L738" s="56" t="str">
        <x:f>'Actions'!BE17</x:f>
        <x:v>OK</x:v>
      </x:c>
      <x:c r="M738" s="44" t="str">
        <x:v>Источник Actions.Power Ratio FP</x:v>
      </x:c>
    </x:row>
    <x:row r="739" ht="36" customHeight="1">
      <x:c r="A739" s="118" t="n">
        <x:v>734</x:v>
      </x:c>
      <x:c r="B739" s="35" t="str">
        <x:v>action</x:v>
      </x:c>
      <x:c r="C739" s="35" t="str">
        <x:v>kangaroo_push_kick</x:v>
      </x:c>
      <x:c r="D739" s="35" t="str">
        <x:v>min_damage</x:v>
      </x:c>
      <x:c r="E739" s="38" t="str">
        <x:v>int</x:v>
      </x:c>
      <x:c r="F739" s="56" t="n">
        <x:f>'Actions'!P17</x:f>
        <x:v>14</x:v>
      </x:c>
      <x:c r="G739" s="38" t="str"/>
      <x:c r="H739" s="35" t="str">
        <x:v>Actions</x:v>
      </x:c>
      <x:c r="I739" s="35" t="str">
        <x:v>P17</x:v>
      </x:c>
      <x:c r="J739" s="85" t="b">
        <x:v>1</x:v>
      </x:c>
      <x:c r="K739" s="85" t="b">
        <x:v>1</x:v>
      </x:c>
      <x:c r="L739" s="56" t="str">
        <x:f>'Actions'!BE17</x:f>
        <x:v>OK</x:v>
      </x:c>
      <x:c r="M739" s="44" t="str">
        <x:v>Источник Actions.Min Damage</x:v>
      </x:c>
    </x:row>
    <x:row r="740" ht="36" customHeight="1">
      <x:c r="A740" s="118" t="n">
        <x:v>735</x:v>
      </x:c>
      <x:c r="B740" s="35" t="str">
        <x:v>action</x:v>
      </x:c>
      <x:c r="C740" s="35" t="str">
        <x:v>kangaroo_push_kick</x:v>
      </x:c>
      <x:c r="D740" s="35" t="str">
        <x:v>chip_min</x:v>
      </x:c>
      <x:c r="E740" s="38" t="str">
        <x:v>int</x:v>
      </x:c>
      <x:c r="F740" s="56" t="n">
        <x:f>'Actions'!Q17</x:f>
        <x:v>5</x:v>
      </x:c>
      <x:c r="G740" s="38" t="str"/>
      <x:c r="H740" s="35" t="str">
        <x:v>Actions</x:v>
      </x:c>
      <x:c r="I740" s="35" t="str">
        <x:v>Q17</x:v>
      </x:c>
      <x:c r="J740" s="85" t="b">
        <x:v>1</x:v>
      </x:c>
      <x:c r="K740" s="85" t="b">
        <x:v>1</x:v>
      </x:c>
      <x:c r="L740" s="56" t="str">
        <x:f>'Actions'!BE17</x:f>
        <x:v>OK</x:v>
      </x:c>
      <x:c r="M740" s="44" t="str">
        <x:v>Источник Actions.Chip Min</x:v>
      </x:c>
    </x:row>
    <x:row r="741" ht="36" customHeight="1">
      <x:c r="A741" s="118" t="n">
        <x:v>736</x:v>
      </x:c>
      <x:c r="B741" s="35" t="str">
        <x:v>action</x:v>
      </x:c>
      <x:c r="C741" s="35" t="str">
        <x:v>kangaroo_push_kick</x:v>
      </x:c>
      <x:c r="D741" s="35" t="str">
        <x:v>startup_base_ticks</x:v>
      </x:c>
      <x:c r="E741" s="38" t="str">
        <x:v>int</x:v>
      </x:c>
      <x:c r="F741" s="56" t="n">
        <x:f>'Actions'!R17</x:f>
        <x:v>5</x:v>
      </x:c>
      <x:c r="G741" s="38" t="str"/>
      <x:c r="H741" s="35" t="str">
        <x:v>Actions</x:v>
      </x:c>
      <x:c r="I741" s="35" t="str">
        <x:v>R17</x:v>
      </x:c>
      <x:c r="J741" s="85" t="b">
        <x:v>1</x:v>
      </x:c>
      <x:c r="K741" s="85" t="b">
        <x:v>1</x:v>
      </x:c>
      <x:c r="L741" s="56" t="str">
        <x:f>'Actions'!BE17</x:f>
        <x:v>OK</x:v>
      </x:c>
      <x:c r="M741" s="44" t="str">
        <x:v>Источник Actions.Startup Base Ticks</x:v>
      </x:c>
    </x:row>
    <x:row r="742" ht="36" customHeight="1">
      <x:c r="A742" s="118" t="n">
        <x:v>737</x:v>
      </x:c>
      <x:c r="B742" s="35" t="str">
        <x:v>action</x:v>
      </x:c>
      <x:c r="C742" s="35" t="str">
        <x:v>kangaroo_push_kick</x:v>
      </x:c>
      <x:c r="D742" s="35" t="str">
        <x:v>startup_min_ticks</x:v>
      </x:c>
      <x:c r="E742" s="38" t="str">
        <x:v>int</x:v>
      </x:c>
      <x:c r="F742" s="56" t="n">
        <x:f>'Actions'!S17</x:f>
        <x:v>3</x:v>
      </x:c>
      <x:c r="G742" s="38" t="str"/>
      <x:c r="H742" s="35" t="str">
        <x:v>Actions</x:v>
      </x:c>
      <x:c r="I742" s="35" t="str">
        <x:v>S17</x:v>
      </x:c>
      <x:c r="J742" s="85" t="b">
        <x:v>1</x:v>
      </x:c>
      <x:c r="K742" s="85" t="b">
        <x:v>1</x:v>
      </x:c>
      <x:c r="L742" s="56" t="str">
        <x:f>'Actions'!BE17</x:f>
        <x:v>OK</x:v>
      </x:c>
      <x:c r="M742" s="44" t="str">
        <x:v>Источник Actions.Startup Min Ticks</x:v>
      </x:c>
    </x:row>
    <x:row r="743" ht="36" customHeight="1">
      <x:c r="A743" s="118" t="n">
        <x:v>738</x:v>
      </x:c>
      <x:c r="B743" s="35" t="str">
        <x:v>action</x:v>
      </x:c>
      <x:c r="C743" s="35" t="str">
        <x:v>kangaroo_push_kick</x:v>
      </x:c>
      <x:c r="D743" s="35" t="str">
        <x:v>startup_max_ticks</x:v>
      </x:c>
      <x:c r="E743" s="38" t="str">
        <x:v>int</x:v>
      </x:c>
      <x:c r="F743" s="56" t="n">
        <x:f>'Actions'!T17</x:f>
        <x:v>8</x:v>
      </x:c>
      <x:c r="G743" s="38" t="str"/>
      <x:c r="H743" s="35" t="str">
        <x:v>Actions</x:v>
      </x:c>
      <x:c r="I743" s="35" t="str">
        <x:v>T17</x:v>
      </x:c>
      <x:c r="J743" s="85" t="b">
        <x:v>1</x:v>
      </x:c>
      <x:c r="K743" s="85" t="b">
        <x:v>1</x:v>
      </x:c>
      <x:c r="L743" s="56" t="str">
        <x:f>'Actions'!BE17</x:f>
        <x:v>OK</x:v>
      </x:c>
      <x:c r="M743" s="44" t="str">
        <x:v>Источник Actions.Startup Max Ticks</x:v>
      </x:c>
    </x:row>
    <x:row r="744" ht="36" customHeight="1">
      <x:c r="A744" s="118" t="n">
        <x:v>739</x:v>
      </x:c>
      <x:c r="B744" s="35" t="str">
        <x:v>action</x:v>
      </x:c>
      <x:c r="C744" s="35" t="str">
        <x:v>kangaroo_push_kick</x:v>
      </x:c>
      <x:c r="D744" s="35" t="str">
        <x:v>active_ticks</x:v>
      </x:c>
      <x:c r="E744" s="38" t="str">
        <x:v>int</x:v>
      </x:c>
      <x:c r="F744" s="56" t="n">
        <x:f>'Actions'!U17</x:f>
        <x:v>1</x:v>
      </x:c>
      <x:c r="G744" s="38" t="str"/>
      <x:c r="H744" s="35" t="str">
        <x:v>Actions</x:v>
      </x:c>
      <x:c r="I744" s="35" t="str">
        <x:v>U17</x:v>
      </x:c>
      <x:c r="J744" s="85" t="b">
        <x:v>1</x:v>
      </x:c>
      <x:c r="K744" s="85" t="b">
        <x:v>1</x:v>
      </x:c>
      <x:c r="L744" s="56" t="str">
        <x:f>'Actions'!BE17</x:f>
        <x:v>OK</x:v>
      </x:c>
      <x:c r="M744" s="44" t="str">
        <x:v>Источник Actions.Active Ticks</x:v>
      </x:c>
    </x:row>
    <x:row r="745" ht="36" customHeight="1">
      <x:c r="A745" s="118" t="n">
        <x:v>740</x:v>
      </x:c>
      <x:c r="B745" s="35" t="str">
        <x:v>action</x:v>
      </x:c>
      <x:c r="C745" s="35" t="str">
        <x:v>kangaroo_push_kick</x:v>
      </x:c>
      <x:c r="D745" s="35" t="str">
        <x:v>hit_schedule</x:v>
      </x:c>
      <x:c r="E745" s="38" t="str">
        <x:v>string</x:v>
      </x:c>
      <x:c r="F745" s="56" t="str">
        <x:f>'Actions'!V17</x:f>
        <x:v>0</x:v>
      </x:c>
      <x:c r="G745" s="38" t="str"/>
      <x:c r="H745" s="35" t="str">
        <x:v>Actions</x:v>
      </x:c>
      <x:c r="I745" s="35" t="str">
        <x:v>V17</x:v>
      </x:c>
      <x:c r="J745" s="85" t="b">
        <x:v>1</x:v>
      </x:c>
      <x:c r="K745" s="85" t="b">
        <x:v>1</x:v>
      </x:c>
      <x:c r="L745" s="56" t="str">
        <x:f>'Actions'!BE17</x:f>
        <x:v>OK</x:v>
      </x:c>
      <x:c r="M745" s="44" t="str">
        <x:v>Источник Actions.Hit Schedule</x:v>
      </x:c>
    </x:row>
    <x:row r="746" ht="36" customHeight="1">
      <x:c r="A746" s="118" t="n">
        <x:v>741</x:v>
      </x:c>
      <x:c r="B746" s="35" t="str">
        <x:v>action</x:v>
      </x:c>
      <x:c r="C746" s="35" t="str">
        <x:v>kangaroo_push_kick</x:v>
      </x:c>
      <x:c r="D746" s="35" t="str">
        <x:v>hit_count</x:v>
      </x:c>
      <x:c r="E746" s="38" t="str">
        <x:v>int</x:v>
      </x:c>
      <x:c r="F746" s="56" t="n">
        <x:f>'Actions'!W17</x:f>
        <x:v>1</x:v>
      </x:c>
      <x:c r="G746" s="38" t="str"/>
      <x:c r="H746" s="35" t="str">
        <x:v>Actions</x:v>
      </x:c>
      <x:c r="I746" s="35" t="str">
        <x:v>W17</x:v>
      </x:c>
      <x:c r="J746" s="85" t="b">
        <x:v>1</x:v>
      </x:c>
      <x:c r="K746" s="85" t="b">
        <x:v>1</x:v>
      </x:c>
      <x:c r="L746" s="56" t="str">
        <x:f>'Actions'!BE17</x:f>
        <x:v>OK</x:v>
      </x:c>
      <x:c r="M746" s="44" t="str">
        <x:v>Источник Actions.Hit Count</x:v>
      </x:c>
    </x:row>
    <x:row r="747" ht="36" customHeight="1">
      <x:c r="A747" s="118" t="n">
        <x:v>742</x:v>
      </x:c>
      <x:c r="B747" s="35" t="str">
        <x:v>action</x:v>
      </x:c>
      <x:c r="C747" s="35" t="str">
        <x:v>kangaroo_push_kick</x:v>
      </x:c>
      <x:c r="D747" s="35" t="str">
        <x:v>recovery_base_ticks</x:v>
      </x:c>
      <x:c r="E747" s="38" t="str">
        <x:v>int</x:v>
      </x:c>
      <x:c r="F747" s="56" t="n">
        <x:f>'Actions'!X17</x:f>
        <x:v>8</x:v>
      </x:c>
      <x:c r="G747" s="38" t="str"/>
      <x:c r="H747" s="35" t="str">
        <x:v>Actions</x:v>
      </x:c>
      <x:c r="I747" s="35" t="str">
        <x:v>X17</x:v>
      </x:c>
      <x:c r="J747" s="85" t="b">
        <x:v>1</x:v>
      </x:c>
      <x:c r="K747" s="85" t="b">
        <x:v>1</x:v>
      </x:c>
      <x:c r="L747" s="56" t="str">
        <x:f>'Actions'!BE17</x:f>
        <x:v>OK</x:v>
      </x:c>
      <x:c r="M747" s="44" t="str">
        <x:v>Источник Actions.Recovery Base Ticks</x:v>
      </x:c>
    </x:row>
    <x:row r="748" ht="36" customHeight="1">
      <x:c r="A748" s="118" t="n">
        <x:v>743</x:v>
      </x:c>
      <x:c r="B748" s="35" t="str">
        <x:v>action</x:v>
      </x:c>
      <x:c r="C748" s="35" t="str">
        <x:v>kangaroo_push_kick</x:v>
      </x:c>
      <x:c r="D748" s="35" t="str">
        <x:v>recovery_min_ticks</x:v>
      </x:c>
      <x:c r="E748" s="38" t="str">
        <x:v>int</x:v>
      </x:c>
      <x:c r="F748" s="56" t="n">
        <x:f>'Actions'!Y17</x:f>
        <x:v>5</x:v>
      </x:c>
      <x:c r="G748" s="38" t="str"/>
      <x:c r="H748" s="35" t="str">
        <x:v>Actions</x:v>
      </x:c>
      <x:c r="I748" s="35" t="str">
        <x:v>Y17</x:v>
      </x:c>
      <x:c r="J748" s="85" t="b">
        <x:v>1</x:v>
      </x:c>
      <x:c r="K748" s="85" t="b">
        <x:v>1</x:v>
      </x:c>
      <x:c r="L748" s="56" t="str">
        <x:f>'Actions'!BE17</x:f>
        <x:v>OK</x:v>
      </x:c>
      <x:c r="M748" s="44" t="str">
        <x:v>Источник Actions.Recovery Min Ticks</x:v>
      </x:c>
    </x:row>
    <x:row r="749" ht="36" customHeight="1">
      <x:c r="A749" s="118" t="n">
        <x:v>744</x:v>
      </x:c>
      <x:c r="B749" s="35" t="str">
        <x:v>action</x:v>
      </x:c>
      <x:c r="C749" s="35" t="str">
        <x:v>kangaroo_push_kick</x:v>
      </x:c>
      <x:c r="D749" s="35" t="str">
        <x:v>recovery_max_ticks</x:v>
      </x:c>
      <x:c r="E749" s="38" t="str">
        <x:v>int</x:v>
      </x:c>
      <x:c r="F749" s="56" t="n">
        <x:f>'Actions'!Z17</x:f>
        <x:v>12</x:v>
      </x:c>
      <x:c r="G749" s="38" t="str"/>
      <x:c r="H749" s="35" t="str">
        <x:v>Actions</x:v>
      </x:c>
      <x:c r="I749" s="35" t="str">
        <x:v>Z17</x:v>
      </x:c>
      <x:c r="J749" s="85" t="b">
        <x:v>1</x:v>
      </x:c>
      <x:c r="K749" s="85" t="b">
        <x:v>1</x:v>
      </x:c>
      <x:c r="L749" s="56" t="str">
        <x:f>'Actions'!BE17</x:f>
        <x:v>OK</x:v>
      </x:c>
      <x:c r="M749" s="44" t="str">
        <x:v>Источник Actions.Recovery Max Ticks</x:v>
      </x:c>
    </x:row>
    <x:row r="750" ht="36" customHeight="1">
      <x:c r="A750" s="118" t="n">
        <x:v>745</x:v>
      </x:c>
      <x:c r="B750" s="35" t="str">
        <x:v>action</x:v>
      </x:c>
      <x:c r="C750" s="35" t="str">
        <x:v>kangaroo_push_kick</x:v>
      </x:c>
      <x:c r="D750" s="35" t="str">
        <x:v>cooldown_ticks</x:v>
      </x:c>
      <x:c r="E750" s="38" t="str">
        <x:v>int</x:v>
      </x:c>
      <x:c r="F750" s="56" t="n">
        <x:f>'Actions'!AA17</x:f>
        <x:v>20</x:v>
      </x:c>
      <x:c r="G750" s="38" t="str"/>
      <x:c r="H750" s="35" t="str">
        <x:v>Actions</x:v>
      </x:c>
      <x:c r="I750" s="35" t="str">
        <x:v>AA17</x:v>
      </x:c>
      <x:c r="J750" s="85" t="b">
        <x:v>1</x:v>
      </x:c>
      <x:c r="K750" s="85" t="b">
        <x:v>1</x:v>
      </x:c>
      <x:c r="L750" s="56" t="str">
        <x:f>'Actions'!BE17</x:f>
        <x:v>OK</x:v>
      </x:c>
      <x:c r="M750" s="44" t="str">
        <x:v>Источник Actions.Cooldown Ticks</x:v>
      </x:c>
    </x:row>
    <x:row r="751" ht="36" customHeight="1">
      <x:c r="A751" s="118" t="n">
        <x:v>746</x:v>
      </x:c>
      <x:c r="B751" s="35" t="str">
        <x:v>action</x:v>
      </x:c>
      <x:c r="C751" s="35" t="str">
        <x:v>kangaroo_push_kick</x:v>
      </x:c>
      <x:c r="D751" s="35" t="str">
        <x:v>action_priority</x:v>
      </x:c>
      <x:c r="E751" s="38" t="str">
        <x:v>int</x:v>
      </x:c>
      <x:c r="F751" s="56" t="n">
        <x:f>'Actions'!AB17</x:f>
        <x:v>32</x:v>
      </x:c>
      <x:c r="G751" s="38" t="str"/>
      <x:c r="H751" s="35" t="str">
        <x:v>Actions</x:v>
      </x:c>
      <x:c r="I751" s="35" t="str">
        <x:v>AB17</x:v>
      </x:c>
      <x:c r="J751" s="85" t="b">
        <x:v>1</x:v>
      </x:c>
      <x:c r="K751" s="85" t="b">
        <x:v>1</x:v>
      </x:c>
      <x:c r="L751" s="56" t="str">
        <x:f>'Actions'!BE17</x:f>
        <x:v>OK</x:v>
      </x:c>
      <x:c r="M751" s="44" t="str">
        <x:v>Источник Actions.Action Priority</x:v>
      </x:c>
    </x:row>
    <x:row r="752" ht="36" customHeight="1">
      <x:c r="A752" s="118" t="n">
        <x:v>747</x:v>
      </x:c>
      <x:c r="B752" s="35" t="str">
        <x:v>action</x:v>
      </x:c>
      <x:c r="C752" s="35" t="str">
        <x:v>kangaroo_push_kick</x:v>
      </x:c>
      <x:c r="D752" s="35" t="str">
        <x:v>clash_priority</x:v>
      </x:c>
      <x:c r="E752" s="38" t="str">
        <x:v>int</x:v>
      </x:c>
      <x:c r="F752" s="56" t="n">
        <x:f>'Actions'!AC17</x:f>
        <x:v>30</x:v>
      </x:c>
      <x:c r="G752" s="38" t="str"/>
      <x:c r="H752" s="35" t="str">
        <x:v>Actions</x:v>
      </x:c>
      <x:c r="I752" s="35" t="str">
        <x:v>AC17</x:v>
      </x:c>
      <x:c r="J752" s="85" t="b">
        <x:v>1</x:v>
      </x:c>
      <x:c r="K752" s="85" t="b">
        <x:v>1</x:v>
      </x:c>
      <x:c r="L752" s="56" t="str">
        <x:f>'Actions'!BE17</x:f>
        <x:v>OK</x:v>
      </x:c>
      <x:c r="M752" s="44" t="str">
        <x:v>Источник Actions.Clash Priority</x:v>
      </x:c>
    </x:row>
    <x:row r="753" ht="36" customHeight="1">
      <x:c r="A753" s="118" t="n">
        <x:v>748</x:v>
      </x:c>
      <x:c r="B753" s="35" t="str">
        <x:v>action</x:v>
      </x:c>
      <x:c r="C753" s="35" t="str">
        <x:v>kangaroo_push_kick</x:v>
      </x:c>
      <x:c r="D753" s="35" t="str">
        <x:v>grab_priority</x:v>
      </x:c>
      <x:c r="E753" s="38" t="str">
        <x:v>int</x:v>
      </x:c>
      <x:c r="F753" s="56" t="n">
        <x:f>'Actions'!AD17</x:f>
        <x:v>0</x:v>
      </x:c>
      <x:c r="G753" s="38" t="str"/>
      <x:c r="H753" s="35" t="str">
        <x:v>Actions</x:v>
      </x:c>
      <x:c r="I753" s="35" t="str">
        <x:v>AD17</x:v>
      </x:c>
      <x:c r="J753" s="85" t="b">
        <x:v>1</x:v>
      </x:c>
      <x:c r="K753" s="85" t="b">
        <x:v>1</x:v>
      </x:c>
      <x:c r="L753" s="56" t="str">
        <x:f>'Actions'!BE17</x:f>
        <x:v>OK</x:v>
      </x:c>
      <x:c r="M753" s="44" t="str">
        <x:v>Источник Actions.Grab Priority</x:v>
      </x:c>
    </x:row>
    <x:row r="754" ht="36" customHeight="1">
      <x:c r="A754" s="118" t="n">
        <x:v>749</x:v>
      </x:c>
      <x:c r="B754" s="35" t="str">
        <x:v>action</x:v>
      </x:c>
      <x:c r="C754" s="35" t="str">
        <x:v>kangaroo_push_kick</x:v>
      </x:c>
      <x:c r="D754" s="35" t="str">
        <x:v>resolution_priority</x:v>
      </x:c>
      <x:c r="E754" s="38" t="str">
        <x:v>int</x:v>
      </x:c>
      <x:c r="F754" s="56" t="n">
        <x:f>'Actions'!AE17</x:f>
        <x:v>32</x:v>
      </x:c>
      <x:c r="G754" s="38" t="str"/>
      <x:c r="H754" s="35" t="str">
        <x:v>Actions</x:v>
      </x:c>
      <x:c r="I754" s="35" t="str">
        <x:v>AE17</x:v>
      </x:c>
      <x:c r="J754" s="85" t="b">
        <x:v>1</x:v>
      </x:c>
      <x:c r="K754" s="85" t="b">
        <x:v>1</x:v>
      </x:c>
      <x:c r="L754" s="56" t="str">
        <x:f>'Actions'!BE17</x:f>
        <x:v>OK</x:v>
      </x:c>
      <x:c r="M754" s="44" t="str">
        <x:v>Источник Actions.Resolution Priority</x:v>
      </x:c>
    </x:row>
    <x:row r="755" ht="36" customHeight="1">
      <x:c r="A755" s="118" t="n">
        <x:v>750</x:v>
      </x:c>
      <x:c r="B755" s="35" t="str">
        <x:v>action</x:v>
      </x:c>
      <x:c r="C755" s="35" t="str">
        <x:v>kangaroo_push_kick</x:v>
      </x:c>
      <x:c r="D755" s="35" t="str">
        <x:v>interrupt_profile</x:v>
      </x:c>
      <x:c r="E755" s="38" t="str">
        <x:v>string</x:v>
      </x:c>
      <x:c r="F755" s="56" t="str">
        <x:f>'Actions'!AF17</x:f>
        <x:v>Committed</x:v>
      </x:c>
      <x:c r="G755" s="38" t="str"/>
      <x:c r="H755" s="35" t="str">
        <x:v>Actions</x:v>
      </x:c>
      <x:c r="I755" s="35" t="str">
        <x:v>AF17</x:v>
      </x:c>
      <x:c r="J755" s="85" t="b">
        <x:v>1</x:v>
      </x:c>
      <x:c r="K755" s="85" t="b">
        <x:v>1</x:v>
      </x:c>
      <x:c r="L755" s="56" t="str">
        <x:f>'Actions'!BE17</x:f>
        <x:v>OK</x:v>
      </x:c>
      <x:c r="M755" s="44" t="str">
        <x:v>Источник Actions.Interrupt Profile</x:v>
      </x:c>
    </x:row>
    <x:row r="756" ht="36" customHeight="1">
      <x:c r="A756" s="118" t="n">
        <x:v>751</x:v>
      </x:c>
      <x:c r="B756" s="35" t="str">
        <x:v>action</x:v>
      </x:c>
      <x:c r="C756" s="35" t="str">
        <x:v>kangaroo_push_kick</x:v>
      </x:c>
      <x:c r="D756" s="35" t="str">
        <x:v>blockable</x:v>
      </x:c>
      <x:c r="E756" s="38" t="str">
        <x:v>bool</x:v>
      </x:c>
      <x:c r="F756" s="56" t="b">
        <x:f>'Actions'!AG17</x:f>
        <x:v>1</x:v>
      </x:c>
      <x:c r="G756" s="38" t="str"/>
      <x:c r="H756" s="35" t="str">
        <x:v>Actions</x:v>
      </x:c>
      <x:c r="I756" s="35" t="str">
        <x:v>AG17</x:v>
      </x:c>
      <x:c r="J756" s="85" t="b">
        <x:v>1</x:v>
      </x:c>
      <x:c r="K756" s="85" t="b">
        <x:v>1</x:v>
      </x:c>
      <x:c r="L756" s="56" t="str">
        <x:f>'Actions'!BE17</x:f>
        <x:v>OK</x:v>
      </x:c>
      <x:c r="M756" s="44" t="str">
        <x:v>Источник Actions.Blockable</x:v>
      </x:c>
    </x:row>
    <x:row r="757" ht="36" customHeight="1">
      <x:c r="A757" s="118" t="n">
        <x:v>752</x:v>
      </x:c>
      <x:c r="B757" s="35" t="str">
        <x:v>action</x:v>
      </x:c>
      <x:c r="C757" s="35" t="str">
        <x:v>kangaroo_push_kick</x:v>
      </x:c>
      <x:c r="D757" s="35" t="str">
        <x:v>dodgeable</x:v>
      </x:c>
      <x:c r="E757" s="38" t="str">
        <x:v>bool</x:v>
      </x:c>
      <x:c r="F757" s="56" t="b">
        <x:f>'Actions'!AH17</x:f>
        <x:v>1</x:v>
      </x:c>
      <x:c r="G757" s="38" t="str"/>
      <x:c r="H757" s="35" t="str">
        <x:v>Actions</x:v>
      </x:c>
      <x:c r="I757" s="35" t="str">
        <x:v>AH17</x:v>
      </x:c>
      <x:c r="J757" s="85" t="b">
        <x:v>1</x:v>
      </x:c>
      <x:c r="K757" s="85" t="b">
        <x:v>1</x:v>
      </x:c>
      <x:c r="L757" s="56" t="str">
        <x:f>'Actions'!BE17</x:f>
        <x:v>OK</x:v>
      </x:c>
      <x:c r="M757" s="44" t="str">
        <x:v>Источник Actions.Dodgeable</x:v>
      </x:c>
    </x:row>
    <x:row r="758" ht="36" customHeight="1">
      <x:c r="A758" s="118" t="n">
        <x:v>753</x:v>
      </x:c>
      <x:c r="B758" s="35" t="str">
        <x:v>action</x:v>
      </x:c>
      <x:c r="C758" s="35" t="str">
        <x:v>kangaroo_push_kick</x:v>
      </x:c>
      <x:c r="D758" s="35" t="str">
        <x:v>undodgeable</x:v>
      </x:c>
      <x:c r="E758" s="38" t="str">
        <x:v>bool</x:v>
      </x:c>
      <x:c r="F758" s="56" t="b">
        <x:f>'Actions'!AI17</x:f>
        <x:v>0</x:v>
      </x:c>
      <x:c r="G758" s="38" t="str"/>
      <x:c r="H758" s="35" t="str">
        <x:v>Actions</x:v>
      </x:c>
      <x:c r="I758" s="35" t="str">
        <x:v>AI17</x:v>
      </x:c>
      <x:c r="J758" s="85" t="b">
        <x:v>1</x:v>
      </x:c>
      <x:c r="K758" s="85" t="b">
        <x:v>1</x:v>
      </x:c>
      <x:c r="L758" s="56" t="str">
        <x:f>'Actions'!BE17</x:f>
        <x:v>OK</x:v>
      </x:c>
      <x:c r="M758" s="44" t="str">
        <x:v>Источник Actions.Undodgeable</x:v>
      </x:c>
    </x:row>
    <x:row r="759" ht="36" customHeight="1">
      <x:c r="A759" s="118" t="n">
        <x:v>754</x:v>
      </x:c>
      <x:c r="B759" s="35" t="str">
        <x:v>action</x:v>
      </x:c>
      <x:c r="C759" s="35" t="str">
        <x:v>kangaroo_push_kick</x:v>
      </x:c>
      <x:c r="D759" s="35" t="str">
        <x:v>wall_impact</x:v>
      </x:c>
      <x:c r="E759" s="38" t="str">
        <x:v>bool</x:v>
      </x:c>
      <x:c r="F759" s="56" t="b">
        <x:f>'Actions'!AJ17</x:f>
        <x:v>0</x:v>
      </x:c>
      <x:c r="G759" s="38" t="str"/>
      <x:c r="H759" s="35" t="str">
        <x:v>Actions</x:v>
      </x:c>
      <x:c r="I759" s="35" t="str">
        <x:v>AJ17</x:v>
      </x:c>
      <x:c r="J759" s="85" t="b">
        <x:v>1</x:v>
      </x:c>
      <x:c r="K759" s="85" t="b">
        <x:v>1</x:v>
      </x:c>
      <x:c r="L759" s="56" t="str">
        <x:f>'Actions'!BE17</x:f>
        <x:v>OK</x:v>
      </x:c>
      <x:c r="M759" s="44" t="str">
        <x:v>Источник Actions.Wall Impact</x:v>
      </x:c>
    </x:row>
    <x:row r="760" ht="36" customHeight="1">
      <x:c r="A760" s="118" t="n">
        <x:v>755</x:v>
      </x:c>
      <x:c r="B760" s="35" t="str">
        <x:v>action</x:v>
      </x:c>
      <x:c r="C760" s="35" t="str">
        <x:v>kangaroo_push_kick</x:v>
      </x:c>
      <x:c r="D760" s="35" t="str">
        <x:v>track_target</x:v>
      </x:c>
      <x:c r="E760" s="38" t="str">
        <x:v>bool</x:v>
      </x:c>
      <x:c r="F760" s="56" t="b">
        <x:f>'Actions'!AK17</x:f>
        <x:v>0</x:v>
      </x:c>
      <x:c r="G760" s="38" t="str"/>
      <x:c r="H760" s="35" t="str">
        <x:v>Actions</x:v>
      </x:c>
      <x:c r="I760" s="35" t="str">
        <x:v>AK17</x:v>
      </x:c>
      <x:c r="J760" s="85" t="b">
        <x:v>1</x:v>
      </x:c>
      <x:c r="K760" s="85" t="b">
        <x:v>1</x:v>
      </x:c>
      <x:c r="L760" s="56" t="str">
        <x:f>'Actions'!BE17</x:f>
        <x:v>OK</x:v>
      </x:c>
      <x:c r="M760" s="44" t="str">
        <x:v>Источник Actions.Track Target</x:v>
      </x:c>
    </x:row>
    <x:row r="761" ht="36" customHeight="1">
      <x:c r="A761" s="118" t="n">
        <x:v>756</x:v>
      </x:c>
      <x:c r="B761" s="35" t="str">
        <x:v>action</x:v>
      </x:c>
      <x:c r="C761" s="35" t="str">
        <x:v>kangaroo_push_kick</x:v>
      </x:c>
      <x:c r="D761" s="35" t="str">
        <x:v>block_base_chance_fp</x:v>
      </x:c>
      <x:c r="E761" s="38" t="str">
        <x:v>int</x:v>
      </x:c>
      <x:c r="F761" s="56" t="n">
        <x:f>'Actions'!AL17</x:f>
        <x:v>0</x:v>
      </x:c>
      <x:c r="G761" s="38" t="str"/>
      <x:c r="H761" s="35" t="str">
        <x:v>Actions</x:v>
      </x:c>
      <x:c r="I761" s="35" t="str">
        <x:v>AL17</x:v>
      </x:c>
      <x:c r="J761" s="85" t="b">
        <x:v>1</x:v>
      </x:c>
      <x:c r="K761" s="85" t="b">
        <x:v>1</x:v>
      </x:c>
      <x:c r="L761" s="56" t="str">
        <x:f>'Actions'!BE17</x:f>
        <x:v>OK</x:v>
      </x:c>
      <x:c r="M761" s="44" t="str">
        <x:v>Источник Actions.Block Base Chance FP</x:v>
      </x:c>
    </x:row>
    <x:row r="762" ht="36" customHeight="1">
      <x:c r="A762" s="118" t="n">
        <x:v>757</x:v>
      </x:c>
      <x:c r="B762" s="35" t="str">
        <x:v>action</x:v>
      </x:c>
      <x:c r="C762" s="35" t="str">
        <x:v>kangaroo_push_kick</x:v>
      </x:c>
      <x:c r="D762" s="35" t="str">
        <x:v>block_reduction_fp</x:v>
      </x:c>
      <x:c r="E762" s="38" t="str">
        <x:v>int</x:v>
      </x:c>
      <x:c r="F762" s="56" t="n">
        <x:f>'Actions'!AM17</x:f>
        <x:v>0</x:v>
      </x:c>
      <x:c r="G762" s="38" t="str"/>
      <x:c r="H762" s="35" t="str">
        <x:v>Actions</x:v>
      </x:c>
      <x:c r="I762" s="35" t="str">
        <x:v>AM17</x:v>
      </x:c>
      <x:c r="J762" s="85" t="b">
        <x:v>1</x:v>
      </x:c>
      <x:c r="K762" s="85" t="b">
        <x:v>1</x:v>
      </x:c>
      <x:c r="L762" s="56" t="str">
        <x:f>'Actions'!BE17</x:f>
        <x:v>OK</x:v>
      </x:c>
      <x:c r="M762" s="44" t="str">
        <x:v>Источник Actions.Block Reduction FP</x:v>
      </x:c>
    </x:row>
    <x:row r="763" ht="36" customHeight="1">
      <x:c r="A763" s="118" t="n">
        <x:v>758</x:v>
      </x:c>
      <x:c r="B763" s="35" t="str">
        <x:v>action</x:v>
      </x:c>
      <x:c r="C763" s="35" t="str">
        <x:v>kangaroo_push_kick</x:v>
      </x:c>
      <x:c r="D763" s="35" t="str">
        <x:v>dodge_base_chance_fp</x:v>
      </x:c>
      <x:c r="E763" s="38" t="str">
        <x:v>int</x:v>
      </x:c>
      <x:c r="F763" s="56" t="n">
        <x:f>'Actions'!AN17</x:f>
        <x:v>0</x:v>
      </x:c>
      <x:c r="G763" s="38" t="str"/>
      <x:c r="H763" s="35" t="str">
        <x:v>Actions</x:v>
      </x:c>
      <x:c r="I763" s="35" t="str">
        <x:v>AN17</x:v>
      </x:c>
      <x:c r="J763" s="85" t="b">
        <x:v>1</x:v>
      </x:c>
      <x:c r="K763" s="85" t="b">
        <x:v>1</x:v>
      </x:c>
      <x:c r="L763" s="56" t="str">
        <x:f>'Actions'!BE17</x:f>
        <x:v>OK</x:v>
      </x:c>
      <x:c r="M763" s="44" t="str">
        <x:v>Источник Actions.Dodge Base Chance FP</x:v>
      </x:c>
    </x:row>
    <x:row r="764" ht="36" customHeight="1">
      <x:c r="A764" s="118" t="n">
        <x:v>759</x:v>
      </x:c>
      <x:c r="B764" s="35" t="str">
        <x:v>action</x:v>
      </x:c>
      <x:c r="C764" s="35" t="str">
        <x:v>kangaroo_push_kick</x:v>
      </x:c>
      <x:c r="D764" s="35" t="str">
        <x:v>movement_mode</x:v>
      </x:c>
      <x:c r="E764" s="38" t="str">
        <x:v>string</x:v>
      </x:c>
      <x:c r="F764" s="56" t="str">
        <x:f>'Actions'!AO17</x:f>
        <x:v>Push</x:v>
      </x:c>
      <x:c r="G764" s="38" t="str"/>
      <x:c r="H764" s="35" t="str">
        <x:v>Actions</x:v>
      </x:c>
      <x:c r="I764" s="35" t="str">
        <x:v>AO17</x:v>
      </x:c>
      <x:c r="J764" s="85" t="b">
        <x:v>1</x:v>
      </x:c>
      <x:c r="K764" s="85" t="b">
        <x:v>1</x:v>
      </x:c>
      <x:c r="L764" s="56" t="str">
        <x:f>'Actions'!BE17</x:f>
        <x:v>OK</x:v>
      </x:c>
      <x:c r="M764" s="44" t="str">
        <x:v>Источник Actions.Movement Mode</x:v>
      </x:c>
    </x:row>
    <x:row r="765" ht="36" customHeight="1">
      <x:c r="A765" s="118" t="n">
        <x:v>760</x:v>
      </x:c>
      <x:c r="B765" s="35" t="str">
        <x:v>action</x:v>
      </x:c>
      <x:c r="C765" s="35" t="str">
        <x:v>kangaroo_push_kick</x:v>
      </x:c>
      <x:c r="D765" s="35" t="str">
        <x:v>move_distance</x:v>
      </x:c>
      <x:c r="E765" s="38" t="str">
        <x:v>int</x:v>
      </x:c>
      <x:c r="F765" s="56" t="n">
        <x:f>'Actions'!AP17</x:f>
        <x:v>0</x:v>
      </x:c>
      <x:c r="G765" s="38" t="str"/>
      <x:c r="H765" s="35" t="str">
        <x:v>Actions</x:v>
      </x:c>
      <x:c r="I765" s="35" t="str">
        <x:v>AP17</x:v>
      </x:c>
      <x:c r="J765" s="85" t="b">
        <x:v>1</x:v>
      </x:c>
      <x:c r="K765" s="85" t="b">
        <x:v>1</x:v>
      </x:c>
      <x:c r="L765" s="56" t="str">
        <x:f>'Actions'!BE17</x:f>
        <x:v>OK</x:v>
      </x:c>
      <x:c r="M765" s="44" t="str">
        <x:v>Источник Actions.Move Distance</x:v>
      </x:c>
    </x:row>
    <x:row r="766" ht="36" customHeight="1">
      <x:c r="A766" s="118" t="n">
        <x:v>761</x:v>
      </x:c>
      <x:c r="B766" s="35" t="str">
        <x:v>action</x:v>
      </x:c>
      <x:c r="C766" s="35" t="str">
        <x:v>kangaroo_push_kick</x:v>
      </x:c>
      <x:c r="D766" s="35" t="str">
        <x:v>base_stagger</x:v>
      </x:c>
      <x:c r="E766" s="38" t="str">
        <x:v>int</x:v>
      </x:c>
      <x:c r="F766" s="56" t="n">
        <x:f>'Actions'!AQ17</x:f>
        <x:v>55</x:v>
      </x:c>
      <x:c r="G766" s="38" t="str"/>
      <x:c r="H766" s="35" t="str">
        <x:v>Actions</x:v>
      </x:c>
      <x:c r="I766" s="35" t="str">
        <x:v>AQ17</x:v>
      </x:c>
      <x:c r="J766" s="85" t="b">
        <x:v>1</x:v>
      </x:c>
      <x:c r="K766" s="85" t="b">
        <x:v>1</x:v>
      </x:c>
      <x:c r="L766" s="56" t="str">
        <x:f>'Actions'!BE17</x:f>
        <x:v>OK</x:v>
      </x:c>
      <x:c r="M766" s="44" t="str">
        <x:v>Источник Actions.Base Stagger</x:v>
      </x:c>
    </x:row>
    <x:row r="767" ht="36" customHeight="1">
      <x:c r="A767" s="118" t="n">
        <x:v>762</x:v>
      </x:c>
      <x:c r="B767" s="35" t="str">
        <x:v>action</x:v>
      </x:c>
      <x:c r="C767" s="35" t="str">
        <x:v>kangaroo_push_kick</x:v>
      </x:c>
      <x:c r="D767" s="35" t="str">
        <x:v>base_stun_ticks</x:v>
      </x:c>
      <x:c r="E767" s="38" t="str">
        <x:v>int</x:v>
      </x:c>
      <x:c r="F767" s="56" t="n">
        <x:f>'Actions'!AR17</x:f>
        <x:v>2</x:v>
      </x:c>
      <x:c r="G767" s="38" t="str"/>
      <x:c r="H767" s="35" t="str">
        <x:v>Actions</x:v>
      </x:c>
      <x:c r="I767" s="35" t="str">
        <x:v>AR17</x:v>
      </x:c>
      <x:c r="J767" s="85" t="b">
        <x:v>1</x:v>
      </x:c>
      <x:c r="K767" s="85" t="b">
        <x:v>1</x:v>
      </x:c>
      <x:c r="L767" s="56" t="str">
        <x:f>'Actions'!BE17</x:f>
        <x:v>OK</x:v>
      </x:c>
      <x:c r="M767" s="44" t="str">
        <x:v>Источник Actions.Base Stun Ticks</x:v>
      </x:c>
    </x:row>
    <x:row r="768" ht="36" customHeight="1">
      <x:c r="A768" s="118" t="n">
        <x:v>763</x:v>
      </x:c>
      <x:c r="B768" s="35" t="str">
        <x:v>action</x:v>
      </x:c>
      <x:c r="C768" s="35" t="str">
        <x:v>kangaroo_push_kick</x:v>
      </x:c>
      <x:c r="D768" s="35" t="str">
        <x:v>base_knockback</x:v>
      </x:c>
      <x:c r="E768" s="38" t="str">
        <x:v>int</x:v>
      </x:c>
      <x:c r="F768" s="56" t="n">
        <x:f>'Actions'!AS17</x:f>
        <x:v>700</x:v>
      </x:c>
      <x:c r="G768" s="38" t="str"/>
      <x:c r="H768" s="35" t="str">
        <x:v>Actions</x:v>
      </x:c>
      <x:c r="I768" s="35" t="str">
        <x:v>AS17</x:v>
      </x:c>
      <x:c r="J768" s="85" t="b">
        <x:v>1</x:v>
      </x:c>
      <x:c r="K768" s="85" t="b">
        <x:v>1</x:v>
      </x:c>
      <x:c r="L768" s="56" t="str">
        <x:f>'Actions'!BE17</x:f>
        <x:v>OK</x:v>
      </x:c>
      <x:c r="M768" s="44" t="str">
        <x:v>Источник Actions.Base Knockback</x:v>
      </x:c>
    </x:row>
    <x:row r="769" ht="36" customHeight="1">
      <x:c r="A769" s="118" t="n">
        <x:v>764</x:v>
      </x:c>
      <x:c r="B769" s="35" t="str">
        <x:v>action</x:v>
      </x:c>
      <x:c r="C769" s="35" t="str">
        <x:v>kangaroo_push_kick</x:v>
      </x:c>
      <x:c r="D769" s="35" t="str">
        <x:v>knockback_min</x:v>
      </x:c>
      <x:c r="E769" s="38" t="str">
        <x:v>int</x:v>
      </x:c>
      <x:c r="F769" s="56" t="n">
        <x:f>'Actions'!AT17</x:f>
        <x:v>250</x:v>
      </x:c>
      <x:c r="G769" s="38" t="str"/>
      <x:c r="H769" s="35" t="str">
        <x:v>Actions</x:v>
      </x:c>
      <x:c r="I769" s="35" t="str">
        <x:v>AT17</x:v>
      </x:c>
      <x:c r="J769" s="85" t="b">
        <x:v>1</x:v>
      </x:c>
      <x:c r="K769" s="85" t="b">
        <x:v>1</x:v>
      </x:c>
      <x:c r="L769" s="56" t="str">
        <x:f>'Actions'!BE17</x:f>
        <x:v>OK</x:v>
      </x:c>
      <x:c r="M769" s="44" t="str">
        <x:v>Источник Actions.Knockback Min</x:v>
      </x:c>
    </x:row>
    <x:row r="770" ht="36" customHeight="1">
      <x:c r="A770" s="118" t="n">
        <x:v>765</x:v>
      </x:c>
      <x:c r="B770" s="35" t="str">
        <x:v>action</x:v>
      </x:c>
      <x:c r="C770" s="35" t="str">
        <x:v>kangaroo_push_kick</x:v>
      </x:c>
      <x:c r="D770" s="35" t="str">
        <x:v>knockback_max</x:v>
      </x:c>
      <x:c r="E770" s="38" t="str">
        <x:v>int</x:v>
      </x:c>
      <x:c r="F770" s="56" t="n">
        <x:f>'Actions'!AU17</x:f>
        <x:v>1000</x:v>
      </x:c>
      <x:c r="G770" s="38" t="str"/>
      <x:c r="H770" s="35" t="str">
        <x:v>Actions</x:v>
      </x:c>
      <x:c r="I770" s="35" t="str">
        <x:v>AU17</x:v>
      </x:c>
      <x:c r="J770" s="85" t="b">
        <x:v>1</x:v>
      </x:c>
      <x:c r="K770" s="85" t="b">
        <x:v>1</x:v>
      </x:c>
      <x:c r="L770" s="56" t="str">
        <x:f>'Actions'!BE17</x:f>
        <x:v>OK</x:v>
      </x:c>
      <x:c r="M770" s="44" t="str">
        <x:v>Источник Actions.Knockback Max</x:v>
      </x:c>
    </x:row>
    <x:row r="771" ht="36" customHeight="1">
      <x:c r="A771" s="118" t="n">
        <x:v>766</x:v>
      </x:c>
      <x:c r="B771" s="35" t="str">
        <x:v>action</x:v>
      </x:c>
      <x:c r="C771" s="35" t="str">
        <x:v>kangaroo_push_kick</x:v>
      </x:c>
      <x:c r="D771" s="35" t="str">
        <x:v>wall_damage_per_unit_fp</x:v>
      </x:c>
      <x:c r="E771" s="38" t="str">
        <x:v>int</x:v>
      </x:c>
      <x:c r="F771" s="56" t="n">
        <x:f>'Actions'!AV17</x:f>
        <x:v>0</x:v>
      </x:c>
      <x:c r="G771" s="38" t="str"/>
      <x:c r="H771" s="35" t="str">
        <x:v>Actions</x:v>
      </x:c>
      <x:c r="I771" s="35" t="str">
        <x:v>AV17</x:v>
      </x:c>
      <x:c r="J771" s="85" t="b">
        <x:v>1</x:v>
      </x:c>
      <x:c r="K771" s="85" t="b">
        <x:v>1</x:v>
      </x:c>
      <x:c r="L771" s="56" t="str">
        <x:f>'Actions'!BE17</x:f>
        <x:v>OK</x:v>
      </x:c>
      <x:c r="M771" s="44" t="str">
        <x:v>Источник Actions.Wall Damage / Unit FP</x:v>
      </x:c>
    </x:row>
    <x:row r="772" ht="36" customHeight="1">
      <x:c r="A772" s="118" t="n">
        <x:v>767</x:v>
      </x:c>
      <x:c r="B772" s="35" t="str">
        <x:v>action</x:v>
      </x:c>
      <x:c r="C772" s="35" t="str">
        <x:v>kangaroo_push_kick</x:v>
      </x:c>
      <x:c r="D772" s="35" t="str">
        <x:v>wall_damage_min</x:v>
      </x:c>
      <x:c r="E772" s="38" t="str">
        <x:v>int</x:v>
      </x:c>
      <x:c r="F772" s="56" t="n">
        <x:f>'Actions'!AW17</x:f>
        <x:v>0</x:v>
      </x:c>
      <x:c r="G772" s="38" t="str"/>
      <x:c r="H772" s="35" t="str">
        <x:v>Actions</x:v>
      </x:c>
      <x:c r="I772" s="35" t="str">
        <x:v>AW17</x:v>
      </x:c>
      <x:c r="J772" s="85" t="b">
        <x:v>1</x:v>
      </x:c>
      <x:c r="K772" s="85" t="b">
        <x:v>1</x:v>
      </x:c>
      <x:c r="L772" s="56" t="str">
        <x:f>'Actions'!BE17</x:f>
        <x:v>OK</x:v>
      </x:c>
      <x:c r="M772" s="44" t="str">
        <x:v>Источник Actions.Wall Damage Min</x:v>
      </x:c>
    </x:row>
    <x:row r="773" ht="36" customHeight="1">
      <x:c r="A773" s="118" t="n">
        <x:v>768</x:v>
      </x:c>
      <x:c r="B773" s="35" t="str">
        <x:v>action</x:v>
      </x:c>
      <x:c r="C773" s="35" t="str">
        <x:v>kangaroo_push_kick</x:v>
      </x:c>
      <x:c r="D773" s="35" t="str">
        <x:v>wall_damage_max</x:v>
      </x:c>
      <x:c r="E773" s="38" t="str">
        <x:v>int</x:v>
      </x:c>
      <x:c r="F773" s="56" t="n">
        <x:f>'Actions'!AX17</x:f>
        <x:v>0</x:v>
      </x:c>
      <x:c r="G773" s="38" t="str"/>
      <x:c r="H773" s="35" t="str">
        <x:v>Actions</x:v>
      </x:c>
      <x:c r="I773" s="35" t="str">
        <x:v>AX17</x:v>
      </x:c>
      <x:c r="J773" s="85" t="b">
        <x:v>1</x:v>
      </x:c>
      <x:c r="K773" s="85" t="b">
        <x:v>1</x:v>
      </x:c>
      <x:c r="L773" s="56" t="str">
        <x:f>'Actions'!BE17</x:f>
        <x:v>OK</x:v>
      </x:c>
      <x:c r="M773" s="44" t="str">
        <x:v>Источник Actions.Wall Damage Max</x:v>
      </x:c>
    </x:row>
    <x:row r="774" ht="36" customHeight="1">
      <x:c r="A774" s="118" t="n">
        <x:v>769</x:v>
      </x:c>
      <x:c r="B774" s="35" t="str">
        <x:v>action</x:v>
      </x:c>
      <x:c r="C774" s="35" t="str">
        <x:v>kangaroo_push_kick</x:v>
      </x:c>
      <x:c r="D774" s="35" t="str">
        <x:v>max_consecutive_uses</x:v>
      </x:c>
      <x:c r="E774" s="38" t="str">
        <x:v>int</x:v>
      </x:c>
      <x:c r="F774" s="56" t="n">
        <x:f>'Actions'!AY17</x:f>
        <x:v>2</x:v>
      </x:c>
      <x:c r="G774" s="38" t="str"/>
      <x:c r="H774" s="35" t="str">
        <x:v>Actions</x:v>
      </x:c>
      <x:c r="I774" s="35" t="str">
        <x:v>AY17</x:v>
      </x:c>
      <x:c r="J774" s="85" t="b">
        <x:v>1</x:v>
      </x:c>
      <x:c r="K774" s="85" t="b">
        <x:v>1</x:v>
      </x:c>
      <x:c r="L774" s="56" t="str">
        <x:f>'Actions'!BE17</x:f>
        <x:v>OK</x:v>
      </x:c>
      <x:c r="M774" s="44" t="str">
        <x:v>Источник Actions.Max Consecutive Uses</x:v>
      </x:c>
    </x:row>
    <x:row r="775" ht="36" customHeight="1">
      <x:c r="A775" s="118" t="n">
        <x:v>770</x:v>
      </x:c>
      <x:c r="B775" s="35" t="str">
        <x:v>action</x:v>
      </x:c>
      <x:c r="C775" s="35" t="str">
        <x:v>kangaroo_push_kick</x:v>
      </x:c>
      <x:c r="D775" s="35" t="str">
        <x:v>opportunity_cap_fp</x:v>
      </x:c>
      <x:c r="E775" s="38" t="str">
        <x:v>int</x:v>
      </x:c>
      <x:c r="F775" s="56" t="n">
        <x:f>'Actions'!AZ17</x:f>
        <x:v>1200</x:v>
      </x:c>
      <x:c r="G775" s="38" t="str"/>
      <x:c r="H775" s="35" t="str">
        <x:v>Actions</x:v>
      </x:c>
      <x:c r="I775" s="35" t="str">
        <x:v>AZ17</x:v>
      </x:c>
      <x:c r="J775" s="85" t="b">
        <x:v>1</x:v>
      </x:c>
      <x:c r="K775" s="85" t="b">
        <x:v>1</x:v>
      </x:c>
      <x:c r="L775" s="56" t="str">
        <x:f>'Actions'!BE17</x:f>
        <x:v>OK</x:v>
      </x:c>
      <x:c r="M775" s="44" t="str">
        <x:v>Источник Actions.Opportunity Cap FP</x:v>
      </x:c>
    </x:row>
    <x:row r="776" ht="36" customHeight="1">
      <x:c r="A776" s="118" t="n">
        <x:v>771</x:v>
      </x:c>
      <x:c r="B776" s="35" t="str">
        <x:v>action</x:v>
      </x:c>
      <x:c r="C776" s="35" t="str">
        <x:v>kangaroo_push_kick</x:v>
      </x:c>
      <x:c r="D776" s="35" t="str">
        <x:v>hard_opportunity_misses</x:v>
      </x:c>
      <x:c r="E776" s="38" t="str">
        <x:v>int</x:v>
      </x:c>
      <x:c r="F776" s="56" t="n">
        <x:f>'Actions'!BA17</x:f>
        <x:v>0</x:v>
      </x:c>
      <x:c r="G776" s="38" t="str"/>
      <x:c r="H776" s="35" t="str">
        <x:v>Actions</x:v>
      </x:c>
      <x:c r="I776" s="35" t="str">
        <x:v>BA17</x:v>
      </x:c>
      <x:c r="J776" s="85" t="b">
        <x:v>1</x:v>
      </x:c>
      <x:c r="K776" s="85" t="b">
        <x:v>1</x:v>
      </x:c>
      <x:c r="L776" s="56" t="str">
        <x:f>'Actions'!BE17</x:f>
        <x:v>OK</x:v>
      </x:c>
      <x:c r="M776" s="44" t="str">
        <x:v>Источник Actions.Hard Opportunity Misses</x:v>
      </x:c>
    </x:row>
    <x:row r="777" ht="36" customHeight="1">
      <x:c r="A777" s="118" t="n">
        <x:v>772</x:v>
      </x:c>
      <x:c r="B777" s="35" t="str">
        <x:v>action</x:v>
      </x:c>
      <x:c r="C777" s="35" t="str">
        <x:v>kangaroo_bounding_step</x:v>
      </x:c>
      <x:c r="D777" s="35" t="str">
        <x:v>action_id</x:v>
      </x:c>
      <x:c r="E777" s="38" t="str">
        <x:v>string</x:v>
      </x:c>
      <x:c r="F777" s="56" t="str">
        <x:f>'Actions'!A18</x:f>
        <x:v>kangaroo_bounding_step</x:v>
      </x:c>
      <x:c r="G777" s="38" t="str"/>
      <x:c r="H777" s="35" t="str">
        <x:v>Actions</x:v>
      </x:c>
      <x:c r="I777" s="35" t="str">
        <x:v>A18</x:v>
      </x:c>
      <x:c r="J777" s="85" t="b">
        <x:v>1</x:v>
      </x:c>
      <x:c r="K777" s="85" t="b">
        <x:v>1</x:v>
      </x:c>
      <x:c r="L777" s="56" t="str">
        <x:f>'Actions'!BE18</x:f>
        <x:v>OK</x:v>
      </x:c>
      <x:c r="M777" s="44" t="str">
        <x:v>Источник Actions.Action ID</x:v>
      </x:c>
    </x:row>
    <x:row r="778" ht="36" customHeight="1">
      <x:c r="A778" s="118" t="n">
        <x:v>773</x:v>
      </x:c>
      <x:c r="B778" s="35" t="str">
        <x:v>action</x:v>
      </x:c>
      <x:c r="C778" s="35" t="str">
        <x:v>kangaroo_bounding_step</x:v>
      </x:c>
      <x:c r="D778" s="35" t="str">
        <x:v>animal_id</x:v>
      </x:c>
      <x:c r="E778" s="38" t="str">
        <x:v>string</x:v>
      </x:c>
      <x:c r="F778" s="56" t="str">
        <x:f>'Actions'!B18</x:f>
        <x:v>kangaroo</x:v>
      </x:c>
      <x:c r="G778" s="38" t="str"/>
      <x:c r="H778" s="35" t="str">
        <x:v>Actions</x:v>
      </x:c>
      <x:c r="I778" s="35" t="str">
        <x:v>B18</x:v>
      </x:c>
      <x:c r="J778" s="85" t="b">
        <x:v>1</x:v>
      </x:c>
      <x:c r="K778" s="85" t="b">
        <x:v>1</x:v>
      </x:c>
      <x:c r="L778" s="56" t="str">
        <x:f>'Actions'!BE18</x:f>
        <x:v>OK</x:v>
      </x:c>
      <x:c r="M778" s="44" t="str">
        <x:v>Источник Actions.Animal ID</x:v>
      </x:c>
    </x:row>
    <x:row r="779" ht="36" customHeight="1">
      <x:c r="A779" s="118" t="n">
        <x:v>774</x:v>
      </x:c>
      <x:c r="B779" s="35" t="str">
        <x:v>action</x:v>
      </x:c>
      <x:c r="C779" s="35" t="str">
        <x:v>kangaroo_bounding_step</x:v>
      </x:c>
      <x:c r="D779" s="35" t="str">
        <x:v>slot_type</x:v>
      </x:c>
      <x:c r="E779" s="38" t="str">
        <x:v>string</x:v>
      </x:c>
      <x:c r="F779" s="56" t="str">
        <x:f>'Actions'!D18</x:f>
        <x:v>Basic</x:v>
      </x:c>
      <x:c r="G779" s="38" t="str"/>
      <x:c r="H779" s="35" t="str">
        <x:v>Actions</x:v>
      </x:c>
      <x:c r="I779" s="35" t="str">
        <x:v>D18</x:v>
      </x:c>
      <x:c r="J779" s="85" t="b">
        <x:v>1</x:v>
      </x:c>
      <x:c r="K779" s="85" t="b">
        <x:v>1</x:v>
      </x:c>
      <x:c r="L779" s="56" t="str">
        <x:f>'Actions'!BE18</x:f>
        <x:v>OK</x:v>
      </x:c>
      <x:c r="M779" s="44" t="str">
        <x:v>Источник Actions.Slot Type</x:v>
      </x:c>
    </x:row>
    <x:row r="780" ht="36" customHeight="1">
      <x:c r="A780" s="118" t="n">
        <x:v>775</x:v>
      </x:c>
      <x:c r="B780" s="35" t="str">
        <x:v>action</x:v>
      </x:c>
      <x:c r="C780" s="35" t="str">
        <x:v>kangaroo_bounding_step</x:v>
      </x:c>
      <x:c r="D780" s="35" t="str">
        <x:v>category</x:v>
      </x:c>
      <x:c r="E780" s="38" t="str">
        <x:v>string</x:v>
      </x:c>
      <x:c r="F780" s="56" t="str">
        <x:f>'Actions'!E18</x:f>
        <x:v>TempoMovement</x:v>
      </x:c>
      <x:c r="G780" s="38" t="str"/>
      <x:c r="H780" s="35" t="str">
        <x:v>Actions</x:v>
      </x:c>
      <x:c r="I780" s="35" t="str">
        <x:v>E18</x:v>
      </x:c>
      <x:c r="J780" s="85" t="b">
        <x:v>1</x:v>
      </x:c>
      <x:c r="K780" s="85" t="b">
        <x:v>1</x:v>
      </x:c>
      <x:c r="L780" s="56" t="str">
        <x:f>'Actions'!BE18</x:f>
        <x:v>OK</x:v>
      </x:c>
      <x:c r="M780" s="44" t="str">
        <x:v>Источник Actions.Category</x:v>
      </x:c>
    </x:row>
    <x:row r="781" ht="36" customHeight="1">
      <x:c r="A781" s="118" t="n">
        <x:v>776</x:v>
      </x:c>
      <x:c r="B781" s="35" t="str">
        <x:v>action</x:v>
      </x:c>
      <x:c r="C781" s="35" t="str">
        <x:v>kangaroo_bounding_step</x:v>
      </x:c>
      <x:c r="D781" s="35" t="str">
        <x:v>tags</x:v>
      </x:c>
      <x:c r="E781" s="38" t="str">
        <x:v>string</x:v>
      </x:c>
      <x:c r="F781" s="56" t="str">
        <x:f>'Actions'!F18</x:f>
        <x:v>movement|adaptive|tempo|rhythm</x:v>
      </x:c>
      <x:c r="G781" s="38" t="str"/>
      <x:c r="H781" s="35" t="str">
        <x:v>Actions</x:v>
      </x:c>
      <x:c r="I781" s="35" t="str">
        <x:v>F18</x:v>
      </x:c>
      <x:c r="J781" s="85" t="b">
        <x:v>1</x:v>
      </x:c>
      <x:c r="K781" s="85" t="b">
        <x:v>1</x:v>
      </x:c>
      <x:c r="L781" s="56" t="str">
        <x:f>'Actions'!BE18</x:f>
        <x:v>OK</x:v>
      </x:c>
      <x:c r="M781" s="44" t="str">
        <x:v>Источник Actions.Tags</x:v>
      </x:c>
    </x:row>
    <x:row r="782" ht="36" customHeight="1">
      <x:c r="A782" s="118" t="n">
        <x:v>777</x:v>
      </x:c>
      <x:c r="B782" s="35" t="str">
        <x:v>action</x:v>
      </x:c>
      <x:c r="C782" s="35" t="str">
        <x:v>kangaroo_bounding_step</x:v>
      </x:c>
      <x:c r="D782" s="35" t="str">
        <x:v>base_weight</x:v>
      </x:c>
      <x:c r="E782" s="38" t="str">
        <x:v>int</x:v>
      </x:c>
      <x:c r="F782" s="56" t="n">
        <x:f>'Actions'!G18</x:f>
        <x:v>850</x:v>
      </x:c>
      <x:c r="G782" s="38" t="str"/>
      <x:c r="H782" s="35" t="str">
        <x:v>Actions</x:v>
      </x:c>
      <x:c r="I782" s="35" t="str">
        <x:v>G18</x:v>
      </x:c>
      <x:c r="J782" s="85" t="b">
        <x:v>1</x:v>
      </x:c>
      <x:c r="K782" s="85" t="b">
        <x:v>1</x:v>
      </x:c>
      <x:c r="L782" s="56" t="str">
        <x:f>'Actions'!BE18</x:f>
        <x:v>OK</x:v>
      </x:c>
      <x:c r="M782" s="44" t="str">
        <x:v>Источник Actions.Base Weight</x:v>
      </x:c>
    </x:row>
    <x:row r="783" ht="36" customHeight="1">
      <x:c r="A783" s="118" t="n">
        <x:v>778</x:v>
      </x:c>
      <x:c r="B783" s="35" t="str">
        <x:v>action</x:v>
      </x:c>
      <x:c r="C783" s="35" t="str">
        <x:v>kangaroo_bounding_step</x:v>
      </x:c>
      <x:c r="D783" s="35" t="str">
        <x:v>preferred_range_min</x:v>
      </x:c>
      <x:c r="E783" s="38" t="str">
        <x:v>int</x:v>
      </x:c>
      <x:c r="F783" s="56" t="n">
        <x:f>'Actions'!H18</x:f>
        <x:v>1000</x:v>
      </x:c>
      <x:c r="G783" s="38" t="str"/>
      <x:c r="H783" s="35" t="str">
        <x:v>Actions</x:v>
      </x:c>
      <x:c r="I783" s="35" t="str">
        <x:v>H18</x:v>
      </x:c>
      <x:c r="J783" s="85" t="b">
        <x:v>1</x:v>
      </x:c>
      <x:c r="K783" s="85" t="b">
        <x:v>1</x:v>
      </x:c>
      <x:c r="L783" s="56" t="str">
        <x:f>'Actions'!BE18</x:f>
        <x:v>OK</x:v>
      </x:c>
      <x:c r="M783" s="44" t="str">
        <x:v>Источник Actions.Preferred Range Min</x:v>
      </x:c>
    </x:row>
    <x:row r="784" ht="36" customHeight="1">
      <x:c r="A784" s="118" t="n">
        <x:v>779</x:v>
      </x:c>
      <x:c r="B784" s="35" t="str">
        <x:v>action</x:v>
      </x:c>
      <x:c r="C784" s="35" t="str">
        <x:v>kangaroo_bounding_step</x:v>
      </x:c>
      <x:c r="D784" s="35" t="str">
        <x:v>preferred_range_max</x:v>
      </x:c>
      <x:c r="E784" s="38" t="str">
        <x:v>int</x:v>
      </x:c>
      <x:c r="F784" s="56" t="n">
        <x:f>'Actions'!I18</x:f>
        <x:v>2200</x:v>
      </x:c>
      <x:c r="G784" s="38" t="str"/>
      <x:c r="H784" s="35" t="str">
        <x:v>Actions</x:v>
      </x:c>
      <x:c r="I784" s="35" t="str">
        <x:v>I18</x:v>
      </x:c>
      <x:c r="J784" s="85" t="b">
        <x:v>1</x:v>
      </x:c>
      <x:c r="K784" s="85" t="b">
        <x:v>1</x:v>
      </x:c>
      <x:c r="L784" s="56" t="str">
        <x:f>'Actions'!BE18</x:f>
        <x:v>OK</x:v>
      </x:c>
      <x:c r="M784" s="44" t="str">
        <x:v>Источник Actions.Preferred Range Max</x:v>
      </x:c>
    </x:row>
    <x:row r="785" ht="36" customHeight="1">
      <x:c r="A785" s="118" t="n">
        <x:v>780</x:v>
      </x:c>
      <x:c r="B785" s="35" t="str">
        <x:v>action</x:v>
      </x:c>
      <x:c r="C785" s="35" t="str">
        <x:v>kangaroo_bounding_step</x:v>
      </x:c>
      <x:c r="D785" s="35" t="str">
        <x:v>hit_range_min</x:v>
      </x:c>
      <x:c r="E785" s="38" t="str">
        <x:v>int</x:v>
      </x:c>
      <x:c r="F785" s="56" t="n">
        <x:f>'Actions'!J18</x:f>
        <x:v>0</x:v>
      </x:c>
      <x:c r="G785" s="38" t="str"/>
      <x:c r="H785" s="35" t="str">
        <x:v>Actions</x:v>
      </x:c>
      <x:c r="I785" s="35" t="str">
        <x:v>J18</x:v>
      </x:c>
      <x:c r="J785" s="85" t="b">
        <x:v>1</x:v>
      </x:c>
      <x:c r="K785" s="85" t="b">
        <x:v>1</x:v>
      </x:c>
      <x:c r="L785" s="56" t="str">
        <x:f>'Actions'!BE18</x:f>
        <x:v>OK</x:v>
      </x:c>
      <x:c r="M785" s="44" t="str">
        <x:v>Источник Actions.Hit Range Min</x:v>
      </x:c>
    </x:row>
    <x:row r="786" ht="36" customHeight="1">
      <x:c r="A786" s="118" t="n">
        <x:v>781</x:v>
      </x:c>
      <x:c r="B786" s="35" t="str">
        <x:v>action</x:v>
      </x:c>
      <x:c r="C786" s="35" t="str">
        <x:v>kangaroo_bounding_step</x:v>
      </x:c>
      <x:c r="D786" s="35" t="str">
        <x:v>hit_range_max</x:v>
      </x:c>
      <x:c r="E786" s="38" t="str">
        <x:v>int</x:v>
      </x:c>
      <x:c r="F786" s="56" t="n">
        <x:f>'Actions'!K18</x:f>
        <x:v>0</x:v>
      </x:c>
      <x:c r="G786" s="38" t="str"/>
      <x:c r="H786" s="35" t="str">
        <x:v>Actions</x:v>
      </x:c>
      <x:c r="I786" s="35" t="str">
        <x:v>K18</x:v>
      </x:c>
      <x:c r="J786" s="85" t="b">
        <x:v>1</x:v>
      </x:c>
      <x:c r="K786" s="85" t="b">
        <x:v>1</x:v>
      </x:c>
      <x:c r="L786" s="56" t="str">
        <x:f>'Actions'!BE18</x:f>
        <x:v>OK</x:v>
      </x:c>
      <x:c r="M786" s="44" t="str">
        <x:v>Источник Actions.Hit Range Max</x:v>
      </x:c>
    </x:row>
    <x:row r="787" ht="36" customHeight="1">
      <x:c r="A787" s="118" t="n">
        <x:v>782</x:v>
      </x:c>
      <x:c r="B787" s="35" t="str">
        <x:v>action</x:v>
      </x:c>
      <x:c r="C787" s="35" t="str">
        <x:v>kangaroo_bounding_step</x:v>
      </x:c>
      <x:c r="D787" s="35" t="str">
        <x:v>energy_cost</x:v>
      </x:c>
      <x:c r="E787" s="38" t="str">
        <x:v>int</x:v>
      </x:c>
      <x:c r="F787" s="56" t="n">
        <x:f>'Actions'!L18</x:f>
        <x:v>0</x:v>
      </x:c>
      <x:c r="G787" s="38" t="str"/>
      <x:c r="H787" s="35" t="str">
        <x:v>Actions</x:v>
      </x:c>
      <x:c r="I787" s="35" t="str">
        <x:v>L18</x:v>
      </x:c>
      <x:c r="J787" s="85" t="b">
        <x:v>1</x:v>
      </x:c>
      <x:c r="K787" s="85" t="b">
        <x:v>1</x:v>
      </x:c>
      <x:c r="L787" s="56" t="str">
        <x:f>'Actions'!BE18</x:f>
        <x:v>OK</x:v>
      </x:c>
      <x:c r="M787" s="44" t="str">
        <x:v>Источник Actions.Energy Cost</x:v>
      </x:c>
    </x:row>
    <x:row r="788" ht="36" customHeight="1">
      <x:c r="A788" s="118" t="n">
        <x:v>783</x:v>
      </x:c>
      <x:c r="B788" s="35" t="str">
        <x:v>action</x:v>
      </x:c>
      <x:c r="C788" s="35" t="str">
        <x:v>kangaroo_bounding_step</x:v>
      </x:c>
      <x:c r="D788" s="35" t="str">
        <x:v>resource_cost</x:v>
      </x:c>
      <x:c r="E788" s="38" t="str">
        <x:v>int</x:v>
      </x:c>
      <x:c r="F788" s="56" t="n">
        <x:f>'Actions'!M18</x:f>
        <x:v>0</x:v>
      </x:c>
      <x:c r="G788" s="38" t="str"/>
      <x:c r="H788" s="35" t="str">
        <x:v>Actions</x:v>
      </x:c>
      <x:c r="I788" s="35" t="str">
        <x:v>M18</x:v>
      </x:c>
      <x:c r="J788" s="85" t="b">
        <x:v>1</x:v>
      </x:c>
      <x:c r="K788" s="85" t="b">
        <x:v>1</x:v>
      </x:c>
      <x:c r="L788" s="56" t="str">
        <x:f>'Actions'!BE18</x:f>
        <x:v>OK</x:v>
      </x:c>
      <x:c r="M788" s="44" t="str">
        <x:v>Источник Actions.Resource Cost</x:v>
      </x:c>
    </x:row>
    <x:row r="789" ht="36" customHeight="1">
      <x:c r="A789" s="118" t="n">
        <x:v>784</x:v>
      </x:c>
      <x:c r="B789" s="35" t="str">
        <x:v>action</x:v>
      </x:c>
      <x:c r="C789" s="35" t="str">
        <x:v>kangaroo_bounding_step</x:v>
      </x:c>
      <x:c r="D789" s="35" t="str">
        <x:v>base_damage</x:v>
      </x:c>
      <x:c r="E789" s="38" t="str">
        <x:v>int</x:v>
      </x:c>
      <x:c r="F789" s="56" t="n">
        <x:f>'Actions'!N18</x:f>
        <x:v>0</x:v>
      </x:c>
      <x:c r="G789" s="38" t="str"/>
      <x:c r="H789" s="35" t="str">
        <x:v>Actions</x:v>
      </x:c>
      <x:c r="I789" s="35" t="str">
        <x:v>N18</x:v>
      </x:c>
      <x:c r="J789" s="85" t="b">
        <x:v>1</x:v>
      </x:c>
      <x:c r="K789" s="85" t="b">
        <x:v>1</x:v>
      </x:c>
      <x:c r="L789" s="56" t="str">
        <x:f>'Actions'!BE18</x:f>
        <x:v>OK</x:v>
      </x:c>
      <x:c r="M789" s="44" t="str">
        <x:v>Источник Actions.Base Damage / hit</x:v>
      </x:c>
    </x:row>
    <x:row r="790" ht="36" customHeight="1">
      <x:c r="A790" s="118" t="n">
        <x:v>785</x:v>
      </x:c>
      <x:c r="B790" s="35" t="str">
        <x:v>action</x:v>
      </x:c>
      <x:c r="C790" s="35" t="str">
        <x:v>kangaroo_bounding_step</x:v>
      </x:c>
      <x:c r="D790" s="35" t="str">
        <x:v>power_ratio_fp</x:v>
      </x:c>
      <x:c r="E790" s="38" t="str">
        <x:v>int</x:v>
      </x:c>
      <x:c r="F790" s="56" t="n">
        <x:f>'Actions'!O18</x:f>
        <x:v>0</x:v>
      </x:c>
      <x:c r="G790" s="38" t="str"/>
      <x:c r="H790" s="35" t="str">
        <x:v>Actions</x:v>
      </x:c>
      <x:c r="I790" s="35" t="str">
        <x:v>O18</x:v>
      </x:c>
      <x:c r="J790" s="85" t="b">
        <x:v>1</x:v>
      </x:c>
      <x:c r="K790" s="85" t="b">
        <x:v>1</x:v>
      </x:c>
      <x:c r="L790" s="56" t="str">
        <x:f>'Actions'!BE18</x:f>
        <x:v>OK</x:v>
      </x:c>
      <x:c r="M790" s="44" t="str">
        <x:v>Источник Actions.Power Ratio FP</x:v>
      </x:c>
    </x:row>
    <x:row r="791" ht="36" customHeight="1">
      <x:c r="A791" s="118" t="n">
        <x:v>786</x:v>
      </x:c>
      <x:c r="B791" s="35" t="str">
        <x:v>action</x:v>
      </x:c>
      <x:c r="C791" s="35" t="str">
        <x:v>kangaroo_bounding_step</x:v>
      </x:c>
      <x:c r="D791" s="35" t="str">
        <x:v>min_damage</x:v>
      </x:c>
      <x:c r="E791" s="38" t="str">
        <x:v>int</x:v>
      </x:c>
      <x:c r="F791" s="56" t="n">
        <x:f>'Actions'!P18</x:f>
        <x:v>0</x:v>
      </x:c>
      <x:c r="G791" s="38" t="str"/>
      <x:c r="H791" s="35" t="str">
        <x:v>Actions</x:v>
      </x:c>
      <x:c r="I791" s="35" t="str">
        <x:v>P18</x:v>
      </x:c>
      <x:c r="J791" s="85" t="b">
        <x:v>1</x:v>
      </x:c>
      <x:c r="K791" s="85" t="b">
        <x:v>1</x:v>
      </x:c>
      <x:c r="L791" s="56" t="str">
        <x:f>'Actions'!BE18</x:f>
        <x:v>OK</x:v>
      </x:c>
      <x:c r="M791" s="44" t="str">
        <x:v>Источник Actions.Min Damage</x:v>
      </x:c>
    </x:row>
    <x:row r="792" ht="36" customHeight="1">
      <x:c r="A792" s="118" t="n">
        <x:v>787</x:v>
      </x:c>
      <x:c r="B792" s="35" t="str">
        <x:v>action</x:v>
      </x:c>
      <x:c r="C792" s="35" t="str">
        <x:v>kangaroo_bounding_step</x:v>
      </x:c>
      <x:c r="D792" s="35" t="str">
        <x:v>chip_min</x:v>
      </x:c>
      <x:c r="E792" s="38" t="str">
        <x:v>int</x:v>
      </x:c>
      <x:c r="F792" s="56" t="n">
        <x:f>'Actions'!Q18</x:f>
        <x:v>0</x:v>
      </x:c>
      <x:c r="G792" s="38" t="str"/>
      <x:c r="H792" s="35" t="str">
        <x:v>Actions</x:v>
      </x:c>
      <x:c r="I792" s="35" t="str">
        <x:v>Q18</x:v>
      </x:c>
      <x:c r="J792" s="85" t="b">
        <x:v>1</x:v>
      </x:c>
      <x:c r="K792" s="85" t="b">
        <x:v>1</x:v>
      </x:c>
      <x:c r="L792" s="56" t="str">
        <x:f>'Actions'!BE18</x:f>
        <x:v>OK</x:v>
      </x:c>
      <x:c r="M792" s="44" t="str">
        <x:v>Источник Actions.Chip Min</x:v>
      </x:c>
    </x:row>
    <x:row r="793" ht="36" customHeight="1">
      <x:c r="A793" s="118" t="n">
        <x:v>788</x:v>
      </x:c>
      <x:c r="B793" s="35" t="str">
        <x:v>action</x:v>
      </x:c>
      <x:c r="C793" s="35" t="str">
        <x:v>kangaroo_bounding_step</x:v>
      </x:c>
      <x:c r="D793" s="35" t="str">
        <x:v>startup_base_ticks</x:v>
      </x:c>
      <x:c r="E793" s="38" t="str">
        <x:v>int</x:v>
      </x:c>
      <x:c r="F793" s="56" t="n">
        <x:f>'Actions'!R18</x:f>
        <x:v>1</x:v>
      </x:c>
      <x:c r="G793" s="38" t="str"/>
      <x:c r="H793" s="35" t="str">
        <x:v>Actions</x:v>
      </x:c>
      <x:c r="I793" s="35" t="str">
        <x:v>R18</x:v>
      </x:c>
      <x:c r="J793" s="85" t="b">
        <x:v>1</x:v>
      </x:c>
      <x:c r="K793" s="85" t="b">
        <x:v>1</x:v>
      </x:c>
      <x:c r="L793" s="56" t="str">
        <x:f>'Actions'!BE18</x:f>
        <x:v>OK</x:v>
      </x:c>
      <x:c r="M793" s="44" t="str">
        <x:v>Источник Actions.Startup Base Ticks</x:v>
      </x:c>
    </x:row>
    <x:row r="794" ht="36" customHeight="1">
      <x:c r="A794" s="118" t="n">
        <x:v>789</x:v>
      </x:c>
      <x:c r="B794" s="35" t="str">
        <x:v>action</x:v>
      </x:c>
      <x:c r="C794" s="35" t="str">
        <x:v>kangaroo_bounding_step</x:v>
      </x:c>
      <x:c r="D794" s="35" t="str">
        <x:v>startup_min_ticks</x:v>
      </x:c>
      <x:c r="E794" s="38" t="str">
        <x:v>int</x:v>
      </x:c>
      <x:c r="F794" s="56" t="n">
        <x:f>'Actions'!S18</x:f>
        <x:v>1</x:v>
      </x:c>
      <x:c r="G794" s="38" t="str"/>
      <x:c r="H794" s="35" t="str">
        <x:v>Actions</x:v>
      </x:c>
      <x:c r="I794" s="35" t="str">
        <x:v>S18</x:v>
      </x:c>
      <x:c r="J794" s="85" t="b">
        <x:v>1</x:v>
      </x:c>
      <x:c r="K794" s="85" t="b">
        <x:v>1</x:v>
      </x:c>
      <x:c r="L794" s="56" t="str">
        <x:f>'Actions'!BE18</x:f>
        <x:v>OK</x:v>
      </x:c>
      <x:c r="M794" s="44" t="str">
        <x:v>Источник Actions.Startup Min Ticks</x:v>
      </x:c>
    </x:row>
    <x:row r="795" ht="36" customHeight="1">
      <x:c r="A795" s="118" t="n">
        <x:v>790</x:v>
      </x:c>
      <x:c r="B795" s="35" t="str">
        <x:v>action</x:v>
      </x:c>
      <x:c r="C795" s="35" t="str">
        <x:v>kangaroo_bounding_step</x:v>
      </x:c>
      <x:c r="D795" s="35" t="str">
        <x:v>startup_max_ticks</x:v>
      </x:c>
      <x:c r="E795" s="38" t="str">
        <x:v>int</x:v>
      </x:c>
      <x:c r="F795" s="56" t="n">
        <x:f>'Actions'!T18</x:f>
        <x:v>2</x:v>
      </x:c>
      <x:c r="G795" s="38" t="str"/>
      <x:c r="H795" s="35" t="str">
        <x:v>Actions</x:v>
      </x:c>
      <x:c r="I795" s="35" t="str">
        <x:v>T18</x:v>
      </x:c>
      <x:c r="J795" s="85" t="b">
        <x:v>1</x:v>
      </x:c>
      <x:c r="K795" s="85" t="b">
        <x:v>1</x:v>
      </x:c>
      <x:c r="L795" s="56" t="str">
        <x:f>'Actions'!BE18</x:f>
        <x:v>OK</x:v>
      </x:c>
      <x:c r="M795" s="44" t="str">
        <x:v>Источник Actions.Startup Max Ticks</x:v>
      </x:c>
    </x:row>
    <x:row r="796" ht="36" customHeight="1">
      <x:c r="A796" s="118" t="n">
        <x:v>791</x:v>
      </x:c>
      <x:c r="B796" s="35" t="str">
        <x:v>action</x:v>
      </x:c>
      <x:c r="C796" s="35" t="str">
        <x:v>kangaroo_bounding_step</x:v>
      </x:c>
      <x:c r="D796" s="35" t="str">
        <x:v>active_ticks</x:v>
      </x:c>
      <x:c r="E796" s="38" t="str">
        <x:v>int</x:v>
      </x:c>
      <x:c r="F796" s="56" t="n">
        <x:f>'Actions'!U18</x:f>
        <x:v>5</x:v>
      </x:c>
      <x:c r="G796" s="38" t="str"/>
      <x:c r="H796" s="35" t="str">
        <x:v>Actions</x:v>
      </x:c>
      <x:c r="I796" s="35" t="str">
        <x:v>U18</x:v>
      </x:c>
      <x:c r="J796" s="85" t="b">
        <x:v>1</x:v>
      </x:c>
      <x:c r="K796" s="85" t="b">
        <x:v>1</x:v>
      </x:c>
      <x:c r="L796" s="56" t="str">
        <x:f>'Actions'!BE18</x:f>
        <x:v>OK</x:v>
      </x:c>
      <x:c r="M796" s="44" t="str">
        <x:v>Источник Actions.Active Ticks</x:v>
      </x:c>
    </x:row>
    <x:row r="797" ht="36" customHeight="1">
      <x:c r="A797" s="118" t="n">
        <x:v>792</x:v>
      </x:c>
      <x:c r="B797" s="35" t="str">
        <x:v>action</x:v>
      </x:c>
      <x:c r="C797" s="35" t="str">
        <x:v>kangaroo_bounding_step</x:v>
      </x:c>
      <x:c r="D797" s="35" t="str">
        <x:v>hit_schedule</x:v>
      </x:c>
      <x:c r="E797" s="38" t="str">
        <x:v>string</x:v>
      </x:c>
      <x:c r="F797" s="56" t="str">
        <x:f>'Actions'!V18</x:f>
      </x:c>
      <x:c r="G797" s="38" t="str"/>
      <x:c r="H797" s="35" t="str">
        <x:v>Actions</x:v>
      </x:c>
      <x:c r="I797" s="35" t="str">
        <x:v>V18</x:v>
      </x:c>
      <x:c r="J797" s="85" t="b">
        <x:v>1</x:v>
      </x:c>
      <x:c r="K797" s="85" t="b">
        <x:v>1</x:v>
      </x:c>
      <x:c r="L797" s="56" t="str">
        <x:f>'Actions'!BE18</x:f>
        <x:v>OK</x:v>
      </x:c>
      <x:c r="M797" s="44" t="str">
        <x:v>Источник Actions.Hit Schedule</x:v>
      </x:c>
    </x:row>
    <x:row r="798" ht="36" customHeight="1">
      <x:c r="A798" s="118" t="n">
        <x:v>793</x:v>
      </x:c>
      <x:c r="B798" s="35" t="str">
        <x:v>action</x:v>
      </x:c>
      <x:c r="C798" s="35" t="str">
        <x:v>kangaroo_bounding_step</x:v>
      </x:c>
      <x:c r="D798" s="35" t="str">
        <x:v>hit_count</x:v>
      </x:c>
      <x:c r="E798" s="38" t="str">
        <x:v>int</x:v>
      </x:c>
      <x:c r="F798" s="56" t="n">
        <x:f>'Actions'!W18</x:f>
        <x:v>0</x:v>
      </x:c>
      <x:c r="G798" s="38" t="str"/>
      <x:c r="H798" s="35" t="str">
        <x:v>Actions</x:v>
      </x:c>
      <x:c r="I798" s="35" t="str">
        <x:v>W18</x:v>
      </x:c>
      <x:c r="J798" s="85" t="b">
        <x:v>1</x:v>
      </x:c>
      <x:c r="K798" s="85" t="b">
        <x:v>1</x:v>
      </x:c>
      <x:c r="L798" s="56" t="str">
        <x:f>'Actions'!BE18</x:f>
        <x:v>OK</x:v>
      </x:c>
      <x:c r="M798" s="44" t="str">
        <x:v>Источник Actions.Hit Count</x:v>
      </x:c>
    </x:row>
    <x:row r="799" ht="36" customHeight="1">
      <x:c r="A799" s="118" t="n">
        <x:v>794</x:v>
      </x:c>
      <x:c r="B799" s="35" t="str">
        <x:v>action</x:v>
      </x:c>
      <x:c r="C799" s="35" t="str">
        <x:v>kangaroo_bounding_step</x:v>
      </x:c>
      <x:c r="D799" s="35" t="str">
        <x:v>recovery_base_ticks</x:v>
      </x:c>
      <x:c r="E799" s="38" t="str">
        <x:v>int</x:v>
      </x:c>
      <x:c r="F799" s="56" t="n">
        <x:f>'Actions'!X18</x:f>
        <x:v>2</x:v>
      </x:c>
      <x:c r="G799" s="38" t="str"/>
      <x:c r="H799" s="35" t="str">
        <x:v>Actions</x:v>
      </x:c>
      <x:c r="I799" s="35" t="str">
        <x:v>X18</x:v>
      </x:c>
      <x:c r="J799" s="85" t="b">
        <x:v>1</x:v>
      </x:c>
      <x:c r="K799" s="85" t="b">
        <x:v>1</x:v>
      </x:c>
      <x:c r="L799" s="56" t="str">
        <x:f>'Actions'!BE18</x:f>
        <x:v>OK</x:v>
      </x:c>
      <x:c r="M799" s="44" t="str">
        <x:v>Источник Actions.Recovery Base Ticks</x:v>
      </x:c>
    </x:row>
    <x:row r="800" ht="36" customHeight="1">
      <x:c r="A800" s="118" t="n">
        <x:v>795</x:v>
      </x:c>
      <x:c r="B800" s="35" t="str">
        <x:v>action</x:v>
      </x:c>
      <x:c r="C800" s="35" t="str">
        <x:v>kangaroo_bounding_step</x:v>
      </x:c>
      <x:c r="D800" s="35" t="str">
        <x:v>recovery_min_ticks</x:v>
      </x:c>
      <x:c r="E800" s="38" t="str">
        <x:v>int</x:v>
      </x:c>
      <x:c r="F800" s="56" t="n">
        <x:f>'Actions'!Y18</x:f>
        <x:v>1</x:v>
      </x:c>
      <x:c r="G800" s="38" t="str"/>
      <x:c r="H800" s="35" t="str">
        <x:v>Actions</x:v>
      </x:c>
      <x:c r="I800" s="35" t="str">
        <x:v>Y18</x:v>
      </x:c>
      <x:c r="J800" s="85" t="b">
        <x:v>1</x:v>
      </x:c>
      <x:c r="K800" s="85" t="b">
        <x:v>1</x:v>
      </x:c>
      <x:c r="L800" s="56" t="str">
        <x:f>'Actions'!BE18</x:f>
        <x:v>OK</x:v>
      </x:c>
      <x:c r="M800" s="44" t="str">
        <x:v>Источник Actions.Recovery Min Ticks</x:v>
      </x:c>
    </x:row>
    <x:row r="801" ht="36" customHeight="1">
      <x:c r="A801" s="118" t="n">
        <x:v>796</x:v>
      </x:c>
      <x:c r="B801" s="35" t="str">
        <x:v>action</x:v>
      </x:c>
      <x:c r="C801" s="35" t="str">
        <x:v>kangaroo_bounding_step</x:v>
      </x:c>
      <x:c r="D801" s="35" t="str">
        <x:v>recovery_max_ticks</x:v>
      </x:c>
      <x:c r="E801" s="38" t="str">
        <x:v>int</x:v>
      </x:c>
      <x:c r="F801" s="56" t="n">
        <x:f>'Actions'!Z18</x:f>
        <x:v>4</x:v>
      </x:c>
      <x:c r="G801" s="38" t="str"/>
      <x:c r="H801" s="35" t="str">
        <x:v>Actions</x:v>
      </x:c>
      <x:c r="I801" s="35" t="str">
        <x:v>Z18</x:v>
      </x:c>
      <x:c r="J801" s="85" t="b">
        <x:v>1</x:v>
      </x:c>
      <x:c r="K801" s="85" t="b">
        <x:v>1</x:v>
      </x:c>
      <x:c r="L801" s="56" t="str">
        <x:f>'Actions'!BE18</x:f>
        <x:v>OK</x:v>
      </x:c>
      <x:c r="M801" s="44" t="str">
        <x:v>Источник Actions.Recovery Max Ticks</x:v>
      </x:c>
    </x:row>
    <x:row r="802" ht="36" customHeight="1">
      <x:c r="A802" s="118" t="n">
        <x:v>797</x:v>
      </x:c>
      <x:c r="B802" s="35" t="str">
        <x:v>action</x:v>
      </x:c>
      <x:c r="C802" s="35" t="str">
        <x:v>kangaroo_bounding_step</x:v>
      </x:c>
      <x:c r="D802" s="35" t="str">
        <x:v>cooldown_ticks</x:v>
      </x:c>
      <x:c r="E802" s="38" t="str">
        <x:v>int</x:v>
      </x:c>
      <x:c r="F802" s="56" t="n">
        <x:f>'Actions'!AA18</x:f>
        <x:v>5</x:v>
      </x:c>
      <x:c r="G802" s="38" t="str"/>
      <x:c r="H802" s="35" t="str">
        <x:v>Actions</x:v>
      </x:c>
      <x:c r="I802" s="35" t="str">
        <x:v>AA18</x:v>
      </x:c>
      <x:c r="J802" s="85" t="b">
        <x:v>1</x:v>
      </x:c>
      <x:c r="K802" s="85" t="b">
        <x:v>1</x:v>
      </x:c>
      <x:c r="L802" s="56" t="str">
        <x:f>'Actions'!BE18</x:f>
        <x:v>OK</x:v>
      </x:c>
      <x:c r="M802" s="44" t="str">
        <x:v>Источник Actions.Cooldown Ticks</x:v>
      </x:c>
    </x:row>
    <x:row r="803" ht="36" customHeight="1">
      <x:c r="A803" s="118" t="n">
        <x:v>798</x:v>
      </x:c>
      <x:c r="B803" s="35" t="str">
        <x:v>action</x:v>
      </x:c>
      <x:c r="C803" s="35" t="str">
        <x:v>kangaroo_bounding_step</x:v>
      </x:c>
      <x:c r="D803" s="35" t="str">
        <x:v>action_priority</x:v>
      </x:c>
      <x:c r="E803" s="38" t="str">
        <x:v>int</x:v>
      </x:c>
      <x:c r="F803" s="56" t="n">
        <x:f>'Actions'!AB18</x:f>
        <x:v>12</x:v>
      </x:c>
      <x:c r="G803" s="38" t="str"/>
      <x:c r="H803" s="35" t="str">
        <x:v>Actions</x:v>
      </x:c>
      <x:c r="I803" s="35" t="str">
        <x:v>AB18</x:v>
      </x:c>
      <x:c r="J803" s="85" t="b">
        <x:v>1</x:v>
      </x:c>
      <x:c r="K803" s="85" t="b">
        <x:v>1</x:v>
      </x:c>
      <x:c r="L803" s="56" t="str">
        <x:f>'Actions'!BE18</x:f>
        <x:v>OK</x:v>
      </x:c>
      <x:c r="M803" s="44" t="str">
        <x:v>Источник Actions.Action Priority</x:v>
      </x:c>
    </x:row>
    <x:row r="804" ht="36" customHeight="1">
      <x:c r="A804" s="118" t="n">
        <x:v>799</x:v>
      </x:c>
      <x:c r="B804" s="35" t="str">
        <x:v>action</x:v>
      </x:c>
      <x:c r="C804" s="35" t="str">
        <x:v>kangaroo_bounding_step</x:v>
      </x:c>
      <x:c r="D804" s="35" t="str">
        <x:v>clash_priority</x:v>
      </x:c>
      <x:c r="E804" s="38" t="str">
        <x:v>int</x:v>
      </x:c>
      <x:c r="F804" s="56" t="n">
        <x:f>'Actions'!AC18</x:f>
        <x:v>0</x:v>
      </x:c>
      <x:c r="G804" s="38" t="str"/>
      <x:c r="H804" s="35" t="str">
        <x:v>Actions</x:v>
      </x:c>
      <x:c r="I804" s="35" t="str">
        <x:v>AC18</x:v>
      </x:c>
      <x:c r="J804" s="85" t="b">
        <x:v>1</x:v>
      </x:c>
      <x:c r="K804" s="85" t="b">
        <x:v>1</x:v>
      </x:c>
      <x:c r="L804" s="56" t="str">
        <x:f>'Actions'!BE18</x:f>
        <x:v>OK</x:v>
      </x:c>
      <x:c r="M804" s="44" t="str">
        <x:v>Источник Actions.Clash Priority</x:v>
      </x:c>
    </x:row>
    <x:row r="805" ht="36" customHeight="1">
      <x:c r="A805" s="118" t="n">
        <x:v>800</x:v>
      </x:c>
      <x:c r="B805" s="35" t="str">
        <x:v>action</x:v>
      </x:c>
      <x:c r="C805" s="35" t="str">
        <x:v>kangaroo_bounding_step</x:v>
      </x:c>
      <x:c r="D805" s="35" t="str">
        <x:v>grab_priority</x:v>
      </x:c>
      <x:c r="E805" s="38" t="str">
        <x:v>int</x:v>
      </x:c>
      <x:c r="F805" s="56" t="n">
        <x:f>'Actions'!AD18</x:f>
        <x:v>0</x:v>
      </x:c>
      <x:c r="G805" s="38" t="str"/>
      <x:c r="H805" s="35" t="str">
        <x:v>Actions</x:v>
      </x:c>
      <x:c r="I805" s="35" t="str">
        <x:v>AD18</x:v>
      </x:c>
      <x:c r="J805" s="85" t="b">
        <x:v>1</x:v>
      </x:c>
      <x:c r="K805" s="85" t="b">
        <x:v>1</x:v>
      </x:c>
      <x:c r="L805" s="56" t="str">
        <x:f>'Actions'!BE18</x:f>
        <x:v>OK</x:v>
      </x:c>
      <x:c r="M805" s="44" t="str">
        <x:v>Источник Actions.Grab Priority</x:v>
      </x:c>
    </x:row>
    <x:row r="806" ht="36" customHeight="1">
      <x:c r="A806" s="118" t="n">
        <x:v>801</x:v>
      </x:c>
      <x:c r="B806" s="35" t="str">
        <x:v>action</x:v>
      </x:c>
      <x:c r="C806" s="35" t="str">
        <x:v>kangaroo_bounding_step</x:v>
      </x:c>
      <x:c r="D806" s="35" t="str">
        <x:v>resolution_priority</x:v>
      </x:c>
      <x:c r="E806" s="38" t="str">
        <x:v>int</x:v>
      </x:c>
      <x:c r="F806" s="56" t="n">
        <x:f>'Actions'!AE18</x:f>
        <x:v>12</x:v>
      </x:c>
      <x:c r="G806" s="38" t="str"/>
      <x:c r="H806" s="35" t="str">
        <x:v>Actions</x:v>
      </x:c>
      <x:c r="I806" s="35" t="str">
        <x:v>AE18</x:v>
      </x:c>
      <x:c r="J806" s="85" t="b">
        <x:v>1</x:v>
      </x:c>
      <x:c r="K806" s="85" t="b">
        <x:v>1</x:v>
      </x:c>
      <x:c r="L806" s="56" t="str">
        <x:f>'Actions'!BE18</x:f>
        <x:v>OK</x:v>
      </x:c>
      <x:c r="M806" s="44" t="str">
        <x:v>Источник Actions.Resolution Priority</x:v>
      </x:c>
    </x:row>
    <x:row r="807" ht="36" customHeight="1">
      <x:c r="A807" s="118" t="n">
        <x:v>802</x:v>
      </x:c>
      <x:c r="B807" s="35" t="str">
        <x:v>action</x:v>
      </x:c>
      <x:c r="C807" s="35" t="str">
        <x:v>kangaroo_bounding_step</x:v>
      </x:c>
      <x:c r="D807" s="35" t="str">
        <x:v>interrupt_profile</x:v>
      </x:c>
      <x:c r="E807" s="38" t="str">
        <x:v>string</x:v>
      </x:c>
      <x:c r="F807" s="56" t="str">
        <x:f>'Actions'!AF18</x:f>
        <x:v>Cancelable</x:v>
      </x:c>
      <x:c r="G807" s="38" t="str"/>
      <x:c r="H807" s="35" t="str">
        <x:v>Actions</x:v>
      </x:c>
      <x:c r="I807" s="35" t="str">
        <x:v>AF18</x:v>
      </x:c>
      <x:c r="J807" s="85" t="b">
        <x:v>1</x:v>
      </x:c>
      <x:c r="K807" s="85" t="b">
        <x:v>1</x:v>
      </x:c>
      <x:c r="L807" s="56" t="str">
        <x:f>'Actions'!BE18</x:f>
        <x:v>OK</x:v>
      </x:c>
      <x:c r="M807" s="44" t="str">
        <x:v>Источник Actions.Interrupt Profile</x:v>
      </x:c>
    </x:row>
    <x:row r="808" ht="36" customHeight="1">
      <x:c r="A808" s="118" t="n">
        <x:v>803</x:v>
      </x:c>
      <x:c r="B808" s="35" t="str">
        <x:v>action</x:v>
      </x:c>
      <x:c r="C808" s="35" t="str">
        <x:v>kangaroo_bounding_step</x:v>
      </x:c>
      <x:c r="D808" s="35" t="str">
        <x:v>blockable</x:v>
      </x:c>
      <x:c r="E808" s="38" t="str">
        <x:v>bool</x:v>
      </x:c>
      <x:c r="F808" s="56" t="b">
        <x:f>'Actions'!AG18</x:f>
        <x:v>0</x:v>
      </x:c>
      <x:c r="G808" s="38" t="str"/>
      <x:c r="H808" s="35" t="str">
        <x:v>Actions</x:v>
      </x:c>
      <x:c r="I808" s="35" t="str">
        <x:v>AG18</x:v>
      </x:c>
      <x:c r="J808" s="85" t="b">
        <x:v>1</x:v>
      </x:c>
      <x:c r="K808" s="85" t="b">
        <x:v>1</x:v>
      </x:c>
      <x:c r="L808" s="56" t="str">
        <x:f>'Actions'!BE18</x:f>
        <x:v>OK</x:v>
      </x:c>
      <x:c r="M808" s="44" t="str">
        <x:v>Источник Actions.Blockable</x:v>
      </x:c>
    </x:row>
    <x:row r="809" ht="36" customHeight="1">
      <x:c r="A809" s="118" t="n">
        <x:v>804</x:v>
      </x:c>
      <x:c r="B809" s="35" t="str">
        <x:v>action</x:v>
      </x:c>
      <x:c r="C809" s="35" t="str">
        <x:v>kangaroo_bounding_step</x:v>
      </x:c>
      <x:c r="D809" s="35" t="str">
        <x:v>dodgeable</x:v>
      </x:c>
      <x:c r="E809" s="38" t="str">
        <x:v>bool</x:v>
      </x:c>
      <x:c r="F809" s="56" t="b">
        <x:f>'Actions'!AH18</x:f>
        <x:v>0</x:v>
      </x:c>
      <x:c r="G809" s="38" t="str"/>
      <x:c r="H809" s="35" t="str">
        <x:v>Actions</x:v>
      </x:c>
      <x:c r="I809" s="35" t="str">
        <x:v>AH18</x:v>
      </x:c>
      <x:c r="J809" s="85" t="b">
        <x:v>1</x:v>
      </x:c>
      <x:c r="K809" s="85" t="b">
        <x:v>1</x:v>
      </x:c>
      <x:c r="L809" s="56" t="str">
        <x:f>'Actions'!BE18</x:f>
        <x:v>OK</x:v>
      </x:c>
      <x:c r="M809" s="44" t="str">
        <x:v>Источник Actions.Dodgeable</x:v>
      </x:c>
    </x:row>
    <x:row r="810" ht="36" customHeight="1">
      <x:c r="A810" s="118" t="n">
        <x:v>805</x:v>
      </x:c>
      <x:c r="B810" s="35" t="str">
        <x:v>action</x:v>
      </x:c>
      <x:c r="C810" s="35" t="str">
        <x:v>kangaroo_bounding_step</x:v>
      </x:c>
      <x:c r="D810" s="35" t="str">
        <x:v>undodgeable</x:v>
      </x:c>
      <x:c r="E810" s="38" t="str">
        <x:v>bool</x:v>
      </x:c>
      <x:c r="F810" s="56" t="b">
        <x:f>'Actions'!AI18</x:f>
        <x:v>0</x:v>
      </x:c>
      <x:c r="G810" s="38" t="str"/>
      <x:c r="H810" s="35" t="str">
        <x:v>Actions</x:v>
      </x:c>
      <x:c r="I810" s="35" t="str">
        <x:v>AI18</x:v>
      </x:c>
      <x:c r="J810" s="85" t="b">
        <x:v>1</x:v>
      </x:c>
      <x:c r="K810" s="85" t="b">
        <x:v>1</x:v>
      </x:c>
      <x:c r="L810" s="56" t="str">
        <x:f>'Actions'!BE18</x:f>
        <x:v>OK</x:v>
      </x:c>
      <x:c r="M810" s="44" t="str">
        <x:v>Источник Actions.Undodgeable</x:v>
      </x:c>
    </x:row>
    <x:row r="811" ht="36" customHeight="1">
      <x:c r="A811" s="118" t="n">
        <x:v>806</x:v>
      </x:c>
      <x:c r="B811" s="35" t="str">
        <x:v>action</x:v>
      </x:c>
      <x:c r="C811" s="35" t="str">
        <x:v>kangaroo_bounding_step</x:v>
      </x:c>
      <x:c r="D811" s="35" t="str">
        <x:v>wall_impact</x:v>
      </x:c>
      <x:c r="E811" s="38" t="str">
        <x:v>bool</x:v>
      </x:c>
      <x:c r="F811" s="56" t="b">
        <x:f>'Actions'!AJ18</x:f>
        <x:v>0</x:v>
      </x:c>
      <x:c r="G811" s="38" t="str"/>
      <x:c r="H811" s="35" t="str">
        <x:v>Actions</x:v>
      </x:c>
      <x:c r="I811" s="35" t="str">
        <x:v>AJ18</x:v>
      </x:c>
      <x:c r="J811" s="85" t="b">
        <x:v>1</x:v>
      </x:c>
      <x:c r="K811" s="85" t="b">
        <x:v>1</x:v>
      </x:c>
      <x:c r="L811" s="56" t="str">
        <x:f>'Actions'!BE18</x:f>
        <x:v>OK</x:v>
      </x:c>
      <x:c r="M811" s="44" t="str">
        <x:v>Источник Actions.Wall Impact</x:v>
      </x:c>
    </x:row>
    <x:row r="812" ht="36" customHeight="1">
      <x:c r="A812" s="118" t="n">
        <x:v>807</x:v>
      </x:c>
      <x:c r="B812" s="35" t="str">
        <x:v>action</x:v>
      </x:c>
      <x:c r="C812" s="35" t="str">
        <x:v>kangaroo_bounding_step</x:v>
      </x:c>
      <x:c r="D812" s="35" t="str">
        <x:v>track_target</x:v>
      </x:c>
      <x:c r="E812" s="38" t="str">
        <x:v>bool</x:v>
      </x:c>
      <x:c r="F812" s="56" t="b">
        <x:f>'Actions'!AK18</x:f>
        <x:v>1</x:v>
      </x:c>
      <x:c r="G812" s="38" t="str"/>
      <x:c r="H812" s="35" t="str">
        <x:v>Actions</x:v>
      </x:c>
      <x:c r="I812" s="35" t="str">
        <x:v>AK18</x:v>
      </x:c>
      <x:c r="J812" s="85" t="b">
        <x:v>1</x:v>
      </x:c>
      <x:c r="K812" s="85" t="b">
        <x:v>1</x:v>
      </x:c>
      <x:c r="L812" s="56" t="str">
        <x:f>'Actions'!BE18</x:f>
        <x:v>OK</x:v>
      </x:c>
      <x:c r="M812" s="44" t="str">
        <x:v>Источник Actions.Track Target</x:v>
      </x:c>
    </x:row>
    <x:row r="813" ht="36" customHeight="1">
      <x:c r="A813" s="118" t="n">
        <x:v>808</x:v>
      </x:c>
      <x:c r="B813" s="35" t="str">
        <x:v>action</x:v>
      </x:c>
      <x:c r="C813" s="35" t="str">
        <x:v>kangaroo_bounding_step</x:v>
      </x:c>
      <x:c r="D813" s="35" t="str">
        <x:v>block_base_chance_fp</x:v>
      </x:c>
      <x:c r="E813" s="38" t="str">
        <x:v>int</x:v>
      </x:c>
      <x:c r="F813" s="56" t="n">
        <x:f>'Actions'!AL18</x:f>
        <x:v>0</x:v>
      </x:c>
      <x:c r="G813" s="38" t="str"/>
      <x:c r="H813" s="35" t="str">
        <x:v>Actions</x:v>
      </x:c>
      <x:c r="I813" s="35" t="str">
        <x:v>AL18</x:v>
      </x:c>
      <x:c r="J813" s="85" t="b">
        <x:v>1</x:v>
      </x:c>
      <x:c r="K813" s="85" t="b">
        <x:v>1</x:v>
      </x:c>
      <x:c r="L813" s="56" t="str">
        <x:f>'Actions'!BE18</x:f>
        <x:v>OK</x:v>
      </x:c>
      <x:c r="M813" s="44" t="str">
        <x:v>Источник Actions.Block Base Chance FP</x:v>
      </x:c>
    </x:row>
    <x:row r="814" ht="36" customHeight="1">
      <x:c r="A814" s="118" t="n">
        <x:v>809</x:v>
      </x:c>
      <x:c r="B814" s="35" t="str">
        <x:v>action</x:v>
      </x:c>
      <x:c r="C814" s="35" t="str">
        <x:v>kangaroo_bounding_step</x:v>
      </x:c>
      <x:c r="D814" s="35" t="str">
        <x:v>block_reduction_fp</x:v>
      </x:c>
      <x:c r="E814" s="38" t="str">
        <x:v>int</x:v>
      </x:c>
      <x:c r="F814" s="56" t="n">
        <x:f>'Actions'!AM18</x:f>
        <x:v>0</x:v>
      </x:c>
      <x:c r="G814" s="38" t="str"/>
      <x:c r="H814" s="35" t="str">
        <x:v>Actions</x:v>
      </x:c>
      <x:c r="I814" s="35" t="str">
        <x:v>AM18</x:v>
      </x:c>
      <x:c r="J814" s="85" t="b">
        <x:v>1</x:v>
      </x:c>
      <x:c r="K814" s="85" t="b">
        <x:v>1</x:v>
      </x:c>
      <x:c r="L814" s="56" t="str">
        <x:f>'Actions'!BE18</x:f>
        <x:v>OK</x:v>
      </x:c>
      <x:c r="M814" s="44" t="str">
        <x:v>Источник Actions.Block Reduction FP</x:v>
      </x:c>
    </x:row>
    <x:row r="815" ht="36" customHeight="1">
      <x:c r="A815" s="118" t="n">
        <x:v>810</x:v>
      </x:c>
      <x:c r="B815" s="35" t="str">
        <x:v>action</x:v>
      </x:c>
      <x:c r="C815" s="35" t="str">
        <x:v>kangaroo_bounding_step</x:v>
      </x:c>
      <x:c r="D815" s="35" t="str">
        <x:v>dodge_base_chance_fp</x:v>
      </x:c>
      <x:c r="E815" s="38" t="str">
        <x:v>int</x:v>
      </x:c>
      <x:c r="F815" s="56" t="n">
        <x:f>'Actions'!AN18</x:f>
        <x:v>0</x:v>
      </x:c>
      <x:c r="G815" s="38" t="str"/>
      <x:c r="H815" s="35" t="str">
        <x:v>Actions</x:v>
      </x:c>
      <x:c r="I815" s="35" t="str">
        <x:v>AN18</x:v>
      </x:c>
      <x:c r="J815" s="85" t="b">
        <x:v>1</x:v>
      </x:c>
      <x:c r="K815" s="85" t="b">
        <x:v>1</x:v>
      </x:c>
      <x:c r="L815" s="56" t="str">
        <x:f>'Actions'!BE18</x:f>
        <x:v>OK</x:v>
      </x:c>
      <x:c r="M815" s="44" t="str">
        <x:v>Источник Actions.Dodge Base Chance FP</x:v>
      </x:c>
    </x:row>
    <x:row r="816" ht="36" customHeight="1">
      <x:c r="A816" s="118" t="n">
        <x:v>811</x:v>
      </x:c>
      <x:c r="B816" s="35" t="str">
        <x:v>action</x:v>
      </x:c>
      <x:c r="C816" s="35" t="str">
        <x:v>kangaroo_bounding_step</x:v>
      </x:c>
      <x:c r="D816" s="35" t="str">
        <x:v>movement_mode</x:v>
      </x:c>
      <x:c r="E816" s="38" t="str">
        <x:v>string</x:v>
      </x:c>
      <x:c r="F816" s="56" t="str">
        <x:f>'Actions'!AO18</x:f>
        <x:v>Adaptive</x:v>
      </x:c>
      <x:c r="G816" s="38" t="str"/>
      <x:c r="H816" s="35" t="str">
        <x:v>Actions</x:v>
      </x:c>
      <x:c r="I816" s="35" t="str">
        <x:v>AO18</x:v>
      </x:c>
      <x:c r="J816" s="85" t="b">
        <x:v>1</x:v>
      </x:c>
      <x:c r="K816" s="85" t="b">
        <x:v>1</x:v>
      </x:c>
      <x:c r="L816" s="56" t="str">
        <x:f>'Actions'!BE18</x:f>
        <x:v>OK</x:v>
      </x:c>
      <x:c r="M816" s="44" t="str">
        <x:v>Источник Actions.Movement Mode</x:v>
      </x:c>
    </x:row>
    <x:row r="817" ht="36" customHeight="1">
      <x:c r="A817" s="118" t="n">
        <x:v>812</x:v>
      </x:c>
      <x:c r="B817" s="35" t="str">
        <x:v>action</x:v>
      </x:c>
      <x:c r="C817" s="35" t="str">
        <x:v>kangaroo_bounding_step</x:v>
      </x:c>
      <x:c r="D817" s="35" t="str">
        <x:v>move_distance</x:v>
      </x:c>
      <x:c r="E817" s="38" t="str">
        <x:v>int</x:v>
      </x:c>
      <x:c r="F817" s="56" t="n">
        <x:f>'Actions'!AP18</x:f>
        <x:v>850</x:v>
      </x:c>
      <x:c r="G817" s="38" t="str"/>
      <x:c r="H817" s="35" t="str">
        <x:v>Actions</x:v>
      </x:c>
      <x:c r="I817" s="35" t="str">
        <x:v>AP18</x:v>
      </x:c>
      <x:c r="J817" s="85" t="b">
        <x:v>1</x:v>
      </x:c>
      <x:c r="K817" s="85" t="b">
        <x:v>1</x:v>
      </x:c>
      <x:c r="L817" s="56" t="str">
        <x:f>'Actions'!BE18</x:f>
        <x:v>OK</x:v>
      </x:c>
      <x:c r="M817" s="44" t="str">
        <x:v>Источник Actions.Move Distance</x:v>
      </x:c>
    </x:row>
    <x:row r="818" ht="36" customHeight="1">
      <x:c r="A818" s="118" t="n">
        <x:v>813</x:v>
      </x:c>
      <x:c r="B818" s="35" t="str">
        <x:v>action</x:v>
      </x:c>
      <x:c r="C818" s="35" t="str">
        <x:v>kangaroo_bounding_step</x:v>
      </x:c>
      <x:c r="D818" s="35" t="str">
        <x:v>base_stagger</x:v>
      </x:c>
      <x:c r="E818" s="38" t="str">
        <x:v>int</x:v>
      </x:c>
      <x:c r="F818" s="56" t="n">
        <x:f>'Actions'!AQ18</x:f>
        <x:v>0</x:v>
      </x:c>
      <x:c r="G818" s="38" t="str"/>
      <x:c r="H818" s="35" t="str">
        <x:v>Actions</x:v>
      </x:c>
      <x:c r="I818" s="35" t="str">
        <x:v>AQ18</x:v>
      </x:c>
      <x:c r="J818" s="85" t="b">
        <x:v>1</x:v>
      </x:c>
      <x:c r="K818" s="85" t="b">
        <x:v>1</x:v>
      </x:c>
      <x:c r="L818" s="56" t="str">
        <x:f>'Actions'!BE18</x:f>
        <x:v>OK</x:v>
      </x:c>
      <x:c r="M818" s="44" t="str">
        <x:v>Источник Actions.Base Stagger</x:v>
      </x:c>
    </x:row>
    <x:row r="819" ht="36" customHeight="1">
      <x:c r="A819" s="118" t="n">
        <x:v>814</x:v>
      </x:c>
      <x:c r="B819" s="35" t="str">
        <x:v>action</x:v>
      </x:c>
      <x:c r="C819" s="35" t="str">
        <x:v>kangaroo_bounding_step</x:v>
      </x:c>
      <x:c r="D819" s="35" t="str">
        <x:v>base_stun_ticks</x:v>
      </x:c>
      <x:c r="E819" s="38" t="str">
        <x:v>int</x:v>
      </x:c>
      <x:c r="F819" s="56" t="n">
        <x:f>'Actions'!AR18</x:f>
        <x:v>0</x:v>
      </x:c>
      <x:c r="G819" s="38" t="str"/>
      <x:c r="H819" s="35" t="str">
        <x:v>Actions</x:v>
      </x:c>
      <x:c r="I819" s="35" t="str">
        <x:v>AR18</x:v>
      </x:c>
      <x:c r="J819" s="85" t="b">
        <x:v>1</x:v>
      </x:c>
      <x:c r="K819" s="85" t="b">
        <x:v>1</x:v>
      </x:c>
      <x:c r="L819" s="56" t="str">
        <x:f>'Actions'!BE18</x:f>
        <x:v>OK</x:v>
      </x:c>
      <x:c r="M819" s="44" t="str">
        <x:v>Источник Actions.Base Stun Ticks</x:v>
      </x:c>
    </x:row>
    <x:row r="820" ht="36" customHeight="1">
      <x:c r="A820" s="118" t="n">
        <x:v>815</x:v>
      </x:c>
      <x:c r="B820" s="35" t="str">
        <x:v>action</x:v>
      </x:c>
      <x:c r="C820" s="35" t="str">
        <x:v>kangaroo_bounding_step</x:v>
      </x:c>
      <x:c r="D820" s="35" t="str">
        <x:v>base_knockback</x:v>
      </x:c>
      <x:c r="E820" s="38" t="str">
        <x:v>int</x:v>
      </x:c>
      <x:c r="F820" s="56" t="n">
        <x:f>'Actions'!AS18</x:f>
        <x:v>0</x:v>
      </x:c>
      <x:c r="G820" s="38" t="str"/>
      <x:c r="H820" s="35" t="str">
        <x:v>Actions</x:v>
      </x:c>
      <x:c r="I820" s="35" t="str">
        <x:v>AS18</x:v>
      </x:c>
      <x:c r="J820" s="85" t="b">
        <x:v>1</x:v>
      </x:c>
      <x:c r="K820" s="85" t="b">
        <x:v>1</x:v>
      </x:c>
      <x:c r="L820" s="56" t="str">
        <x:f>'Actions'!BE18</x:f>
        <x:v>OK</x:v>
      </x:c>
      <x:c r="M820" s="44" t="str">
        <x:v>Источник Actions.Base Knockback</x:v>
      </x:c>
    </x:row>
    <x:row r="821" ht="36" customHeight="1">
      <x:c r="A821" s="118" t="n">
        <x:v>816</x:v>
      </x:c>
      <x:c r="B821" s="35" t="str">
        <x:v>action</x:v>
      </x:c>
      <x:c r="C821" s="35" t="str">
        <x:v>kangaroo_bounding_step</x:v>
      </x:c>
      <x:c r="D821" s="35" t="str">
        <x:v>knockback_min</x:v>
      </x:c>
      <x:c r="E821" s="38" t="str">
        <x:v>int</x:v>
      </x:c>
      <x:c r="F821" s="56" t="n">
        <x:f>'Actions'!AT18</x:f>
        <x:v>0</x:v>
      </x:c>
      <x:c r="G821" s="38" t="str"/>
      <x:c r="H821" s="35" t="str">
        <x:v>Actions</x:v>
      </x:c>
      <x:c r="I821" s="35" t="str">
        <x:v>AT18</x:v>
      </x:c>
      <x:c r="J821" s="85" t="b">
        <x:v>1</x:v>
      </x:c>
      <x:c r="K821" s="85" t="b">
        <x:v>1</x:v>
      </x:c>
      <x:c r="L821" s="56" t="str">
        <x:f>'Actions'!BE18</x:f>
        <x:v>OK</x:v>
      </x:c>
      <x:c r="M821" s="44" t="str">
        <x:v>Источник Actions.Knockback Min</x:v>
      </x:c>
    </x:row>
    <x:row r="822" ht="36" customHeight="1">
      <x:c r="A822" s="118" t="n">
        <x:v>817</x:v>
      </x:c>
      <x:c r="B822" s="35" t="str">
        <x:v>action</x:v>
      </x:c>
      <x:c r="C822" s="35" t="str">
        <x:v>kangaroo_bounding_step</x:v>
      </x:c>
      <x:c r="D822" s="35" t="str">
        <x:v>knockback_max</x:v>
      </x:c>
      <x:c r="E822" s="38" t="str">
        <x:v>int</x:v>
      </x:c>
      <x:c r="F822" s="56" t="n">
        <x:f>'Actions'!AU18</x:f>
        <x:v>0</x:v>
      </x:c>
      <x:c r="G822" s="38" t="str"/>
      <x:c r="H822" s="35" t="str">
        <x:v>Actions</x:v>
      </x:c>
      <x:c r="I822" s="35" t="str">
        <x:v>AU18</x:v>
      </x:c>
      <x:c r="J822" s="85" t="b">
        <x:v>1</x:v>
      </x:c>
      <x:c r="K822" s="85" t="b">
        <x:v>1</x:v>
      </x:c>
      <x:c r="L822" s="56" t="str">
        <x:f>'Actions'!BE18</x:f>
        <x:v>OK</x:v>
      </x:c>
      <x:c r="M822" s="44" t="str">
        <x:v>Источник Actions.Knockback Max</x:v>
      </x:c>
    </x:row>
    <x:row r="823" ht="36" customHeight="1">
      <x:c r="A823" s="118" t="n">
        <x:v>818</x:v>
      </x:c>
      <x:c r="B823" s="35" t="str">
        <x:v>action</x:v>
      </x:c>
      <x:c r="C823" s="35" t="str">
        <x:v>kangaroo_bounding_step</x:v>
      </x:c>
      <x:c r="D823" s="35" t="str">
        <x:v>wall_damage_per_unit_fp</x:v>
      </x:c>
      <x:c r="E823" s="38" t="str">
        <x:v>int</x:v>
      </x:c>
      <x:c r="F823" s="56" t="n">
        <x:f>'Actions'!AV18</x:f>
        <x:v>0</x:v>
      </x:c>
      <x:c r="G823" s="38" t="str"/>
      <x:c r="H823" s="35" t="str">
        <x:v>Actions</x:v>
      </x:c>
      <x:c r="I823" s="35" t="str">
        <x:v>AV18</x:v>
      </x:c>
      <x:c r="J823" s="85" t="b">
        <x:v>1</x:v>
      </x:c>
      <x:c r="K823" s="85" t="b">
        <x:v>1</x:v>
      </x:c>
      <x:c r="L823" s="56" t="str">
        <x:f>'Actions'!BE18</x:f>
        <x:v>OK</x:v>
      </x:c>
      <x:c r="M823" s="44" t="str">
        <x:v>Источник Actions.Wall Damage / Unit FP</x:v>
      </x:c>
    </x:row>
    <x:row r="824" ht="36" customHeight="1">
      <x:c r="A824" s="118" t="n">
        <x:v>819</x:v>
      </x:c>
      <x:c r="B824" s="35" t="str">
        <x:v>action</x:v>
      </x:c>
      <x:c r="C824" s="35" t="str">
        <x:v>kangaroo_bounding_step</x:v>
      </x:c>
      <x:c r="D824" s="35" t="str">
        <x:v>wall_damage_min</x:v>
      </x:c>
      <x:c r="E824" s="38" t="str">
        <x:v>int</x:v>
      </x:c>
      <x:c r="F824" s="56" t="n">
        <x:f>'Actions'!AW18</x:f>
        <x:v>0</x:v>
      </x:c>
      <x:c r="G824" s="38" t="str"/>
      <x:c r="H824" s="35" t="str">
        <x:v>Actions</x:v>
      </x:c>
      <x:c r="I824" s="35" t="str">
        <x:v>AW18</x:v>
      </x:c>
      <x:c r="J824" s="85" t="b">
        <x:v>1</x:v>
      </x:c>
      <x:c r="K824" s="85" t="b">
        <x:v>1</x:v>
      </x:c>
      <x:c r="L824" s="56" t="str">
        <x:f>'Actions'!BE18</x:f>
        <x:v>OK</x:v>
      </x:c>
      <x:c r="M824" s="44" t="str">
        <x:v>Источник Actions.Wall Damage Min</x:v>
      </x:c>
    </x:row>
    <x:row r="825" ht="36" customHeight="1">
      <x:c r="A825" s="118" t="n">
        <x:v>820</x:v>
      </x:c>
      <x:c r="B825" s="35" t="str">
        <x:v>action</x:v>
      </x:c>
      <x:c r="C825" s="35" t="str">
        <x:v>kangaroo_bounding_step</x:v>
      </x:c>
      <x:c r="D825" s="35" t="str">
        <x:v>wall_damage_max</x:v>
      </x:c>
      <x:c r="E825" s="38" t="str">
        <x:v>int</x:v>
      </x:c>
      <x:c r="F825" s="56" t="n">
        <x:f>'Actions'!AX18</x:f>
        <x:v>0</x:v>
      </x:c>
      <x:c r="G825" s="38" t="str"/>
      <x:c r="H825" s="35" t="str">
        <x:v>Actions</x:v>
      </x:c>
      <x:c r="I825" s="35" t="str">
        <x:v>AX18</x:v>
      </x:c>
      <x:c r="J825" s="85" t="b">
        <x:v>1</x:v>
      </x:c>
      <x:c r="K825" s="85" t="b">
        <x:v>1</x:v>
      </x:c>
      <x:c r="L825" s="56" t="str">
        <x:f>'Actions'!BE18</x:f>
        <x:v>OK</x:v>
      </x:c>
      <x:c r="M825" s="44" t="str">
        <x:v>Источник Actions.Wall Damage Max</x:v>
      </x:c>
    </x:row>
    <x:row r="826" ht="36" customHeight="1">
      <x:c r="A826" s="118" t="n">
        <x:v>821</x:v>
      </x:c>
      <x:c r="B826" s="35" t="str">
        <x:v>action</x:v>
      </x:c>
      <x:c r="C826" s="35" t="str">
        <x:v>kangaroo_bounding_step</x:v>
      </x:c>
      <x:c r="D826" s="35" t="str">
        <x:v>max_consecutive_uses</x:v>
      </x:c>
      <x:c r="E826" s="38" t="str">
        <x:v>int</x:v>
      </x:c>
      <x:c r="F826" s="56" t="n">
        <x:f>'Actions'!AY18</x:f>
        <x:v>3</x:v>
      </x:c>
      <x:c r="G826" s="38" t="str"/>
      <x:c r="H826" s="35" t="str">
        <x:v>Actions</x:v>
      </x:c>
      <x:c r="I826" s="35" t="str">
        <x:v>AY18</x:v>
      </x:c>
      <x:c r="J826" s="85" t="b">
        <x:v>1</x:v>
      </x:c>
      <x:c r="K826" s="85" t="b">
        <x:v>1</x:v>
      </x:c>
      <x:c r="L826" s="56" t="str">
        <x:f>'Actions'!BE18</x:f>
        <x:v>OK</x:v>
      </x:c>
      <x:c r="M826" s="44" t="str">
        <x:v>Источник Actions.Max Consecutive Uses</x:v>
      </x:c>
    </x:row>
    <x:row r="827" ht="36" customHeight="1">
      <x:c r="A827" s="118" t="n">
        <x:v>822</x:v>
      </x:c>
      <x:c r="B827" s="35" t="str">
        <x:v>action</x:v>
      </x:c>
      <x:c r="C827" s="35" t="str">
        <x:v>kangaroo_bounding_step</x:v>
      </x:c>
      <x:c r="D827" s="35" t="str">
        <x:v>opportunity_cap_fp</x:v>
      </x:c>
      <x:c r="E827" s="38" t="str">
        <x:v>int</x:v>
      </x:c>
      <x:c r="F827" s="56" t="n">
        <x:f>'Actions'!AZ18</x:f>
        <x:v>1000</x:v>
      </x:c>
      <x:c r="G827" s="38" t="str"/>
      <x:c r="H827" s="35" t="str">
        <x:v>Actions</x:v>
      </x:c>
      <x:c r="I827" s="35" t="str">
        <x:v>AZ18</x:v>
      </x:c>
      <x:c r="J827" s="85" t="b">
        <x:v>1</x:v>
      </x:c>
      <x:c r="K827" s="85" t="b">
        <x:v>1</x:v>
      </x:c>
      <x:c r="L827" s="56" t="str">
        <x:f>'Actions'!BE18</x:f>
        <x:v>OK</x:v>
      </x:c>
      <x:c r="M827" s="44" t="str">
        <x:v>Источник Actions.Opportunity Cap FP</x:v>
      </x:c>
    </x:row>
    <x:row r="828" ht="36" customHeight="1">
      <x:c r="A828" s="118" t="n">
        <x:v>823</x:v>
      </x:c>
      <x:c r="B828" s="35" t="str">
        <x:v>action</x:v>
      </x:c>
      <x:c r="C828" s="35" t="str">
        <x:v>kangaroo_bounding_step</x:v>
      </x:c>
      <x:c r="D828" s="35" t="str">
        <x:v>hard_opportunity_misses</x:v>
      </x:c>
      <x:c r="E828" s="38" t="str">
        <x:v>int</x:v>
      </x:c>
      <x:c r="F828" s="56" t="n">
        <x:f>'Actions'!BA18</x:f>
        <x:v>0</x:v>
      </x:c>
      <x:c r="G828" s="38" t="str"/>
      <x:c r="H828" s="35" t="str">
        <x:v>Actions</x:v>
      </x:c>
      <x:c r="I828" s="35" t="str">
        <x:v>BA18</x:v>
      </x:c>
      <x:c r="J828" s="85" t="b">
        <x:v>1</x:v>
      </x:c>
      <x:c r="K828" s="85" t="b">
        <x:v>1</x:v>
      </x:c>
      <x:c r="L828" s="56" t="str">
        <x:f>'Actions'!BE18</x:f>
        <x:v>OK</x:v>
      </x:c>
      <x:c r="M828" s="44" t="str">
        <x:v>Источник Actions.Hard Opportunity Misses</x:v>
      </x:c>
    </x:row>
    <x:row r="829" ht="36" customHeight="1">
      <x:c r="A829" s="118" t="n">
        <x:v>824</x:v>
      </x:c>
      <x:c r="B829" s="35" t="str">
        <x:v>action</x:v>
      </x:c>
      <x:c r="C829" s="35" t="str">
        <x:v>kangaroo_slip_hop</x:v>
      </x:c>
      <x:c r="D829" s="35" t="str">
        <x:v>action_id</x:v>
      </x:c>
      <x:c r="E829" s="38" t="str">
        <x:v>string</x:v>
      </x:c>
      <x:c r="F829" s="56" t="str">
        <x:f>'Actions'!A19</x:f>
        <x:v>kangaroo_slip_hop</x:v>
      </x:c>
      <x:c r="G829" s="38" t="str"/>
      <x:c r="H829" s="35" t="str">
        <x:v>Actions</x:v>
      </x:c>
      <x:c r="I829" s="35" t="str">
        <x:v>A19</x:v>
      </x:c>
      <x:c r="J829" s="85" t="b">
        <x:v>1</x:v>
      </x:c>
      <x:c r="K829" s="85" t="b">
        <x:v>1</x:v>
      </x:c>
      <x:c r="L829" s="56" t="str">
        <x:f>'Actions'!BE19</x:f>
        <x:v>OK</x:v>
      </x:c>
      <x:c r="M829" s="44" t="str">
        <x:v>Источник Actions.Action ID</x:v>
      </x:c>
    </x:row>
    <x:row r="830" ht="36" customHeight="1">
      <x:c r="A830" s="118" t="n">
        <x:v>825</x:v>
      </x:c>
      <x:c r="B830" s="35" t="str">
        <x:v>action</x:v>
      </x:c>
      <x:c r="C830" s="35" t="str">
        <x:v>kangaroo_slip_hop</x:v>
      </x:c>
      <x:c r="D830" s="35" t="str">
        <x:v>animal_id</x:v>
      </x:c>
      <x:c r="E830" s="38" t="str">
        <x:v>string</x:v>
      </x:c>
      <x:c r="F830" s="56" t="str">
        <x:f>'Actions'!B19</x:f>
        <x:v>kangaroo</x:v>
      </x:c>
      <x:c r="G830" s="38" t="str"/>
      <x:c r="H830" s="35" t="str">
        <x:v>Actions</x:v>
      </x:c>
      <x:c r="I830" s="35" t="str">
        <x:v>B19</x:v>
      </x:c>
      <x:c r="J830" s="85" t="b">
        <x:v>1</x:v>
      </x:c>
      <x:c r="K830" s="85" t="b">
        <x:v>1</x:v>
      </x:c>
      <x:c r="L830" s="56" t="str">
        <x:f>'Actions'!BE19</x:f>
        <x:v>OK</x:v>
      </x:c>
      <x:c r="M830" s="44" t="str">
        <x:v>Источник Actions.Animal ID</x:v>
      </x:c>
    </x:row>
    <x:row r="831" ht="36" customHeight="1">
      <x:c r="A831" s="118" t="n">
        <x:v>826</x:v>
      </x:c>
      <x:c r="B831" s="35" t="str">
        <x:v>action</x:v>
      </x:c>
      <x:c r="C831" s="35" t="str">
        <x:v>kangaroo_slip_hop</x:v>
      </x:c>
      <x:c r="D831" s="35" t="str">
        <x:v>slot_type</x:v>
      </x:c>
      <x:c r="E831" s="38" t="str">
        <x:v>string</x:v>
      </x:c>
      <x:c r="F831" s="56" t="str">
        <x:f>'Actions'!D19</x:f>
        <x:v>Basic</x:v>
      </x:c>
      <x:c r="G831" s="38" t="str"/>
      <x:c r="H831" s="35" t="str">
        <x:v>Actions</x:v>
      </x:c>
      <x:c r="I831" s="35" t="str">
        <x:v>D19</x:v>
      </x:c>
      <x:c r="J831" s="85" t="b">
        <x:v>1</x:v>
      </x:c>
      <x:c r="K831" s="85" t="b">
        <x:v>1</x:v>
      </x:c>
      <x:c r="L831" s="56" t="str">
        <x:f>'Actions'!BE19</x:f>
        <x:v>OK</x:v>
      </x:c>
      <x:c r="M831" s="44" t="str">
        <x:v>Источник Actions.Slot Type</x:v>
      </x:c>
    </x:row>
    <x:row r="832" ht="36" customHeight="1">
      <x:c r="A832" s="118" t="n">
        <x:v>827</x:v>
      </x:c>
      <x:c r="B832" s="35" t="str">
        <x:v>action</x:v>
      </x:c>
      <x:c r="C832" s="35" t="str">
        <x:v>kangaroo_slip_hop</x:v>
      </x:c>
      <x:c r="D832" s="35" t="str">
        <x:v>category</x:v>
      </x:c>
      <x:c r="E832" s="38" t="str">
        <x:v>string</x:v>
      </x:c>
      <x:c r="F832" s="56" t="str">
        <x:f>'Actions'!E19</x:f>
        <x:v>DodgeMovement</x:v>
      </x:c>
      <x:c r="G832" s="38" t="str"/>
      <x:c r="H832" s="35" t="str">
        <x:v>Actions</x:v>
      </x:c>
      <x:c r="I832" s="35" t="str">
        <x:v>E19</x:v>
      </x:c>
      <x:c r="J832" s="85" t="b">
        <x:v>1</x:v>
      </x:c>
      <x:c r="K832" s="85" t="b">
        <x:v>1</x:v>
      </x:c>
      <x:c r="L832" s="56" t="str">
        <x:f>'Actions'!BE19</x:f>
        <x:v>OK</x:v>
      </x:c>
      <x:c r="M832" s="44" t="str">
        <x:v>Источник Actions.Category</x:v>
      </x:c>
    </x:row>
    <x:row r="833" ht="36" customHeight="1">
      <x:c r="A833" s="118" t="n">
        <x:v>828</x:v>
      </x:c>
      <x:c r="B833" s="35" t="str">
        <x:v>action</x:v>
      </x:c>
      <x:c r="C833" s="35" t="str">
        <x:v>kangaroo_slip_hop</x:v>
      </x:c>
      <x:c r="D833" s="35" t="str">
        <x:v>tags</x:v>
      </x:c>
      <x:c r="E833" s="38" t="str">
        <x:v>string</x:v>
      </x:c>
      <x:c r="F833" s="56" t="str">
        <x:f>'Actions'!F19</x:f>
        <x:v>dodge|retreat|tempo|evade_grab</x:v>
      </x:c>
      <x:c r="G833" s="38" t="str"/>
      <x:c r="H833" s="35" t="str">
        <x:v>Actions</x:v>
      </x:c>
      <x:c r="I833" s="35" t="str">
        <x:v>F19</x:v>
      </x:c>
      <x:c r="J833" s="85" t="b">
        <x:v>1</x:v>
      </x:c>
      <x:c r="K833" s="85" t="b">
        <x:v>1</x:v>
      </x:c>
      <x:c r="L833" s="56" t="str">
        <x:f>'Actions'!BE19</x:f>
        <x:v>OK</x:v>
      </x:c>
      <x:c r="M833" s="44" t="str">
        <x:v>Источник Actions.Tags</x:v>
      </x:c>
    </x:row>
    <x:row r="834" ht="36" customHeight="1">
      <x:c r="A834" s="118" t="n">
        <x:v>829</x:v>
      </x:c>
      <x:c r="B834" s="35" t="str">
        <x:v>action</x:v>
      </x:c>
      <x:c r="C834" s="35" t="str">
        <x:v>kangaroo_slip_hop</x:v>
      </x:c>
      <x:c r="D834" s="35" t="str">
        <x:v>base_weight</x:v>
      </x:c>
      <x:c r="E834" s="38" t="str">
        <x:v>int</x:v>
      </x:c>
      <x:c r="F834" s="56" t="n">
        <x:f>'Actions'!G19</x:f>
        <x:v>650</x:v>
      </x:c>
      <x:c r="G834" s="38" t="str"/>
      <x:c r="H834" s="35" t="str">
        <x:v>Actions</x:v>
      </x:c>
      <x:c r="I834" s="35" t="str">
        <x:v>G19</x:v>
      </x:c>
      <x:c r="J834" s="85" t="b">
        <x:v>1</x:v>
      </x:c>
      <x:c r="K834" s="85" t="b">
        <x:v>1</x:v>
      </x:c>
      <x:c r="L834" s="56" t="str">
        <x:f>'Actions'!BE19</x:f>
        <x:v>OK</x:v>
      </x:c>
      <x:c r="M834" s="44" t="str">
        <x:v>Источник Actions.Base Weight</x:v>
      </x:c>
    </x:row>
    <x:row r="835" ht="36" customHeight="1">
      <x:c r="A835" s="118" t="n">
        <x:v>830</x:v>
      </x:c>
      <x:c r="B835" s="35" t="str">
        <x:v>action</x:v>
      </x:c>
      <x:c r="C835" s="35" t="str">
        <x:v>kangaroo_slip_hop</x:v>
      </x:c>
      <x:c r="D835" s="35" t="str">
        <x:v>preferred_range_min</x:v>
      </x:c>
      <x:c r="E835" s="38" t="str">
        <x:v>int</x:v>
      </x:c>
      <x:c r="F835" s="56" t="n">
        <x:f>'Actions'!H19</x:f>
        <x:v>1200</x:v>
      </x:c>
      <x:c r="G835" s="38" t="str"/>
      <x:c r="H835" s="35" t="str">
        <x:v>Actions</x:v>
      </x:c>
      <x:c r="I835" s="35" t="str">
        <x:v>H19</x:v>
      </x:c>
      <x:c r="J835" s="85" t="b">
        <x:v>1</x:v>
      </x:c>
      <x:c r="K835" s="85" t="b">
        <x:v>1</x:v>
      </x:c>
      <x:c r="L835" s="56" t="str">
        <x:f>'Actions'!BE19</x:f>
        <x:v>OK</x:v>
      </x:c>
      <x:c r="M835" s="44" t="str">
        <x:v>Источник Actions.Preferred Range Min</x:v>
      </x:c>
    </x:row>
    <x:row r="836" ht="36" customHeight="1">
      <x:c r="A836" s="118" t="n">
        <x:v>831</x:v>
      </x:c>
      <x:c r="B836" s="35" t="str">
        <x:v>action</x:v>
      </x:c>
      <x:c r="C836" s="35" t="str">
        <x:v>kangaroo_slip_hop</x:v>
      </x:c>
      <x:c r="D836" s="35" t="str">
        <x:v>preferred_range_max</x:v>
      </x:c>
      <x:c r="E836" s="38" t="str">
        <x:v>int</x:v>
      </x:c>
      <x:c r="F836" s="56" t="n">
        <x:f>'Actions'!I19</x:f>
        <x:v>2500</x:v>
      </x:c>
      <x:c r="G836" s="38" t="str"/>
      <x:c r="H836" s="35" t="str">
        <x:v>Actions</x:v>
      </x:c>
      <x:c r="I836" s="35" t="str">
        <x:v>I19</x:v>
      </x:c>
      <x:c r="J836" s="85" t="b">
        <x:v>1</x:v>
      </x:c>
      <x:c r="K836" s="85" t="b">
        <x:v>1</x:v>
      </x:c>
      <x:c r="L836" s="56" t="str">
        <x:f>'Actions'!BE19</x:f>
        <x:v>OK</x:v>
      </x:c>
      <x:c r="M836" s="44" t="str">
        <x:v>Источник Actions.Preferred Range Max</x:v>
      </x:c>
    </x:row>
    <x:row r="837" ht="36" customHeight="1">
      <x:c r="A837" s="118" t="n">
        <x:v>832</x:v>
      </x:c>
      <x:c r="B837" s="35" t="str">
        <x:v>action</x:v>
      </x:c>
      <x:c r="C837" s="35" t="str">
        <x:v>kangaroo_slip_hop</x:v>
      </x:c>
      <x:c r="D837" s="35" t="str">
        <x:v>hit_range_min</x:v>
      </x:c>
      <x:c r="E837" s="38" t="str">
        <x:v>int</x:v>
      </x:c>
      <x:c r="F837" s="56" t="n">
        <x:f>'Actions'!J19</x:f>
        <x:v>0</x:v>
      </x:c>
      <x:c r="G837" s="38" t="str"/>
      <x:c r="H837" s="35" t="str">
        <x:v>Actions</x:v>
      </x:c>
      <x:c r="I837" s="35" t="str">
        <x:v>J19</x:v>
      </x:c>
      <x:c r="J837" s="85" t="b">
        <x:v>1</x:v>
      </x:c>
      <x:c r="K837" s="85" t="b">
        <x:v>1</x:v>
      </x:c>
      <x:c r="L837" s="56" t="str">
        <x:f>'Actions'!BE19</x:f>
        <x:v>OK</x:v>
      </x:c>
      <x:c r="M837" s="44" t="str">
        <x:v>Источник Actions.Hit Range Min</x:v>
      </x:c>
    </x:row>
    <x:row r="838" ht="36" customHeight="1">
      <x:c r="A838" s="118" t="n">
        <x:v>833</x:v>
      </x:c>
      <x:c r="B838" s="35" t="str">
        <x:v>action</x:v>
      </x:c>
      <x:c r="C838" s="35" t="str">
        <x:v>kangaroo_slip_hop</x:v>
      </x:c>
      <x:c r="D838" s="35" t="str">
        <x:v>hit_range_max</x:v>
      </x:c>
      <x:c r="E838" s="38" t="str">
        <x:v>int</x:v>
      </x:c>
      <x:c r="F838" s="56" t="n">
        <x:f>'Actions'!K19</x:f>
        <x:v>0</x:v>
      </x:c>
      <x:c r="G838" s="38" t="str"/>
      <x:c r="H838" s="35" t="str">
        <x:v>Actions</x:v>
      </x:c>
      <x:c r="I838" s="35" t="str">
        <x:v>K19</x:v>
      </x:c>
      <x:c r="J838" s="85" t="b">
        <x:v>1</x:v>
      </x:c>
      <x:c r="K838" s="85" t="b">
        <x:v>1</x:v>
      </x:c>
      <x:c r="L838" s="56" t="str">
        <x:f>'Actions'!BE19</x:f>
        <x:v>OK</x:v>
      </x:c>
      <x:c r="M838" s="44" t="str">
        <x:v>Источник Actions.Hit Range Max</x:v>
      </x:c>
    </x:row>
    <x:row r="839" ht="36" customHeight="1">
      <x:c r="A839" s="118" t="n">
        <x:v>834</x:v>
      </x:c>
      <x:c r="B839" s="35" t="str">
        <x:v>action</x:v>
      </x:c>
      <x:c r="C839" s="35" t="str">
        <x:v>kangaroo_slip_hop</x:v>
      </x:c>
      <x:c r="D839" s="35" t="str">
        <x:v>energy_cost</x:v>
      </x:c>
      <x:c r="E839" s="38" t="str">
        <x:v>int</x:v>
      </x:c>
      <x:c r="F839" s="56" t="n">
        <x:f>'Actions'!L19</x:f>
        <x:v>100</x:v>
      </x:c>
      <x:c r="G839" s="38" t="str"/>
      <x:c r="H839" s="35" t="str">
        <x:v>Actions</x:v>
      </x:c>
      <x:c r="I839" s="35" t="str">
        <x:v>L19</x:v>
      </x:c>
      <x:c r="J839" s="85" t="b">
        <x:v>1</x:v>
      </x:c>
      <x:c r="K839" s="85" t="b">
        <x:v>1</x:v>
      </x:c>
      <x:c r="L839" s="56" t="str">
        <x:f>'Actions'!BE19</x:f>
        <x:v>OK</x:v>
      </x:c>
      <x:c r="M839" s="44" t="str">
        <x:v>Источник Actions.Energy Cost</x:v>
      </x:c>
    </x:row>
    <x:row r="840" ht="36" customHeight="1">
      <x:c r="A840" s="118" t="n">
        <x:v>835</x:v>
      </x:c>
      <x:c r="B840" s="35" t="str">
        <x:v>action</x:v>
      </x:c>
      <x:c r="C840" s="35" t="str">
        <x:v>kangaroo_slip_hop</x:v>
      </x:c>
      <x:c r="D840" s="35" t="str">
        <x:v>resource_cost</x:v>
      </x:c>
      <x:c r="E840" s="38" t="str">
        <x:v>int</x:v>
      </x:c>
      <x:c r="F840" s="56" t="n">
        <x:f>'Actions'!M19</x:f>
        <x:v>0</x:v>
      </x:c>
      <x:c r="G840" s="38" t="str"/>
      <x:c r="H840" s="35" t="str">
        <x:v>Actions</x:v>
      </x:c>
      <x:c r="I840" s="35" t="str">
        <x:v>M19</x:v>
      </x:c>
      <x:c r="J840" s="85" t="b">
        <x:v>1</x:v>
      </x:c>
      <x:c r="K840" s="85" t="b">
        <x:v>1</x:v>
      </x:c>
      <x:c r="L840" s="56" t="str">
        <x:f>'Actions'!BE19</x:f>
        <x:v>OK</x:v>
      </x:c>
      <x:c r="M840" s="44" t="str">
        <x:v>Источник Actions.Resource Cost</x:v>
      </x:c>
    </x:row>
    <x:row r="841" ht="36" customHeight="1">
      <x:c r="A841" s="118" t="n">
        <x:v>836</x:v>
      </x:c>
      <x:c r="B841" s="35" t="str">
        <x:v>action</x:v>
      </x:c>
      <x:c r="C841" s="35" t="str">
        <x:v>kangaroo_slip_hop</x:v>
      </x:c>
      <x:c r="D841" s="35" t="str">
        <x:v>base_damage</x:v>
      </x:c>
      <x:c r="E841" s="38" t="str">
        <x:v>int</x:v>
      </x:c>
      <x:c r="F841" s="56" t="n">
        <x:f>'Actions'!N19</x:f>
        <x:v>0</x:v>
      </x:c>
      <x:c r="G841" s="38" t="str"/>
      <x:c r="H841" s="35" t="str">
        <x:v>Actions</x:v>
      </x:c>
      <x:c r="I841" s="35" t="str">
        <x:v>N19</x:v>
      </x:c>
      <x:c r="J841" s="85" t="b">
        <x:v>1</x:v>
      </x:c>
      <x:c r="K841" s="85" t="b">
        <x:v>1</x:v>
      </x:c>
      <x:c r="L841" s="56" t="str">
        <x:f>'Actions'!BE19</x:f>
        <x:v>OK</x:v>
      </x:c>
      <x:c r="M841" s="44" t="str">
        <x:v>Источник Actions.Base Damage / hit</x:v>
      </x:c>
    </x:row>
    <x:row r="842" ht="36" customHeight="1">
      <x:c r="A842" s="118" t="n">
        <x:v>837</x:v>
      </x:c>
      <x:c r="B842" s="35" t="str">
        <x:v>action</x:v>
      </x:c>
      <x:c r="C842" s="35" t="str">
        <x:v>kangaroo_slip_hop</x:v>
      </x:c>
      <x:c r="D842" s="35" t="str">
        <x:v>power_ratio_fp</x:v>
      </x:c>
      <x:c r="E842" s="38" t="str">
        <x:v>int</x:v>
      </x:c>
      <x:c r="F842" s="56" t="n">
        <x:f>'Actions'!O19</x:f>
        <x:v>0</x:v>
      </x:c>
      <x:c r="G842" s="38" t="str"/>
      <x:c r="H842" s="35" t="str">
        <x:v>Actions</x:v>
      </x:c>
      <x:c r="I842" s="35" t="str">
        <x:v>O19</x:v>
      </x:c>
      <x:c r="J842" s="85" t="b">
        <x:v>1</x:v>
      </x:c>
      <x:c r="K842" s="85" t="b">
        <x:v>1</x:v>
      </x:c>
      <x:c r="L842" s="56" t="str">
        <x:f>'Actions'!BE19</x:f>
        <x:v>OK</x:v>
      </x:c>
      <x:c r="M842" s="44" t="str">
        <x:v>Источник Actions.Power Ratio FP</x:v>
      </x:c>
    </x:row>
    <x:row r="843" ht="36" customHeight="1">
      <x:c r="A843" s="118" t="n">
        <x:v>838</x:v>
      </x:c>
      <x:c r="B843" s="35" t="str">
        <x:v>action</x:v>
      </x:c>
      <x:c r="C843" s="35" t="str">
        <x:v>kangaroo_slip_hop</x:v>
      </x:c>
      <x:c r="D843" s="35" t="str">
        <x:v>min_damage</x:v>
      </x:c>
      <x:c r="E843" s="38" t="str">
        <x:v>int</x:v>
      </x:c>
      <x:c r="F843" s="56" t="n">
        <x:f>'Actions'!P19</x:f>
        <x:v>0</x:v>
      </x:c>
      <x:c r="G843" s="38" t="str"/>
      <x:c r="H843" s="35" t="str">
        <x:v>Actions</x:v>
      </x:c>
      <x:c r="I843" s="35" t="str">
        <x:v>P19</x:v>
      </x:c>
      <x:c r="J843" s="85" t="b">
        <x:v>1</x:v>
      </x:c>
      <x:c r="K843" s="85" t="b">
        <x:v>1</x:v>
      </x:c>
      <x:c r="L843" s="56" t="str">
        <x:f>'Actions'!BE19</x:f>
        <x:v>OK</x:v>
      </x:c>
      <x:c r="M843" s="44" t="str">
        <x:v>Источник Actions.Min Damage</x:v>
      </x:c>
    </x:row>
    <x:row r="844" ht="36" customHeight="1">
      <x:c r="A844" s="118" t="n">
        <x:v>839</x:v>
      </x:c>
      <x:c r="B844" s="35" t="str">
        <x:v>action</x:v>
      </x:c>
      <x:c r="C844" s="35" t="str">
        <x:v>kangaroo_slip_hop</x:v>
      </x:c>
      <x:c r="D844" s="35" t="str">
        <x:v>chip_min</x:v>
      </x:c>
      <x:c r="E844" s="38" t="str">
        <x:v>int</x:v>
      </x:c>
      <x:c r="F844" s="56" t="n">
        <x:f>'Actions'!Q19</x:f>
        <x:v>0</x:v>
      </x:c>
      <x:c r="G844" s="38" t="str"/>
      <x:c r="H844" s="35" t="str">
        <x:v>Actions</x:v>
      </x:c>
      <x:c r="I844" s="35" t="str">
        <x:v>Q19</x:v>
      </x:c>
      <x:c r="J844" s="85" t="b">
        <x:v>1</x:v>
      </x:c>
      <x:c r="K844" s="85" t="b">
        <x:v>1</x:v>
      </x:c>
      <x:c r="L844" s="56" t="str">
        <x:f>'Actions'!BE19</x:f>
        <x:v>OK</x:v>
      </x:c>
      <x:c r="M844" s="44" t="str">
        <x:v>Источник Actions.Chip Min</x:v>
      </x:c>
    </x:row>
    <x:row r="845" ht="36" customHeight="1">
      <x:c r="A845" s="118" t="n">
        <x:v>840</x:v>
      </x:c>
      <x:c r="B845" s="35" t="str">
        <x:v>action</x:v>
      </x:c>
      <x:c r="C845" s="35" t="str">
        <x:v>kangaroo_slip_hop</x:v>
      </x:c>
      <x:c r="D845" s="35" t="str">
        <x:v>startup_base_ticks</x:v>
      </x:c>
      <x:c r="E845" s="38" t="str">
        <x:v>int</x:v>
      </x:c>
      <x:c r="F845" s="56" t="n">
        <x:f>'Actions'!R19</x:f>
        <x:v>2</x:v>
      </x:c>
      <x:c r="G845" s="38" t="str"/>
      <x:c r="H845" s="35" t="str">
        <x:v>Actions</x:v>
      </x:c>
      <x:c r="I845" s="35" t="str">
        <x:v>R19</x:v>
      </x:c>
      <x:c r="J845" s="85" t="b">
        <x:v>1</x:v>
      </x:c>
      <x:c r="K845" s="85" t="b">
        <x:v>1</x:v>
      </x:c>
      <x:c r="L845" s="56" t="str">
        <x:f>'Actions'!BE19</x:f>
        <x:v>OK</x:v>
      </x:c>
      <x:c r="M845" s="44" t="str">
        <x:v>Источник Actions.Startup Base Ticks</x:v>
      </x:c>
    </x:row>
    <x:row r="846" ht="36" customHeight="1">
      <x:c r="A846" s="118" t="n">
        <x:v>841</x:v>
      </x:c>
      <x:c r="B846" s="35" t="str">
        <x:v>action</x:v>
      </x:c>
      <x:c r="C846" s="35" t="str">
        <x:v>kangaroo_slip_hop</x:v>
      </x:c>
      <x:c r="D846" s="35" t="str">
        <x:v>startup_min_ticks</x:v>
      </x:c>
      <x:c r="E846" s="38" t="str">
        <x:v>int</x:v>
      </x:c>
      <x:c r="F846" s="56" t="n">
        <x:f>'Actions'!S19</x:f>
        <x:v>1</x:v>
      </x:c>
      <x:c r="G846" s="38" t="str"/>
      <x:c r="H846" s="35" t="str">
        <x:v>Actions</x:v>
      </x:c>
      <x:c r="I846" s="35" t="str">
        <x:v>S19</x:v>
      </x:c>
      <x:c r="J846" s="85" t="b">
        <x:v>1</x:v>
      </x:c>
      <x:c r="K846" s="85" t="b">
        <x:v>1</x:v>
      </x:c>
      <x:c r="L846" s="56" t="str">
        <x:f>'Actions'!BE19</x:f>
        <x:v>OK</x:v>
      </x:c>
      <x:c r="M846" s="44" t="str">
        <x:v>Источник Actions.Startup Min Ticks</x:v>
      </x:c>
    </x:row>
    <x:row r="847" ht="36" customHeight="1">
      <x:c r="A847" s="118" t="n">
        <x:v>842</x:v>
      </x:c>
      <x:c r="B847" s="35" t="str">
        <x:v>action</x:v>
      </x:c>
      <x:c r="C847" s="35" t="str">
        <x:v>kangaroo_slip_hop</x:v>
      </x:c>
      <x:c r="D847" s="35" t="str">
        <x:v>startup_max_ticks</x:v>
      </x:c>
      <x:c r="E847" s="38" t="str">
        <x:v>int</x:v>
      </x:c>
      <x:c r="F847" s="56" t="n">
        <x:f>'Actions'!T19</x:f>
        <x:v>3</x:v>
      </x:c>
      <x:c r="G847" s="38" t="str"/>
      <x:c r="H847" s="35" t="str">
        <x:v>Actions</x:v>
      </x:c>
      <x:c r="I847" s="35" t="str">
        <x:v>T19</x:v>
      </x:c>
      <x:c r="J847" s="85" t="b">
        <x:v>1</x:v>
      </x:c>
      <x:c r="K847" s="85" t="b">
        <x:v>1</x:v>
      </x:c>
      <x:c r="L847" s="56" t="str">
        <x:f>'Actions'!BE19</x:f>
        <x:v>OK</x:v>
      </x:c>
      <x:c r="M847" s="44" t="str">
        <x:v>Источник Actions.Startup Max Ticks</x:v>
      </x:c>
    </x:row>
    <x:row r="848" ht="36" customHeight="1">
      <x:c r="A848" s="118" t="n">
        <x:v>843</x:v>
      </x:c>
      <x:c r="B848" s="35" t="str">
        <x:v>action</x:v>
      </x:c>
      <x:c r="C848" s="35" t="str">
        <x:v>kangaroo_slip_hop</x:v>
      </x:c>
      <x:c r="D848" s="35" t="str">
        <x:v>active_ticks</x:v>
      </x:c>
      <x:c r="E848" s="38" t="str">
        <x:v>int</x:v>
      </x:c>
      <x:c r="F848" s="56" t="n">
        <x:f>'Actions'!U19</x:f>
        <x:v>4</x:v>
      </x:c>
      <x:c r="G848" s="38" t="str"/>
      <x:c r="H848" s="35" t="str">
        <x:v>Actions</x:v>
      </x:c>
      <x:c r="I848" s="35" t="str">
        <x:v>U19</x:v>
      </x:c>
      <x:c r="J848" s="85" t="b">
        <x:v>1</x:v>
      </x:c>
      <x:c r="K848" s="85" t="b">
        <x:v>1</x:v>
      </x:c>
      <x:c r="L848" s="56" t="str">
        <x:f>'Actions'!BE19</x:f>
        <x:v>OK</x:v>
      </x:c>
      <x:c r="M848" s="44" t="str">
        <x:v>Источник Actions.Active Ticks</x:v>
      </x:c>
    </x:row>
    <x:row r="849" ht="36" customHeight="1">
      <x:c r="A849" s="118" t="n">
        <x:v>844</x:v>
      </x:c>
      <x:c r="B849" s="35" t="str">
        <x:v>action</x:v>
      </x:c>
      <x:c r="C849" s="35" t="str">
        <x:v>kangaroo_slip_hop</x:v>
      </x:c>
      <x:c r="D849" s="35" t="str">
        <x:v>hit_schedule</x:v>
      </x:c>
      <x:c r="E849" s="38" t="str">
        <x:v>string</x:v>
      </x:c>
      <x:c r="F849" s="56" t="str">
        <x:f>'Actions'!V19</x:f>
      </x:c>
      <x:c r="G849" s="38" t="str"/>
      <x:c r="H849" s="35" t="str">
        <x:v>Actions</x:v>
      </x:c>
      <x:c r="I849" s="35" t="str">
        <x:v>V19</x:v>
      </x:c>
      <x:c r="J849" s="85" t="b">
        <x:v>1</x:v>
      </x:c>
      <x:c r="K849" s="85" t="b">
        <x:v>1</x:v>
      </x:c>
      <x:c r="L849" s="56" t="str">
        <x:f>'Actions'!BE19</x:f>
        <x:v>OK</x:v>
      </x:c>
      <x:c r="M849" s="44" t="str">
        <x:v>Источник Actions.Hit Schedule</x:v>
      </x:c>
    </x:row>
    <x:row r="850" ht="36" customHeight="1">
      <x:c r="A850" s="118" t="n">
        <x:v>845</x:v>
      </x:c>
      <x:c r="B850" s="35" t="str">
        <x:v>action</x:v>
      </x:c>
      <x:c r="C850" s="35" t="str">
        <x:v>kangaroo_slip_hop</x:v>
      </x:c>
      <x:c r="D850" s="35" t="str">
        <x:v>hit_count</x:v>
      </x:c>
      <x:c r="E850" s="38" t="str">
        <x:v>int</x:v>
      </x:c>
      <x:c r="F850" s="56" t="n">
        <x:f>'Actions'!W19</x:f>
        <x:v>0</x:v>
      </x:c>
      <x:c r="G850" s="38" t="str"/>
      <x:c r="H850" s="35" t="str">
        <x:v>Actions</x:v>
      </x:c>
      <x:c r="I850" s="35" t="str">
        <x:v>W19</x:v>
      </x:c>
      <x:c r="J850" s="85" t="b">
        <x:v>1</x:v>
      </x:c>
      <x:c r="K850" s="85" t="b">
        <x:v>1</x:v>
      </x:c>
      <x:c r="L850" s="56" t="str">
        <x:f>'Actions'!BE19</x:f>
        <x:v>OK</x:v>
      </x:c>
      <x:c r="M850" s="44" t="str">
        <x:v>Источник Actions.Hit Count</x:v>
      </x:c>
    </x:row>
    <x:row r="851" ht="36" customHeight="1">
      <x:c r="A851" s="118" t="n">
        <x:v>846</x:v>
      </x:c>
      <x:c r="B851" s="35" t="str">
        <x:v>action</x:v>
      </x:c>
      <x:c r="C851" s="35" t="str">
        <x:v>kangaroo_slip_hop</x:v>
      </x:c>
      <x:c r="D851" s="35" t="str">
        <x:v>recovery_base_ticks</x:v>
      </x:c>
      <x:c r="E851" s="38" t="str">
        <x:v>int</x:v>
      </x:c>
      <x:c r="F851" s="56" t="n">
        <x:f>'Actions'!X19</x:f>
        <x:v>6</x:v>
      </x:c>
      <x:c r="G851" s="38" t="str"/>
      <x:c r="H851" s="35" t="str">
        <x:v>Actions</x:v>
      </x:c>
      <x:c r="I851" s="35" t="str">
        <x:v>X19</x:v>
      </x:c>
      <x:c r="J851" s="85" t="b">
        <x:v>1</x:v>
      </x:c>
      <x:c r="K851" s="85" t="b">
        <x:v>1</x:v>
      </x:c>
      <x:c r="L851" s="56" t="str">
        <x:f>'Actions'!BE19</x:f>
        <x:v>OK</x:v>
      </x:c>
      <x:c r="M851" s="44" t="str">
        <x:v>Источник Actions.Recovery Base Ticks</x:v>
      </x:c>
    </x:row>
    <x:row r="852" ht="36" customHeight="1">
      <x:c r="A852" s="118" t="n">
        <x:v>847</x:v>
      </x:c>
      <x:c r="B852" s="35" t="str">
        <x:v>action</x:v>
      </x:c>
      <x:c r="C852" s="35" t="str">
        <x:v>kangaroo_slip_hop</x:v>
      </x:c>
      <x:c r="D852" s="35" t="str">
        <x:v>recovery_min_ticks</x:v>
      </x:c>
      <x:c r="E852" s="38" t="str">
        <x:v>int</x:v>
      </x:c>
      <x:c r="F852" s="56" t="n">
        <x:f>'Actions'!Y19</x:f>
        <x:v>4</x:v>
      </x:c>
      <x:c r="G852" s="38" t="str"/>
      <x:c r="H852" s="35" t="str">
        <x:v>Actions</x:v>
      </x:c>
      <x:c r="I852" s="35" t="str">
        <x:v>Y19</x:v>
      </x:c>
      <x:c r="J852" s="85" t="b">
        <x:v>1</x:v>
      </x:c>
      <x:c r="K852" s="85" t="b">
        <x:v>1</x:v>
      </x:c>
      <x:c r="L852" s="56" t="str">
        <x:f>'Actions'!BE19</x:f>
        <x:v>OK</x:v>
      </x:c>
      <x:c r="M852" s="44" t="str">
        <x:v>Источник Actions.Recovery Min Ticks</x:v>
      </x:c>
    </x:row>
    <x:row r="853" ht="36" customHeight="1">
      <x:c r="A853" s="118" t="n">
        <x:v>848</x:v>
      </x:c>
      <x:c r="B853" s="35" t="str">
        <x:v>action</x:v>
      </x:c>
      <x:c r="C853" s="35" t="str">
        <x:v>kangaroo_slip_hop</x:v>
      </x:c>
      <x:c r="D853" s="35" t="str">
        <x:v>recovery_max_ticks</x:v>
      </x:c>
      <x:c r="E853" s="38" t="str">
        <x:v>int</x:v>
      </x:c>
      <x:c r="F853" s="56" t="n">
        <x:f>'Actions'!Z19</x:f>
        <x:v>9</x:v>
      </x:c>
      <x:c r="G853" s="38" t="str"/>
      <x:c r="H853" s="35" t="str">
        <x:v>Actions</x:v>
      </x:c>
      <x:c r="I853" s="35" t="str">
        <x:v>Z19</x:v>
      </x:c>
      <x:c r="J853" s="85" t="b">
        <x:v>1</x:v>
      </x:c>
      <x:c r="K853" s="85" t="b">
        <x:v>1</x:v>
      </x:c>
      <x:c r="L853" s="56" t="str">
        <x:f>'Actions'!BE19</x:f>
        <x:v>OK</x:v>
      </x:c>
      <x:c r="M853" s="44" t="str">
        <x:v>Источник Actions.Recovery Max Ticks</x:v>
      </x:c>
    </x:row>
    <x:row r="854" ht="36" customHeight="1">
      <x:c r="A854" s="118" t="n">
        <x:v>849</x:v>
      </x:c>
      <x:c r="B854" s="35" t="str">
        <x:v>action</x:v>
      </x:c>
      <x:c r="C854" s="35" t="str">
        <x:v>kangaroo_slip_hop</x:v>
      </x:c>
      <x:c r="D854" s="35" t="str">
        <x:v>cooldown_ticks</x:v>
      </x:c>
      <x:c r="E854" s="38" t="str">
        <x:v>int</x:v>
      </x:c>
      <x:c r="F854" s="56" t="n">
        <x:f>'Actions'!AA19</x:f>
        <x:v>15</x:v>
      </x:c>
      <x:c r="G854" s="38" t="str"/>
      <x:c r="H854" s="35" t="str">
        <x:v>Actions</x:v>
      </x:c>
      <x:c r="I854" s="35" t="str">
        <x:v>AA19</x:v>
      </x:c>
      <x:c r="J854" s="85" t="b">
        <x:v>1</x:v>
      </x:c>
      <x:c r="K854" s="85" t="b">
        <x:v>1</x:v>
      </x:c>
      <x:c r="L854" s="56" t="str">
        <x:f>'Actions'!BE19</x:f>
        <x:v>OK</x:v>
      </x:c>
      <x:c r="M854" s="44" t="str">
        <x:v>Источник Actions.Cooldown Ticks</x:v>
      </x:c>
    </x:row>
    <x:row r="855" ht="36" customHeight="1">
      <x:c r="A855" s="118" t="n">
        <x:v>850</x:v>
      </x:c>
      <x:c r="B855" s="35" t="str">
        <x:v>action</x:v>
      </x:c>
      <x:c r="C855" s="35" t="str">
        <x:v>kangaroo_slip_hop</x:v>
      </x:c>
      <x:c r="D855" s="35" t="str">
        <x:v>action_priority</x:v>
      </x:c>
      <x:c r="E855" s="38" t="str">
        <x:v>int</x:v>
      </x:c>
      <x:c r="F855" s="56" t="n">
        <x:f>'Actions'!AB19</x:f>
        <x:v>50</x:v>
      </x:c>
      <x:c r="G855" s="38" t="str"/>
      <x:c r="H855" s="35" t="str">
        <x:v>Actions</x:v>
      </x:c>
      <x:c r="I855" s="35" t="str">
        <x:v>AB19</x:v>
      </x:c>
      <x:c r="J855" s="85" t="b">
        <x:v>1</x:v>
      </x:c>
      <x:c r="K855" s="85" t="b">
        <x:v>1</x:v>
      </x:c>
      <x:c r="L855" s="56" t="str">
        <x:f>'Actions'!BE19</x:f>
        <x:v>OK</x:v>
      </x:c>
      <x:c r="M855" s="44" t="str">
        <x:v>Источник Actions.Action Priority</x:v>
      </x:c>
    </x:row>
    <x:row r="856" ht="36" customHeight="1">
      <x:c r="A856" s="118" t="n">
        <x:v>851</x:v>
      </x:c>
      <x:c r="B856" s="35" t="str">
        <x:v>action</x:v>
      </x:c>
      <x:c r="C856" s="35" t="str">
        <x:v>kangaroo_slip_hop</x:v>
      </x:c>
      <x:c r="D856" s="35" t="str">
        <x:v>clash_priority</x:v>
      </x:c>
      <x:c r="E856" s="38" t="str">
        <x:v>int</x:v>
      </x:c>
      <x:c r="F856" s="56" t="n">
        <x:f>'Actions'!AC19</x:f>
        <x:v>0</x:v>
      </x:c>
      <x:c r="G856" s="38" t="str"/>
      <x:c r="H856" s="35" t="str">
        <x:v>Actions</x:v>
      </x:c>
      <x:c r="I856" s="35" t="str">
        <x:v>AC19</x:v>
      </x:c>
      <x:c r="J856" s="85" t="b">
        <x:v>1</x:v>
      </x:c>
      <x:c r="K856" s="85" t="b">
        <x:v>1</x:v>
      </x:c>
      <x:c r="L856" s="56" t="str">
        <x:f>'Actions'!BE19</x:f>
        <x:v>OK</x:v>
      </x:c>
      <x:c r="M856" s="44" t="str">
        <x:v>Источник Actions.Clash Priority</x:v>
      </x:c>
    </x:row>
    <x:row r="857" ht="36" customHeight="1">
      <x:c r="A857" s="118" t="n">
        <x:v>852</x:v>
      </x:c>
      <x:c r="B857" s="35" t="str">
        <x:v>action</x:v>
      </x:c>
      <x:c r="C857" s="35" t="str">
        <x:v>kangaroo_slip_hop</x:v>
      </x:c>
      <x:c r="D857" s="35" t="str">
        <x:v>grab_priority</x:v>
      </x:c>
      <x:c r="E857" s="38" t="str">
        <x:v>int</x:v>
      </x:c>
      <x:c r="F857" s="56" t="n">
        <x:f>'Actions'!AD19</x:f>
        <x:v>0</x:v>
      </x:c>
      <x:c r="G857" s="38" t="str"/>
      <x:c r="H857" s="35" t="str">
        <x:v>Actions</x:v>
      </x:c>
      <x:c r="I857" s="35" t="str">
        <x:v>AD19</x:v>
      </x:c>
      <x:c r="J857" s="85" t="b">
        <x:v>1</x:v>
      </x:c>
      <x:c r="K857" s="85" t="b">
        <x:v>1</x:v>
      </x:c>
      <x:c r="L857" s="56" t="str">
        <x:f>'Actions'!BE19</x:f>
        <x:v>OK</x:v>
      </x:c>
      <x:c r="M857" s="44" t="str">
        <x:v>Источник Actions.Grab Priority</x:v>
      </x:c>
    </x:row>
    <x:row r="858" ht="36" customHeight="1">
      <x:c r="A858" s="118" t="n">
        <x:v>853</x:v>
      </x:c>
      <x:c r="B858" s="35" t="str">
        <x:v>action</x:v>
      </x:c>
      <x:c r="C858" s="35" t="str">
        <x:v>kangaroo_slip_hop</x:v>
      </x:c>
      <x:c r="D858" s="35" t="str">
        <x:v>resolution_priority</x:v>
      </x:c>
      <x:c r="E858" s="38" t="str">
        <x:v>int</x:v>
      </x:c>
      <x:c r="F858" s="56" t="n">
        <x:f>'Actions'!AE19</x:f>
        <x:v>80</x:v>
      </x:c>
      <x:c r="G858" s="38" t="str"/>
      <x:c r="H858" s="35" t="str">
        <x:v>Actions</x:v>
      </x:c>
      <x:c r="I858" s="35" t="str">
        <x:v>AE19</x:v>
      </x:c>
      <x:c r="J858" s="85" t="b">
        <x:v>1</x:v>
      </x:c>
      <x:c r="K858" s="85" t="b">
        <x:v>1</x:v>
      </x:c>
      <x:c r="L858" s="56" t="str">
        <x:f>'Actions'!BE19</x:f>
        <x:v>OK</x:v>
      </x:c>
      <x:c r="M858" s="44" t="str">
        <x:v>Источник Actions.Resolution Priority</x:v>
      </x:c>
    </x:row>
    <x:row r="859" ht="36" customHeight="1">
      <x:c r="A859" s="118" t="n">
        <x:v>854</x:v>
      </x:c>
      <x:c r="B859" s="35" t="str">
        <x:v>action</x:v>
      </x:c>
      <x:c r="C859" s="35" t="str">
        <x:v>kangaroo_slip_hop</x:v>
      </x:c>
      <x:c r="D859" s="35" t="str">
        <x:v>interrupt_profile</x:v>
      </x:c>
      <x:c r="E859" s="38" t="str">
        <x:v>string</x:v>
      </x:c>
      <x:c r="F859" s="56" t="str">
        <x:f>'Actions'!AF19</x:f>
        <x:v>Committed</x:v>
      </x:c>
      <x:c r="G859" s="38" t="str"/>
      <x:c r="H859" s="35" t="str">
        <x:v>Actions</x:v>
      </x:c>
      <x:c r="I859" s="35" t="str">
        <x:v>AF19</x:v>
      </x:c>
      <x:c r="J859" s="85" t="b">
        <x:v>1</x:v>
      </x:c>
      <x:c r="K859" s="85" t="b">
        <x:v>1</x:v>
      </x:c>
      <x:c r="L859" s="56" t="str">
        <x:f>'Actions'!BE19</x:f>
        <x:v>OK</x:v>
      </x:c>
      <x:c r="M859" s="44" t="str">
        <x:v>Источник Actions.Interrupt Profile</x:v>
      </x:c>
    </x:row>
    <x:row r="860" ht="36" customHeight="1">
      <x:c r="A860" s="118" t="n">
        <x:v>855</x:v>
      </x:c>
      <x:c r="B860" s="35" t="str">
        <x:v>action</x:v>
      </x:c>
      <x:c r="C860" s="35" t="str">
        <x:v>kangaroo_slip_hop</x:v>
      </x:c>
      <x:c r="D860" s="35" t="str">
        <x:v>blockable</x:v>
      </x:c>
      <x:c r="E860" s="38" t="str">
        <x:v>bool</x:v>
      </x:c>
      <x:c r="F860" s="56" t="b">
        <x:f>'Actions'!AG19</x:f>
        <x:v>0</x:v>
      </x:c>
      <x:c r="G860" s="38" t="str"/>
      <x:c r="H860" s="35" t="str">
        <x:v>Actions</x:v>
      </x:c>
      <x:c r="I860" s="35" t="str">
        <x:v>AG19</x:v>
      </x:c>
      <x:c r="J860" s="85" t="b">
        <x:v>1</x:v>
      </x:c>
      <x:c r="K860" s="85" t="b">
        <x:v>1</x:v>
      </x:c>
      <x:c r="L860" s="56" t="str">
        <x:f>'Actions'!BE19</x:f>
        <x:v>OK</x:v>
      </x:c>
      <x:c r="M860" s="44" t="str">
        <x:v>Источник Actions.Blockable</x:v>
      </x:c>
    </x:row>
    <x:row r="861" ht="36" customHeight="1">
      <x:c r="A861" s="118" t="n">
        <x:v>856</x:v>
      </x:c>
      <x:c r="B861" s="35" t="str">
        <x:v>action</x:v>
      </x:c>
      <x:c r="C861" s="35" t="str">
        <x:v>kangaroo_slip_hop</x:v>
      </x:c>
      <x:c r="D861" s="35" t="str">
        <x:v>dodgeable</x:v>
      </x:c>
      <x:c r="E861" s="38" t="str">
        <x:v>bool</x:v>
      </x:c>
      <x:c r="F861" s="56" t="b">
        <x:f>'Actions'!AH19</x:f>
        <x:v>0</x:v>
      </x:c>
      <x:c r="G861" s="38" t="str"/>
      <x:c r="H861" s="35" t="str">
        <x:v>Actions</x:v>
      </x:c>
      <x:c r="I861" s="35" t="str">
        <x:v>AH19</x:v>
      </x:c>
      <x:c r="J861" s="85" t="b">
        <x:v>1</x:v>
      </x:c>
      <x:c r="K861" s="85" t="b">
        <x:v>1</x:v>
      </x:c>
      <x:c r="L861" s="56" t="str">
        <x:f>'Actions'!BE19</x:f>
        <x:v>OK</x:v>
      </x:c>
      <x:c r="M861" s="44" t="str">
        <x:v>Источник Actions.Dodgeable</x:v>
      </x:c>
    </x:row>
    <x:row r="862" ht="36" customHeight="1">
      <x:c r="A862" s="118" t="n">
        <x:v>857</x:v>
      </x:c>
      <x:c r="B862" s="35" t="str">
        <x:v>action</x:v>
      </x:c>
      <x:c r="C862" s="35" t="str">
        <x:v>kangaroo_slip_hop</x:v>
      </x:c>
      <x:c r="D862" s="35" t="str">
        <x:v>undodgeable</x:v>
      </x:c>
      <x:c r="E862" s="38" t="str">
        <x:v>bool</x:v>
      </x:c>
      <x:c r="F862" s="56" t="b">
        <x:f>'Actions'!AI19</x:f>
        <x:v>0</x:v>
      </x:c>
      <x:c r="G862" s="38" t="str"/>
      <x:c r="H862" s="35" t="str">
        <x:v>Actions</x:v>
      </x:c>
      <x:c r="I862" s="35" t="str">
        <x:v>AI19</x:v>
      </x:c>
      <x:c r="J862" s="85" t="b">
        <x:v>1</x:v>
      </x:c>
      <x:c r="K862" s="85" t="b">
        <x:v>1</x:v>
      </x:c>
      <x:c r="L862" s="56" t="str">
        <x:f>'Actions'!BE19</x:f>
        <x:v>OK</x:v>
      </x:c>
      <x:c r="M862" s="44" t="str">
        <x:v>Источник Actions.Undodgeable</x:v>
      </x:c>
    </x:row>
    <x:row r="863" ht="36" customHeight="1">
      <x:c r="A863" s="118" t="n">
        <x:v>858</x:v>
      </x:c>
      <x:c r="B863" s="35" t="str">
        <x:v>action</x:v>
      </x:c>
      <x:c r="C863" s="35" t="str">
        <x:v>kangaroo_slip_hop</x:v>
      </x:c>
      <x:c r="D863" s="35" t="str">
        <x:v>wall_impact</x:v>
      </x:c>
      <x:c r="E863" s="38" t="str">
        <x:v>bool</x:v>
      </x:c>
      <x:c r="F863" s="56" t="b">
        <x:f>'Actions'!AJ19</x:f>
        <x:v>0</x:v>
      </x:c>
      <x:c r="G863" s="38" t="str"/>
      <x:c r="H863" s="35" t="str">
        <x:v>Actions</x:v>
      </x:c>
      <x:c r="I863" s="35" t="str">
        <x:v>AJ19</x:v>
      </x:c>
      <x:c r="J863" s="85" t="b">
        <x:v>1</x:v>
      </x:c>
      <x:c r="K863" s="85" t="b">
        <x:v>1</x:v>
      </x:c>
      <x:c r="L863" s="56" t="str">
        <x:f>'Actions'!BE19</x:f>
        <x:v>OK</x:v>
      </x:c>
      <x:c r="M863" s="44" t="str">
        <x:v>Источник Actions.Wall Impact</x:v>
      </x:c>
    </x:row>
    <x:row r="864" ht="36" customHeight="1">
      <x:c r="A864" s="118" t="n">
        <x:v>859</x:v>
      </x:c>
      <x:c r="B864" s="35" t="str">
        <x:v>action</x:v>
      </x:c>
      <x:c r="C864" s="35" t="str">
        <x:v>kangaroo_slip_hop</x:v>
      </x:c>
      <x:c r="D864" s="35" t="str">
        <x:v>track_target</x:v>
      </x:c>
      <x:c r="E864" s="38" t="str">
        <x:v>bool</x:v>
      </x:c>
      <x:c r="F864" s="56" t="b">
        <x:f>'Actions'!AK19</x:f>
        <x:v>0</x:v>
      </x:c>
      <x:c r="G864" s="38" t="str"/>
      <x:c r="H864" s="35" t="str">
        <x:v>Actions</x:v>
      </x:c>
      <x:c r="I864" s="35" t="str">
        <x:v>AK19</x:v>
      </x:c>
      <x:c r="J864" s="85" t="b">
        <x:v>1</x:v>
      </x:c>
      <x:c r="K864" s="85" t="b">
        <x:v>1</x:v>
      </x:c>
      <x:c r="L864" s="56" t="str">
        <x:f>'Actions'!BE19</x:f>
        <x:v>OK</x:v>
      </x:c>
      <x:c r="M864" s="44" t="str">
        <x:v>Источник Actions.Track Target</x:v>
      </x:c>
    </x:row>
    <x:row r="865" ht="36" customHeight="1">
      <x:c r="A865" s="118" t="n">
        <x:v>860</x:v>
      </x:c>
      <x:c r="B865" s="35" t="str">
        <x:v>action</x:v>
      </x:c>
      <x:c r="C865" s="35" t="str">
        <x:v>kangaroo_slip_hop</x:v>
      </x:c>
      <x:c r="D865" s="35" t="str">
        <x:v>block_base_chance_fp</x:v>
      </x:c>
      <x:c r="E865" s="38" t="str">
        <x:v>int</x:v>
      </x:c>
      <x:c r="F865" s="56" t="n">
        <x:f>'Actions'!AL19</x:f>
        <x:v>0</x:v>
      </x:c>
      <x:c r="G865" s="38" t="str"/>
      <x:c r="H865" s="35" t="str">
        <x:v>Actions</x:v>
      </x:c>
      <x:c r="I865" s="35" t="str">
        <x:v>AL19</x:v>
      </x:c>
      <x:c r="J865" s="85" t="b">
        <x:v>1</x:v>
      </x:c>
      <x:c r="K865" s="85" t="b">
        <x:v>1</x:v>
      </x:c>
      <x:c r="L865" s="56" t="str">
        <x:f>'Actions'!BE19</x:f>
        <x:v>OK</x:v>
      </x:c>
      <x:c r="M865" s="44" t="str">
        <x:v>Источник Actions.Block Base Chance FP</x:v>
      </x:c>
    </x:row>
    <x:row r="866" ht="36" customHeight="1">
      <x:c r="A866" s="118" t="n">
        <x:v>861</x:v>
      </x:c>
      <x:c r="B866" s="35" t="str">
        <x:v>action</x:v>
      </x:c>
      <x:c r="C866" s="35" t="str">
        <x:v>kangaroo_slip_hop</x:v>
      </x:c>
      <x:c r="D866" s="35" t="str">
        <x:v>block_reduction_fp</x:v>
      </x:c>
      <x:c r="E866" s="38" t="str">
        <x:v>int</x:v>
      </x:c>
      <x:c r="F866" s="56" t="n">
        <x:f>'Actions'!AM19</x:f>
        <x:v>0</x:v>
      </x:c>
      <x:c r="G866" s="38" t="str"/>
      <x:c r="H866" s="35" t="str">
        <x:v>Actions</x:v>
      </x:c>
      <x:c r="I866" s="35" t="str">
        <x:v>AM19</x:v>
      </x:c>
      <x:c r="J866" s="85" t="b">
        <x:v>1</x:v>
      </x:c>
      <x:c r="K866" s="85" t="b">
        <x:v>1</x:v>
      </x:c>
      <x:c r="L866" s="56" t="str">
        <x:f>'Actions'!BE19</x:f>
        <x:v>OK</x:v>
      </x:c>
      <x:c r="M866" s="44" t="str">
        <x:v>Источник Actions.Block Reduction FP</x:v>
      </x:c>
    </x:row>
    <x:row r="867" ht="36" customHeight="1">
      <x:c r="A867" s="118" t="n">
        <x:v>862</x:v>
      </x:c>
      <x:c r="B867" s="35" t="str">
        <x:v>action</x:v>
      </x:c>
      <x:c r="C867" s="35" t="str">
        <x:v>kangaroo_slip_hop</x:v>
      </x:c>
      <x:c r="D867" s="35" t="str">
        <x:v>dodge_base_chance_fp</x:v>
      </x:c>
      <x:c r="E867" s="38" t="str">
        <x:v>int</x:v>
      </x:c>
      <x:c r="F867" s="56" t="n">
        <x:f>'Actions'!AN19</x:f>
        <x:v>650</x:v>
      </x:c>
      <x:c r="G867" s="38" t="str"/>
      <x:c r="H867" s="35" t="str">
        <x:v>Actions</x:v>
      </x:c>
      <x:c r="I867" s="35" t="str">
        <x:v>AN19</x:v>
      </x:c>
      <x:c r="J867" s="85" t="b">
        <x:v>1</x:v>
      </x:c>
      <x:c r="K867" s="85" t="b">
        <x:v>1</x:v>
      </x:c>
      <x:c r="L867" s="56" t="str">
        <x:f>'Actions'!BE19</x:f>
        <x:v>OK</x:v>
      </x:c>
      <x:c r="M867" s="44" t="str">
        <x:v>Источник Actions.Dodge Base Chance FP</x:v>
      </x:c>
    </x:row>
    <x:row r="868" ht="36" customHeight="1">
      <x:c r="A868" s="118" t="n">
        <x:v>863</x:v>
      </x:c>
      <x:c r="B868" s="35" t="str">
        <x:v>action</x:v>
      </x:c>
      <x:c r="C868" s="35" t="str">
        <x:v>kangaroo_slip_hop</x:v>
      </x:c>
      <x:c r="D868" s="35" t="str">
        <x:v>movement_mode</x:v>
      </x:c>
      <x:c r="E868" s="38" t="str">
        <x:v>string</x:v>
      </x:c>
      <x:c r="F868" s="56" t="str">
        <x:f>'Actions'!AO19</x:f>
        <x:v>Retreat</x:v>
      </x:c>
      <x:c r="G868" s="38" t="str"/>
      <x:c r="H868" s="35" t="str">
        <x:v>Actions</x:v>
      </x:c>
      <x:c r="I868" s="35" t="str">
        <x:v>AO19</x:v>
      </x:c>
      <x:c r="J868" s="85" t="b">
        <x:v>1</x:v>
      </x:c>
      <x:c r="K868" s="85" t="b">
        <x:v>1</x:v>
      </x:c>
      <x:c r="L868" s="56" t="str">
        <x:f>'Actions'!BE19</x:f>
        <x:v>OK</x:v>
      </x:c>
      <x:c r="M868" s="44" t="str">
        <x:v>Источник Actions.Movement Mode</x:v>
      </x:c>
    </x:row>
    <x:row r="869" ht="36" customHeight="1">
      <x:c r="A869" s="118" t="n">
        <x:v>864</x:v>
      </x:c>
      <x:c r="B869" s="35" t="str">
        <x:v>action</x:v>
      </x:c>
      <x:c r="C869" s="35" t="str">
        <x:v>kangaroo_slip_hop</x:v>
      </x:c>
      <x:c r="D869" s="35" t="str">
        <x:v>move_distance</x:v>
      </x:c>
      <x:c r="E869" s="38" t="str">
        <x:v>int</x:v>
      </x:c>
      <x:c r="F869" s="56" t="n">
        <x:f>'Actions'!AP19</x:f>
        <x:v>700</x:v>
      </x:c>
      <x:c r="G869" s="38" t="str"/>
      <x:c r="H869" s="35" t="str">
        <x:v>Actions</x:v>
      </x:c>
      <x:c r="I869" s="35" t="str">
        <x:v>AP19</x:v>
      </x:c>
      <x:c r="J869" s="85" t="b">
        <x:v>1</x:v>
      </x:c>
      <x:c r="K869" s="85" t="b">
        <x:v>1</x:v>
      </x:c>
      <x:c r="L869" s="56" t="str">
        <x:f>'Actions'!BE19</x:f>
        <x:v>OK</x:v>
      </x:c>
      <x:c r="M869" s="44" t="str">
        <x:v>Источник Actions.Move Distance</x:v>
      </x:c>
    </x:row>
    <x:row r="870" ht="36" customHeight="1">
      <x:c r="A870" s="118" t="n">
        <x:v>865</x:v>
      </x:c>
      <x:c r="B870" s="35" t="str">
        <x:v>action</x:v>
      </x:c>
      <x:c r="C870" s="35" t="str">
        <x:v>kangaroo_slip_hop</x:v>
      </x:c>
      <x:c r="D870" s="35" t="str">
        <x:v>base_stagger</x:v>
      </x:c>
      <x:c r="E870" s="38" t="str">
        <x:v>int</x:v>
      </x:c>
      <x:c r="F870" s="56" t="n">
        <x:f>'Actions'!AQ19</x:f>
        <x:v>0</x:v>
      </x:c>
      <x:c r="G870" s="38" t="str"/>
      <x:c r="H870" s="35" t="str">
        <x:v>Actions</x:v>
      </x:c>
      <x:c r="I870" s="35" t="str">
        <x:v>AQ19</x:v>
      </x:c>
      <x:c r="J870" s="85" t="b">
        <x:v>1</x:v>
      </x:c>
      <x:c r="K870" s="85" t="b">
        <x:v>1</x:v>
      </x:c>
      <x:c r="L870" s="56" t="str">
        <x:f>'Actions'!BE19</x:f>
        <x:v>OK</x:v>
      </x:c>
      <x:c r="M870" s="44" t="str">
        <x:v>Источник Actions.Base Stagger</x:v>
      </x:c>
    </x:row>
    <x:row r="871" ht="36" customHeight="1">
      <x:c r="A871" s="118" t="n">
        <x:v>866</x:v>
      </x:c>
      <x:c r="B871" s="35" t="str">
        <x:v>action</x:v>
      </x:c>
      <x:c r="C871" s="35" t="str">
        <x:v>kangaroo_slip_hop</x:v>
      </x:c>
      <x:c r="D871" s="35" t="str">
        <x:v>base_stun_ticks</x:v>
      </x:c>
      <x:c r="E871" s="38" t="str">
        <x:v>int</x:v>
      </x:c>
      <x:c r="F871" s="56" t="n">
        <x:f>'Actions'!AR19</x:f>
        <x:v>0</x:v>
      </x:c>
      <x:c r="G871" s="38" t="str"/>
      <x:c r="H871" s="35" t="str">
        <x:v>Actions</x:v>
      </x:c>
      <x:c r="I871" s="35" t="str">
        <x:v>AR19</x:v>
      </x:c>
      <x:c r="J871" s="85" t="b">
        <x:v>1</x:v>
      </x:c>
      <x:c r="K871" s="85" t="b">
        <x:v>1</x:v>
      </x:c>
      <x:c r="L871" s="56" t="str">
        <x:f>'Actions'!BE19</x:f>
        <x:v>OK</x:v>
      </x:c>
      <x:c r="M871" s="44" t="str">
        <x:v>Источник Actions.Base Stun Ticks</x:v>
      </x:c>
    </x:row>
    <x:row r="872" ht="36" customHeight="1">
      <x:c r="A872" s="118" t="n">
        <x:v>867</x:v>
      </x:c>
      <x:c r="B872" s="35" t="str">
        <x:v>action</x:v>
      </x:c>
      <x:c r="C872" s="35" t="str">
        <x:v>kangaroo_slip_hop</x:v>
      </x:c>
      <x:c r="D872" s="35" t="str">
        <x:v>base_knockback</x:v>
      </x:c>
      <x:c r="E872" s="38" t="str">
        <x:v>int</x:v>
      </x:c>
      <x:c r="F872" s="56" t="n">
        <x:f>'Actions'!AS19</x:f>
        <x:v>0</x:v>
      </x:c>
      <x:c r="G872" s="38" t="str"/>
      <x:c r="H872" s="35" t="str">
        <x:v>Actions</x:v>
      </x:c>
      <x:c r="I872" s="35" t="str">
        <x:v>AS19</x:v>
      </x:c>
      <x:c r="J872" s="85" t="b">
        <x:v>1</x:v>
      </x:c>
      <x:c r="K872" s="85" t="b">
        <x:v>1</x:v>
      </x:c>
      <x:c r="L872" s="56" t="str">
        <x:f>'Actions'!BE19</x:f>
        <x:v>OK</x:v>
      </x:c>
      <x:c r="M872" s="44" t="str">
        <x:v>Источник Actions.Base Knockback</x:v>
      </x:c>
    </x:row>
    <x:row r="873" ht="36" customHeight="1">
      <x:c r="A873" s="118" t="n">
        <x:v>868</x:v>
      </x:c>
      <x:c r="B873" s="35" t="str">
        <x:v>action</x:v>
      </x:c>
      <x:c r="C873" s="35" t="str">
        <x:v>kangaroo_slip_hop</x:v>
      </x:c>
      <x:c r="D873" s="35" t="str">
        <x:v>knockback_min</x:v>
      </x:c>
      <x:c r="E873" s="38" t="str">
        <x:v>int</x:v>
      </x:c>
      <x:c r="F873" s="56" t="n">
        <x:f>'Actions'!AT19</x:f>
        <x:v>0</x:v>
      </x:c>
      <x:c r="G873" s="38" t="str"/>
      <x:c r="H873" s="35" t="str">
        <x:v>Actions</x:v>
      </x:c>
      <x:c r="I873" s="35" t="str">
        <x:v>AT19</x:v>
      </x:c>
      <x:c r="J873" s="85" t="b">
        <x:v>1</x:v>
      </x:c>
      <x:c r="K873" s="85" t="b">
        <x:v>1</x:v>
      </x:c>
      <x:c r="L873" s="56" t="str">
        <x:f>'Actions'!BE19</x:f>
        <x:v>OK</x:v>
      </x:c>
      <x:c r="M873" s="44" t="str">
        <x:v>Источник Actions.Knockback Min</x:v>
      </x:c>
    </x:row>
    <x:row r="874" ht="36" customHeight="1">
      <x:c r="A874" s="118" t="n">
        <x:v>869</x:v>
      </x:c>
      <x:c r="B874" s="35" t="str">
        <x:v>action</x:v>
      </x:c>
      <x:c r="C874" s="35" t="str">
        <x:v>kangaroo_slip_hop</x:v>
      </x:c>
      <x:c r="D874" s="35" t="str">
        <x:v>knockback_max</x:v>
      </x:c>
      <x:c r="E874" s="38" t="str">
        <x:v>int</x:v>
      </x:c>
      <x:c r="F874" s="56" t="n">
        <x:f>'Actions'!AU19</x:f>
        <x:v>0</x:v>
      </x:c>
      <x:c r="G874" s="38" t="str"/>
      <x:c r="H874" s="35" t="str">
        <x:v>Actions</x:v>
      </x:c>
      <x:c r="I874" s="35" t="str">
        <x:v>AU19</x:v>
      </x:c>
      <x:c r="J874" s="85" t="b">
        <x:v>1</x:v>
      </x:c>
      <x:c r="K874" s="85" t="b">
        <x:v>1</x:v>
      </x:c>
      <x:c r="L874" s="56" t="str">
        <x:f>'Actions'!BE19</x:f>
        <x:v>OK</x:v>
      </x:c>
      <x:c r="M874" s="44" t="str">
        <x:v>Источник Actions.Knockback Max</x:v>
      </x:c>
    </x:row>
    <x:row r="875" ht="36" customHeight="1">
      <x:c r="A875" s="118" t="n">
        <x:v>870</x:v>
      </x:c>
      <x:c r="B875" s="35" t="str">
        <x:v>action</x:v>
      </x:c>
      <x:c r="C875" s="35" t="str">
        <x:v>kangaroo_slip_hop</x:v>
      </x:c>
      <x:c r="D875" s="35" t="str">
        <x:v>wall_damage_per_unit_fp</x:v>
      </x:c>
      <x:c r="E875" s="38" t="str">
        <x:v>int</x:v>
      </x:c>
      <x:c r="F875" s="56" t="n">
        <x:f>'Actions'!AV19</x:f>
        <x:v>0</x:v>
      </x:c>
      <x:c r="G875" s="38" t="str"/>
      <x:c r="H875" s="35" t="str">
        <x:v>Actions</x:v>
      </x:c>
      <x:c r="I875" s="35" t="str">
        <x:v>AV19</x:v>
      </x:c>
      <x:c r="J875" s="85" t="b">
        <x:v>1</x:v>
      </x:c>
      <x:c r="K875" s="85" t="b">
        <x:v>1</x:v>
      </x:c>
      <x:c r="L875" s="56" t="str">
        <x:f>'Actions'!BE19</x:f>
        <x:v>OK</x:v>
      </x:c>
      <x:c r="M875" s="44" t="str">
        <x:v>Источник Actions.Wall Damage / Unit FP</x:v>
      </x:c>
    </x:row>
    <x:row r="876" ht="36" customHeight="1">
      <x:c r="A876" s="118" t="n">
        <x:v>871</x:v>
      </x:c>
      <x:c r="B876" s="35" t="str">
        <x:v>action</x:v>
      </x:c>
      <x:c r="C876" s="35" t="str">
        <x:v>kangaroo_slip_hop</x:v>
      </x:c>
      <x:c r="D876" s="35" t="str">
        <x:v>wall_damage_min</x:v>
      </x:c>
      <x:c r="E876" s="38" t="str">
        <x:v>int</x:v>
      </x:c>
      <x:c r="F876" s="56" t="n">
        <x:f>'Actions'!AW19</x:f>
        <x:v>0</x:v>
      </x:c>
      <x:c r="G876" s="38" t="str"/>
      <x:c r="H876" s="35" t="str">
        <x:v>Actions</x:v>
      </x:c>
      <x:c r="I876" s="35" t="str">
        <x:v>AW19</x:v>
      </x:c>
      <x:c r="J876" s="85" t="b">
        <x:v>1</x:v>
      </x:c>
      <x:c r="K876" s="85" t="b">
        <x:v>1</x:v>
      </x:c>
      <x:c r="L876" s="56" t="str">
        <x:f>'Actions'!BE19</x:f>
        <x:v>OK</x:v>
      </x:c>
      <x:c r="M876" s="44" t="str">
        <x:v>Источник Actions.Wall Damage Min</x:v>
      </x:c>
    </x:row>
    <x:row r="877" ht="36" customHeight="1">
      <x:c r="A877" s="118" t="n">
        <x:v>872</x:v>
      </x:c>
      <x:c r="B877" s="35" t="str">
        <x:v>action</x:v>
      </x:c>
      <x:c r="C877" s="35" t="str">
        <x:v>kangaroo_slip_hop</x:v>
      </x:c>
      <x:c r="D877" s="35" t="str">
        <x:v>wall_damage_max</x:v>
      </x:c>
      <x:c r="E877" s="38" t="str">
        <x:v>int</x:v>
      </x:c>
      <x:c r="F877" s="56" t="n">
        <x:f>'Actions'!AX19</x:f>
        <x:v>0</x:v>
      </x:c>
      <x:c r="G877" s="38" t="str"/>
      <x:c r="H877" s="35" t="str">
        <x:v>Actions</x:v>
      </x:c>
      <x:c r="I877" s="35" t="str">
        <x:v>AX19</x:v>
      </x:c>
      <x:c r="J877" s="85" t="b">
        <x:v>1</x:v>
      </x:c>
      <x:c r="K877" s="85" t="b">
        <x:v>1</x:v>
      </x:c>
      <x:c r="L877" s="56" t="str">
        <x:f>'Actions'!BE19</x:f>
        <x:v>OK</x:v>
      </x:c>
      <x:c r="M877" s="44" t="str">
        <x:v>Источник Actions.Wall Damage Max</x:v>
      </x:c>
    </x:row>
    <x:row r="878" ht="36" customHeight="1">
      <x:c r="A878" s="118" t="n">
        <x:v>873</x:v>
      </x:c>
      <x:c r="B878" s="35" t="str">
        <x:v>action</x:v>
      </x:c>
      <x:c r="C878" s="35" t="str">
        <x:v>kangaroo_slip_hop</x:v>
      </x:c>
      <x:c r="D878" s="35" t="str">
        <x:v>max_consecutive_uses</x:v>
      </x:c>
      <x:c r="E878" s="38" t="str">
        <x:v>int</x:v>
      </x:c>
      <x:c r="F878" s="56" t="n">
        <x:f>'Actions'!AY19</x:f>
        <x:v>1</x:v>
      </x:c>
      <x:c r="G878" s="38" t="str"/>
      <x:c r="H878" s="35" t="str">
        <x:v>Actions</x:v>
      </x:c>
      <x:c r="I878" s="35" t="str">
        <x:v>AY19</x:v>
      </x:c>
      <x:c r="J878" s="85" t="b">
        <x:v>1</x:v>
      </x:c>
      <x:c r="K878" s="85" t="b">
        <x:v>1</x:v>
      </x:c>
      <x:c r="L878" s="56" t="str">
        <x:f>'Actions'!BE19</x:f>
        <x:v>OK</x:v>
      </x:c>
      <x:c r="M878" s="44" t="str">
        <x:v>Источник Actions.Max Consecutive Uses</x:v>
      </x:c>
    </x:row>
    <x:row r="879" ht="36" customHeight="1">
      <x:c r="A879" s="118" t="n">
        <x:v>874</x:v>
      </x:c>
      <x:c r="B879" s="35" t="str">
        <x:v>action</x:v>
      </x:c>
      <x:c r="C879" s="35" t="str">
        <x:v>kangaroo_slip_hop</x:v>
      </x:c>
      <x:c r="D879" s="35" t="str">
        <x:v>opportunity_cap_fp</x:v>
      </x:c>
      <x:c r="E879" s="38" t="str">
        <x:v>int</x:v>
      </x:c>
      <x:c r="F879" s="56" t="n">
        <x:f>'Actions'!AZ19</x:f>
        <x:v>1200</x:v>
      </x:c>
      <x:c r="G879" s="38" t="str"/>
      <x:c r="H879" s="35" t="str">
        <x:v>Actions</x:v>
      </x:c>
      <x:c r="I879" s="35" t="str">
        <x:v>AZ19</x:v>
      </x:c>
      <x:c r="J879" s="85" t="b">
        <x:v>1</x:v>
      </x:c>
      <x:c r="K879" s="85" t="b">
        <x:v>1</x:v>
      </x:c>
      <x:c r="L879" s="56" t="str">
        <x:f>'Actions'!BE19</x:f>
        <x:v>OK</x:v>
      </x:c>
      <x:c r="M879" s="44" t="str">
        <x:v>Источник Actions.Opportunity Cap FP</x:v>
      </x:c>
    </x:row>
    <x:row r="880" ht="36" customHeight="1">
      <x:c r="A880" s="118" t="n">
        <x:v>875</x:v>
      </x:c>
      <x:c r="B880" s="35" t="str">
        <x:v>action</x:v>
      </x:c>
      <x:c r="C880" s="35" t="str">
        <x:v>kangaroo_slip_hop</x:v>
      </x:c>
      <x:c r="D880" s="35" t="str">
        <x:v>hard_opportunity_misses</x:v>
      </x:c>
      <x:c r="E880" s="38" t="str">
        <x:v>int</x:v>
      </x:c>
      <x:c r="F880" s="56" t="n">
        <x:f>'Actions'!BA19</x:f>
        <x:v>0</x:v>
      </x:c>
      <x:c r="G880" s="38" t="str"/>
      <x:c r="H880" s="35" t="str">
        <x:v>Actions</x:v>
      </x:c>
      <x:c r="I880" s="35" t="str">
        <x:v>BA19</x:v>
      </x:c>
      <x:c r="J880" s="85" t="b">
        <x:v>1</x:v>
      </x:c>
      <x:c r="K880" s="85" t="b">
        <x:v>1</x:v>
      </x:c>
      <x:c r="L880" s="56" t="str">
        <x:f>'Actions'!BE19</x:f>
        <x:v>OK</x:v>
      </x:c>
      <x:c r="M880" s="44" t="str">
        <x:v>Источник Actions.Hard Opportunity Misses</x:v>
      </x:c>
    </x:row>
    <x:row r="881" ht="36" customHeight="1">
      <x:c r="A881" s="118" t="n">
        <x:v>876</x:v>
      </x:c>
      <x:c r="B881" s="35" t="str">
        <x:v>action</x:v>
      </x:c>
      <x:c r="C881" s="35" t="str">
        <x:v>kangaroo_flying_kick</x:v>
      </x:c>
      <x:c r="D881" s="35" t="str">
        <x:v>action_id</x:v>
      </x:c>
      <x:c r="E881" s="38" t="str">
        <x:v>string</x:v>
      </x:c>
      <x:c r="F881" s="56" t="str">
        <x:f>'Actions'!A20</x:f>
        <x:v>kangaroo_flying_kick</x:v>
      </x:c>
      <x:c r="G881" s="38" t="str"/>
      <x:c r="H881" s="35" t="str">
        <x:v>Actions</x:v>
      </x:c>
      <x:c r="I881" s="35" t="str">
        <x:v>A20</x:v>
      </x:c>
      <x:c r="J881" s="85" t="b">
        <x:v>1</x:v>
      </x:c>
      <x:c r="K881" s="85" t="b">
        <x:v>1</x:v>
      </x:c>
      <x:c r="L881" s="56" t="str">
        <x:f>'Actions'!BE20</x:f>
        <x:v>OK</x:v>
      </x:c>
      <x:c r="M881" s="44" t="str">
        <x:v>Источник Actions.Action ID</x:v>
      </x:c>
    </x:row>
    <x:row r="882" ht="36" customHeight="1">
      <x:c r="A882" s="118" t="n">
        <x:v>877</x:v>
      </x:c>
      <x:c r="B882" s="35" t="str">
        <x:v>action</x:v>
      </x:c>
      <x:c r="C882" s="35" t="str">
        <x:v>kangaroo_flying_kick</x:v>
      </x:c>
      <x:c r="D882" s="35" t="str">
        <x:v>animal_id</x:v>
      </x:c>
      <x:c r="E882" s="38" t="str">
        <x:v>string</x:v>
      </x:c>
      <x:c r="F882" s="56" t="str">
        <x:f>'Actions'!B20</x:f>
        <x:v>kangaroo</x:v>
      </x:c>
      <x:c r="G882" s="38" t="str"/>
      <x:c r="H882" s="35" t="str">
        <x:v>Actions</x:v>
      </x:c>
      <x:c r="I882" s="35" t="str">
        <x:v>B20</x:v>
      </x:c>
      <x:c r="J882" s="85" t="b">
        <x:v>1</x:v>
      </x:c>
      <x:c r="K882" s="85" t="b">
        <x:v>1</x:v>
      </x:c>
      <x:c r="L882" s="56" t="str">
        <x:f>'Actions'!BE20</x:f>
        <x:v>OK</x:v>
      </x:c>
      <x:c r="M882" s="44" t="str">
        <x:v>Источник Actions.Animal ID</x:v>
      </x:c>
    </x:row>
    <x:row r="883" ht="36" customHeight="1">
      <x:c r="A883" s="118" t="n">
        <x:v>878</x:v>
      </x:c>
      <x:c r="B883" s="35" t="str">
        <x:v>action</x:v>
      </x:c>
      <x:c r="C883" s="35" t="str">
        <x:v>kangaroo_flying_kick</x:v>
      </x:c>
      <x:c r="D883" s="35" t="str">
        <x:v>slot_type</x:v>
      </x:c>
      <x:c r="E883" s="38" t="str">
        <x:v>string</x:v>
      </x:c>
      <x:c r="F883" s="56" t="str">
        <x:f>'Actions'!D20</x:f>
        <x:v>Special</x:v>
      </x:c>
      <x:c r="G883" s="38" t="str"/>
      <x:c r="H883" s="35" t="str">
        <x:v>Actions</x:v>
      </x:c>
      <x:c r="I883" s="35" t="str">
        <x:v>D20</x:v>
      </x:c>
      <x:c r="J883" s="85" t="b">
        <x:v>1</x:v>
      </x:c>
      <x:c r="K883" s="85" t="b">
        <x:v>1</x:v>
      </x:c>
      <x:c r="L883" s="56" t="str">
        <x:f>'Actions'!BE20</x:f>
        <x:v>OK</x:v>
      </x:c>
      <x:c r="M883" s="44" t="str">
        <x:v>Источник Actions.Slot Type</x:v>
      </x:c>
    </x:row>
    <x:row r="884" ht="36" customHeight="1">
      <x:c r="A884" s="118" t="n">
        <x:v>879</x:v>
      </x:c>
      <x:c r="B884" s="35" t="str">
        <x:v>action</x:v>
      </x:c>
      <x:c r="C884" s="35" t="str">
        <x:v>kangaroo_flying_kick</x:v>
      </x:c>
      <x:c r="D884" s="35" t="str">
        <x:v>category</x:v>
      </x:c>
      <x:c r="E884" s="38" t="str">
        <x:v>string</x:v>
      </x:c>
      <x:c r="F884" s="56" t="str">
        <x:f>'Actions'!E20</x:f>
        <x:v>SignatureApproach</x:v>
      </x:c>
      <x:c r="G884" s="38" t="str"/>
      <x:c r="H884" s="35" t="str">
        <x:v>Actions</x:v>
      </x:c>
      <x:c r="I884" s="35" t="str">
        <x:v>E20</x:v>
      </x:c>
      <x:c r="J884" s="85" t="b">
        <x:v>1</x:v>
      </x:c>
      <x:c r="K884" s="85" t="b">
        <x:v>1</x:v>
      </x:c>
      <x:c r="L884" s="56" t="str">
        <x:f>'Actions'!BE20</x:f>
        <x:v>OK</x:v>
      </x:c>
      <x:c r="M884" s="44" t="str">
        <x:v>Источник Actions.Category</x:v>
      </x:c>
    </x:row>
    <x:row r="885" ht="36" customHeight="1">
      <x:c r="A885" s="118" t="n">
        <x:v>880</x:v>
      </x:c>
      <x:c r="B885" s="35" t="str">
        <x:v>action</x:v>
      </x:c>
      <x:c r="C885" s="35" t="str">
        <x:v>kangaroo_flying_kick</x:v>
      </x:c>
      <x:c r="D885" s="35" t="str">
        <x:v>tags</x:v>
      </x:c>
      <x:c r="E885" s="38" t="str">
        <x:v>string</x:v>
      </x:c>
      <x:c r="F885" s="56" t="str">
        <x:f>'Actions'!F20</x:f>
        <x:v>special|signature|approach|strike|knockback|wall_impact</x:v>
      </x:c>
      <x:c r="G885" s="38" t="str"/>
      <x:c r="H885" s="35" t="str">
        <x:v>Actions</x:v>
      </x:c>
      <x:c r="I885" s="35" t="str">
        <x:v>F20</x:v>
      </x:c>
      <x:c r="J885" s="85" t="b">
        <x:v>1</x:v>
      </x:c>
      <x:c r="K885" s="85" t="b">
        <x:v>1</x:v>
      </x:c>
      <x:c r="L885" s="56" t="str">
        <x:f>'Actions'!BE20</x:f>
        <x:v>OK</x:v>
      </x:c>
      <x:c r="M885" s="44" t="str">
        <x:v>Источник Actions.Tags</x:v>
      </x:c>
    </x:row>
    <x:row r="886" ht="36" customHeight="1">
      <x:c r="A886" s="118" t="n">
        <x:v>881</x:v>
      </x:c>
      <x:c r="B886" s="35" t="str">
        <x:v>action</x:v>
      </x:c>
      <x:c r="C886" s="35" t="str">
        <x:v>kangaroo_flying_kick</x:v>
      </x:c>
      <x:c r="D886" s="35" t="str">
        <x:v>base_weight</x:v>
      </x:c>
      <x:c r="E886" s="38" t="str">
        <x:v>int</x:v>
      </x:c>
      <x:c r="F886" s="56" t="n">
        <x:f>'Actions'!G20</x:f>
        <x:v>520</x:v>
      </x:c>
      <x:c r="G886" s="38" t="str"/>
      <x:c r="H886" s="35" t="str">
        <x:v>Actions</x:v>
      </x:c>
      <x:c r="I886" s="35" t="str">
        <x:v>G20</x:v>
      </x:c>
      <x:c r="J886" s="85" t="b">
        <x:v>1</x:v>
      </x:c>
      <x:c r="K886" s="85" t="b">
        <x:v>1</x:v>
      </x:c>
      <x:c r="L886" s="56" t="str">
        <x:f>'Actions'!BE20</x:f>
        <x:v>OK</x:v>
      </x:c>
      <x:c r="M886" s="44" t="str">
        <x:v>Источник Actions.Base Weight</x:v>
      </x:c>
    </x:row>
    <x:row r="887" ht="36" customHeight="1">
      <x:c r="A887" s="118" t="n">
        <x:v>882</x:v>
      </x:c>
      <x:c r="B887" s="35" t="str">
        <x:v>action</x:v>
      </x:c>
      <x:c r="C887" s="35" t="str">
        <x:v>kangaroo_flying_kick</x:v>
      </x:c>
      <x:c r="D887" s="35" t="str">
        <x:v>preferred_range_min</x:v>
      </x:c>
      <x:c r="E887" s="38" t="str">
        <x:v>int</x:v>
      </x:c>
      <x:c r="F887" s="56" t="n">
        <x:f>'Actions'!H20</x:f>
        <x:v>1500</x:v>
      </x:c>
      <x:c r="G887" s="38" t="str"/>
      <x:c r="H887" s="35" t="str">
        <x:v>Actions</x:v>
      </x:c>
      <x:c r="I887" s="35" t="str">
        <x:v>H20</x:v>
      </x:c>
      <x:c r="J887" s="85" t="b">
        <x:v>1</x:v>
      </x:c>
      <x:c r="K887" s="85" t="b">
        <x:v>1</x:v>
      </x:c>
      <x:c r="L887" s="56" t="str">
        <x:f>'Actions'!BE20</x:f>
        <x:v>OK</x:v>
      </x:c>
      <x:c r="M887" s="44" t="str">
        <x:v>Источник Actions.Preferred Range Min</x:v>
      </x:c>
    </x:row>
    <x:row r="888" ht="36" customHeight="1">
      <x:c r="A888" s="118" t="n">
        <x:v>883</x:v>
      </x:c>
      <x:c r="B888" s="35" t="str">
        <x:v>action</x:v>
      </x:c>
      <x:c r="C888" s="35" t="str">
        <x:v>kangaroo_flying_kick</x:v>
      </x:c>
      <x:c r="D888" s="35" t="str">
        <x:v>preferred_range_max</x:v>
      </x:c>
      <x:c r="E888" s="38" t="str">
        <x:v>int</x:v>
      </x:c>
      <x:c r="F888" s="56" t="n">
        <x:f>'Actions'!I20</x:f>
        <x:v>3300</x:v>
      </x:c>
      <x:c r="G888" s="38" t="str"/>
      <x:c r="H888" s="35" t="str">
        <x:v>Actions</x:v>
      </x:c>
      <x:c r="I888" s="35" t="str">
        <x:v>I20</x:v>
      </x:c>
      <x:c r="J888" s="85" t="b">
        <x:v>1</x:v>
      </x:c>
      <x:c r="K888" s="85" t="b">
        <x:v>1</x:v>
      </x:c>
      <x:c r="L888" s="56" t="str">
        <x:f>'Actions'!BE20</x:f>
        <x:v>OK</x:v>
      </x:c>
      <x:c r="M888" s="44" t="str">
        <x:v>Источник Actions.Preferred Range Max</x:v>
      </x:c>
    </x:row>
    <x:row r="889" ht="36" customHeight="1">
      <x:c r="A889" s="118" t="n">
        <x:v>884</x:v>
      </x:c>
      <x:c r="B889" s="35" t="str">
        <x:v>action</x:v>
      </x:c>
      <x:c r="C889" s="35" t="str">
        <x:v>kangaroo_flying_kick</x:v>
      </x:c>
      <x:c r="D889" s="35" t="str">
        <x:v>hit_range_min</x:v>
      </x:c>
      <x:c r="E889" s="38" t="str">
        <x:v>int</x:v>
      </x:c>
      <x:c r="F889" s="56" t="n">
        <x:f>'Actions'!J20</x:f>
        <x:v>200</x:v>
      </x:c>
      <x:c r="G889" s="38" t="str"/>
      <x:c r="H889" s="35" t="str">
        <x:v>Actions</x:v>
      </x:c>
      <x:c r="I889" s="35" t="str">
        <x:v>J20</x:v>
      </x:c>
      <x:c r="J889" s="85" t="b">
        <x:v>1</x:v>
      </x:c>
      <x:c r="K889" s="85" t="b">
        <x:v>1</x:v>
      </x:c>
      <x:c r="L889" s="56" t="str">
        <x:f>'Actions'!BE20</x:f>
        <x:v>OK</x:v>
      </x:c>
      <x:c r="M889" s="44" t="str">
        <x:v>Источник Actions.Hit Range Min</x:v>
      </x:c>
    </x:row>
    <x:row r="890" ht="36" customHeight="1">
      <x:c r="A890" s="118" t="n">
        <x:v>885</x:v>
      </x:c>
      <x:c r="B890" s="35" t="str">
        <x:v>action</x:v>
      </x:c>
      <x:c r="C890" s="35" t="str">
        <x:v>kangaroo_flying_kick</x:v>
      </x:c>
      <x:c r="D890" s="35" t="str">
        <x:v>hit_range_max</x:v>
      </x:c>
      <x:c r="E890" s="38" t="str">
        <x:v>int</x:v>
      </x:c>
      <x:c r="F890" s="56" t="n">
        <x:f>'Actions'!K20</x:f>
        <x:v>1150</x:v>
      </x:c>
      <x:c r="G890" s="38" t="str"/>
      <x:c r="H890" s="35" t="str">
        <x:v>Actions</x:v>
      </x:c>
      <x:c r="I890" s="35" t="str">
        <x:v>K20</x:v>
      </x:c>
      <x:c r="J890" s="85" t="b">
        <x:v>1</x:v>
      </x:c>
      <x:c r="K890" s="85" t="b">
        <x:v>1</x:v>
      </x:c>
      <x:c r="L890" s="56" t="str">
        <x:f>'Actions'!BE20</x:f>
        <x:v>OK</x:v>
      </x:c>
      <x:c r="M890" s="44" t="str">
        <x:v>Источник Actions.Hit Range Max</x:v>
      </x:c>
    </x:row>
    <x:row r="891" ht="36" customHeight="1">
      <x:c r="A891" s="118" t="n">
        <x:v>886</x:v>
      </x:c>
      <x:c r="B891" s="35" t="str">
        <x:v>action</x:v>
      </x:c>
      <x:c r="C891" s="35" t="str">
        <x:v>kangaroo_flying_kick</x:v>
      </x:c>
      <x:c r="D891" s="35" t="str">
        <x:v>energy_cost</x:v>
      </x:c>
      <x:c r="E891" s="38" t="str">
        <x:v>int</x:v>
      </x:c>
      <x:c r="F891" s="56" t="n">
        <x:f>'Actions'!L20</x:f>
        <x:v>260</x:v>
      </x:c>
      <x:c r="G891" s="38" t="str"/>
      <x:c r="H891" s="35" t="str">
        <x:v>Actions</x:v>
      </x:c>
      <x:c r="I891" s="35" t="str">
        <x:v>L20</x:v>
      </x:c>
      <x:c r="J891" s="85" t="b">
        <x:v>1</x:v>
      </x:c>
      <x:c r="K891" s="85" t="b">
        <x:v>1</x:v>
      </x:c>
      <x:c r="L891" s="56" t="str">
        <x:f>'Actions'!BE20</x:f>
        <x:v>OK</x:v>
      </x:c>
      <x:c r="M891" s="44" t="str">
        <x:v>Источник Actions.Energy Cost</x:v>
      </x:c>
    </x:row>
    <x:row r="892" ht="36" customHeight="1">
      <x:c r="A892" s="118" t="n">
        <x:v>887</x:v>
      </x:c>
      <x:c r="B892" s="35" t="str">
        <x:v>action</x:v>
      </x:c>
      <x:c r="C892" s="35" t="str">
        <x:v>kangaroo_flying_kick</x:v>
      </x:c>
      <x:c r="D892" s="35" t="str">
        <x:v>resource_cost</x:v>
      </x:c>
      <x:c r="E892" s="38" t="str">
        <x:v>int</x:v>
      </x:c>
      <x:c r="F892" s="56" t="n">
        <x:f>'Actions'!M20</x:f>
        <x:v>350</x:v>
      </x:c>
      <x:c r="G892" s="38" t="str"/>
      <x:c r="H892" s="35" t="str">
        <x:v>Actions</x:v>
      </x:c>
      <x:c r="I892" s="35" t="str">
        <x:v>M20</x:v>
      </x:c>
      <x:c r="J892" s="85" t="b">
        <x:v>1</x:v>
      </x:c>
      <x:c r="K892" s="85" t="b">
        <x:v>1</x:v>
      </x:c>
      <x:c r="L892" s="56" t="str">
        <x:f>'Actions'!BE20</x:f>
        <x:v>OK</x:v>
      </x:c>
      <x:c r="M892" s="44" t="str">
        <x:v>Источник Actions.Resource Cost</x:v>
      </x:c>
    </x:row>
    <x:row r="893" ht="36" customHeight="1">
      <x:c r="A893" s="118" t="n">
        <x:v>888</x:v>
      </x:c>
      <x:c r="B893" s="35" t="str">
        <x:v>action</x:v>
      </x:c>
      <x:c r="C893" s="35" t="str">
        <x:v>kangaroo_flying_kick</x:v>
      </x:c>
      <x:c r="D893" s="35" t="str">
        <x:v>base_damage</x:v>
      </x:c>
      <x:c r="E893" s="38" t="str">
        <x:v>int</x:v>
      </x:c>
      <x:c r="F893" s="56" t="n">
        <x:f>'Actions'!N20</x:f>
        <x:v>65</x:v>
      </x:c>
      <x:c r="G893" s="38" t="str"/>
      <x:c r="H893" s="35" t="str">
        <x:v>Actions</x:v>
      </x:c>
      <x:c r="I893" s="35" t="str">
        <x:v>N20</x:v>
      </x:c>
      <x:c r="J893" s="85" t="b">
        <x:v>1</x:v>
      </x:c>
      <x:c r="K893" s="85" t="b">
        <x:v>1</x:v>
      </x:c>
      <x:c r="L893" s="56" t="str">
        <x:f>'Actions'!BE20</x:f>
        <x:v>OK</x:v>
      </x:c>
      <x:c r="M893" s="44" t="str">
        <x:v>Источник Actions.Base Damage / hit</x:v>
      </x:c>
    </x:row>
    <x:row r="894" ht="36" customHeight="1">
      <x:c r="A894" s="118" t="n">
        <x:v>889</x:v>
      </x:c>
      <x:c r="B894" s="35" t="str">
        <x:v>action</x:v>
      </x:c>
      <x:c r="C894" s="35" t="str">
        <x:v>kangaroo_flying_kick</x:v>
      </x:c>
      <x:c r="D894" s="35" t="str">
        <x:v>power_ratio_fp</x:v>
      </x:c>
      <x:c r="E894" s="38" t="str">
        <x:v>int</x:v>
      </x:c>
      <x:c r="F894" s="56" t="n">
        <x:f>'Actions'!O20</x:f>
        <x:v>850</x:v>
      </x:c>
      <x:c r="G894" s="38" t="str"/>
      <x:c r="H894" s="35" t="str">
        <x:v>Actions</x:v>
      </x:c>
      <x:c r="I894" s="35" t="str">
        <x:v>O20</x:v>
      </x:c>
      <x:c r="J894" s="85" t="b">
        <x:v>1</x:v>
      </x:c>
      <x:c r="K894" s="85" t="b">
        <x:v>1</x:v>
      </x:c>
      <x:c r="L894" s="56" t="str">
        <x:f>'Actions'!BE20</x:f>
        <x:v>OK</x:v>
      </x:c>
      <x:c r="M894" s="44" t="str">
        <x:v>Источник Actions.Power Ratio FP</x:v>
      </x:c>
    </x:row>
    <x:row r="895" ht="36" customHeight="1">
      <x:c r="A895" s="118" t="n">
        <x:v>890</x:v>
      </x:c>
      <x:c r="B895" s="35" t="str">
        <x:v>action</x:v>
      </x:c>
      <x:c r="C895" s="35" t="str">
        <x:v>kangaroo_flying_kick</x:v>
      </x:c>
      <x:c r="D895" s="35" t="str">
        <x:v>min_damage</x:v>
      </x:c>
      <x:c r="E895" s="38" t="str">
        <x:v>int</x:v>
      </x:c>
      <x:c r="F895" s="56" t="n">
        <x:f>'Actions'!P20</x:f>
        <x:v>24</x:v>
      </x:c>
      <x:c r="G895" s="38" t="str"/>
      <x:c r="H895" s="35" t="str">
        <x:v>Actions</x:v>
      </x:c>
      <x:c r="I895" s="35" t="str">
        <x:v>P20</x:v>
      </x:c>
      <x:c r="J895" s="85" t="b">
        <x:v>1</x:v>
      </x:c>
      <x:c r="K895" s="85" t="b">
        <x:v>1</x:v>
      </x:c>
      <x:c r="L895" s="56" t="str">
        <x:f>'Actions'!BE20</x:f>
        <x:v>OK</x:v>
      </x:c>
      <x:c r="M895" s="44" t="str">
        <x:v>Источник Actions.Min Damage</x:v>
      </x:c>
    </x:row>
    <x:row r="896" ht="36" customHeight="1">
      <x:c r="A896" s="118" t="n">
        <x:v>891</x:v>
      </x:c>
      <x:c r="B896" s="35" t="str">
        <x:v>action</x:v>
      </x:c>
      <x:c r="C896" s="35" t="str">
        <x:v>kangaroo_flying_kick</x:v>
      </x:c>
      <x:c r="D896" s="35" t="str">
        <x:v>chip_min</x:v>
      </x:c>
      <x:c r="E896" s="38" t="str">
        <x:v>int</x:v>
      </x:c>
      <x:c r="F896" s="56" t="n">
        <x:f>'Actions'!Q20</x:f>
        <x:v>7</x:v>
      </x:c>
      <x:c r="G896" s="38" t="str"/>
      <x:c r="H896" s="35" t="str">
        <x:v>Actions</x:v>
      </x:c>
      <x:c r="I896" s="35" t="str">
        <x:v>Q20</x:v>
      </x:c>
      <x:c r="J896" s="85" t="b">
        <x:v>1</x:v>
      </x:c>
      <x:c r="K896" s="85" t="b">
        <x:v>1</x:v>
      </x:c>
      <x:c r="L896" s="56" t="str">
        <x:f>'Actions'!BE20</x:f>
        <x:v>OK</x:v>
      </x:c>
      <x:c r="M896" s="44" t="str">
        <x:v>Источник Actions.Chip Min</x:v>
      </x:c>
    </x:row>
    <x:row r="897" ht="36" customHeight="1">
      <x:c r="A897" s="118" t="n">
        <x:v>892</x:v>
      </x:c>
      <x:c r="B897" s="35" t="str">
        <x:v>action</x:v>
      </x:c>
      <x:c r="C897" s="35" t="str">
        <x:v>kangaroo_flying_kick</x:v>
      </x:c>
      <x:c r="D897" s="35" t="str">
        <x:v>startup_base_ticks</x:v>
      </x:c>
      <x:c r="E897" s="38" t="str">
        <x:v>int</x:v>
      </x:c>
      <x:c r="F897" s="56" t="n">
        <x:f>'Actions'!R20</x:f>
        <x:v>7</x:v>
      </x:c>
      <x:c r="G897" s="38" t="str"/>
      <x:c r="H897" s="35" t="str">
        <x:v>Actions</x:v>
      </x:c>
      <x:c r="I897" s="35" t="str">
        <x:v>R20</x:v>
      </x:c>
      <x:c r="J897" s="85" t="b">
        <x:v>1</x:v>
      </x:c>
      <x:c r="K897" s="85" t="b">
        <x:v>1</x:v>
      </x:c>
      <x:c r="L897" s="56" t="str">
        <x:f>'Actions'!BE20</x:f>
        <x:v>OK</x:v>
      </x:c>
      <x:c r="M897" s="44" t="str">
        <x:v>Источник Actions.Startup Base Ticks</x:v>
      </x:c>
    </x:row>
    <x:row r="898" ht="36" customHeight="1">
      <x:c r="A898" s="118" t="n">
        <x:v>893</x:v>
      </x:c>
      <x:c r="B898" s="35" t="str">
        <x:v>action</x:v>
      </x:c>
      <x:c r="C898" s="35" t="str">
        <x:v>kangaroo_flying_kick</x:v>
      </x:c>
      <x:c r="D898" s="35" t="str">
        <x:v>startup_min_ticks</x:v>
      </x:c>
      <x:c r="E898" s="38" t="str">
        <x:v>int</x:v>
      </x:c>
      <x:c r="F898" s="56" t="n">
        <x:f>'Actions'!S20</x:f>
        <x:v>4</x:v>
      </x:c>
      <x:c r="G898" s="38" t="str"/>
      <x:c r="H898" s="35" t="str">
        <x:v>Actions</x:v>
      </x:c>
      <x:c r="I898" s="35" t="str">
        <x:v>S20</x:v>
      </x:c>
      <x:c r="J898" s="85" t="b">
        <x:v>1</x:v>
      </x:c>
      <x:c r="K898" s="85" t="b">
        <x:v>1</x:v>
      </x:c>
      <x:c r="L898" s="56" t="str">
        <x:f>'Actions'!BE20</x:f>
        <x:v>OK</x:v>
      </x:c>
      <x:c r="M898" s="44" t="str">
        <x:v>Источник Actions.Startup Min Ticks</x:v>
      </x:c>
    </x:row>
    <x:row r="899" ht="36" customHeight="1">
      <x:c r="A899" s="118" t="n">
        <x:v>894</x:v>
      </x:c>
      <x:c r="B899" s="35" t="str">
        <x:v>action</x:v>
      </x:c>
      <x:c r="C899" s="35" t="str">
        <x:v>kangaroo_flying_kick</x:v>
      </x:c>
      <x:c r="D899" s="35" t="str">
        <x:v>startup_max_ticks</x:v>
      </x:c>
      <x:c r="E899" s="38" t="str">
        <x:v>int</x:v>
      </x:c>
      <x:c r="F899" s="56" t="n">
        <x:f>'Actions'!T20</x:f>
        <x:v>11</x:v>
      </x:c>
      <x:c r="G899" s="38" t="str"/>
      <x:c r="H899" s="35" t="str">
        <x:v>Actions</x:v>
      </x:c>
      <x:c r="I899" s="35" t="str">
        <x:v>T20</x:v>
      </x:c>
      <x:c r="J899" s="85" t="b">
        <x:v>1</x:v>
      </x:c>
      <x:c r="K899" s="85" t="b">
        <x:v>1</x:v>
      </x:c>
      <x:c r="L899" s="56" t="str">
        <x:f>'Actions'!BE20</x:f>
        <x:v>OK</x:v>
      </x:c>
      <x:c r="M899" s="44" t="str">
        <x:v>Источник Actions.Startup Max Ticks</x:v>
      </x:c>
    </x:row>
    <x:row r="900" ht="36" customHeight="1">
      <x:c r="A900" s="118" t="n">
        <x:v>895</x:v>
      </x:c>
      <x:c r="B900" s="35" t="str">
        <x:v>action</x:v>
      </x:c>
      <x:c r="C900" s="35" t="str">
        <x:v>kangaroo_flying_kick</x:v>
      </x:c>
      <x:c r="D900" s="35" t="str">
        <x:v>active_ticks</x:v>
      </x:c>
      <x:c r="E900" s="38" t="str">
        <x:v>int</x:v>
      </x:c>
      <x:c r="F900" s="56" t="n">
        <x:f>'Actions'!U20</x:f>
        <x:v>1</x:v>
      </x:c>
      <x:c r="G900" s="38" t="str"/>
      <x:c r="H900" s="35" t="str">
        <x:v>Actions</x:v>
      </x:c>
      <x:c r="I900" s="35" t="str">
        <x:v>U20</x:v>
      </x:c>
      <x:c r="J900" s="85" t="b">
        <x:v>1</x:v>
      </x:c>
      <x:c r="K900" s="85" t="b">
        <x:v>1</x:v>
      </x:c>
      <x:c r="L900" s="56" t="str">
        <x:f>'Actions'!BE20</x:f>
        <x:v>OK</x:v>
      </x:c>
      <x:c r="M900" s="44" t="str">
        <x:v>Источник Actions.Active Ticks</x:v>
      </x:c>
    </x:row>
    <x:row r="901" ht="36" customHeight="1">
      <x:c r="A901" s="118" t="n">
        <x:v>896</x:v>
      </x:c>
      <x:c r="B901" s="35" t="str">
        <x:v>action</x:v>
      </x:c>
      <x:c r="C901" s="35" t="str">
        <x:v>kangaroo_flying_kick</x:v>
      </x:c>
      <x:c r="D901" s="35" t="str">
        <x:v>hit_schedule</x:v>
      </x:c>
      <x:c r="E901" s="38" t="str">
        <x:v>string</x:v>
      </x:c>
      <x:c r="F901" s="56" t="str">
        <x:f>'Actions'!V20</x:f>
        <x:v>0</x:v>
      </x:c>
      <x:c r="G901" s="38" t="str"/>
      <x:c r="H901" s="35" t="str">
        <x:v>Actions</x:v>
      </x:c>
      <x:c r="I901" s="35" t="str">
        <x:v>V20</x:v>
      </x:c>
      <x:c r="J901" s="85" t="b">
        <x:v>1</x:v>
      </x:c>
      <x:c r="K901" s="85" t="b">
        <x:v>1</x:v>
      </x:c>
      <x:c r="L901" s="56" t="str">
        <x:f>'Actions'!BE20</x:f>
        <x:v>OK</x:v>
      </x:c>
      <x:c r="M901" s="44" t="str">
        <x:v>Источник Actions.Hit Schedule</x:v>
      </x:c>
    </x:row>
    <x:row r="902" ht="36" customHeight="1">
      <x:c r="A902" s="118" t="n">
        <x:v>897</x:v>
      </x:c>
      <x:c r="B902" s="35" t="str">
        <x:v>action</x:v>
      </x:c>
      <x:c r="C902" s="35" t="str">
        <x:v>kangaroo_flying_kick</x:v>
      </x:c>
      <x:c r="D902" s="35" t="str">
        <x:v>hit_count</x:v>
      </x:c>
      <x:c r="E902" s="38" t="str">
        <x:v>int</x:v>
      </x:c>
      <x:c r="F902" s="56" t="n">
        <x:f>'Actions'!W20</x:f>
        <x:v>1</x:v>
      </x:c>
      <x:c r="G902" s="38" t="str"/>
      <x:c r="H902" s="35" t="str">
        <x:v>Actions</x:v>
      </x:c>
      <x:c r="I902" s="35" t="str">
        <x:v>W20</x:v>
      </x:c>
      <x:c r="J902" s="85" t="b">
        <x:v>1</x:v>
      </x:c>
      <x:c r="K902" s="85" t="b">
        <x:v>1</x:v>
      </x:c>
      <x:c r="L902" s="56" t="str">
        <x:f>'Actions'!BE20</x:f>
        <x:v>OK</x:v>
      </x:c>
      <x:c r="M902" s="44" t="str">
        <x:v>Источник Actions.Hit Count</x:v>
      </x:c>
    </x:row>
    <x:row r="903" ht="36" customHeight="1">
      <x:c r="A903" s="118" t="n">
        <x:v>898</x:v>
      </x:c>
      <x:c r="B903" s="35" t="str">
        <x:v>action</x:v>
      </x:c>
      <x:c r="C903" s="35" t="str">
        <x:v>kangaroo_flying_kick</x:v>
      </x:c>
      <x:c r="D903" s="35" t="str">
        <x:v>recovery_base_ticks</x:v>
      </x:c>
      <x:c r="E903" s="38" t="str">
        <x:v>int</x:v>
      </x:c>
      <x:c r="F903" s="56" t="n">
        <x:f>'Actions'!X20</x:f>
        <x:v>14</x:v>
      </x:c>
      <x:c r="G903" s="38" t="str"/>
      <x:c r="H903" s="35" t="str">
        <x:v>Actions</x:v>
      </x:c>
      <x:c r="I903" s="35" t="str">
        <x:v>X20</x:v>
      </x:c>
      <x:c r="J903" s="85" t="b">
        <x:v>1</x:v>
      </x:c>
      <x:c r="K903" s="85" t="b">
        <x:v>1</x:v>
      </x:c>
      <x:c r="L903" s="56" t="str">
        <x:f>'Actions'!BE20</x:f>
        <x:v>OK</x:v>
      </x:c>
      <x:c r="M903" s="44" t="str">
        <x:v>Источник Actions.Recovery Base Ticks</x:v>
      </x:c>
    </x:row>
    <x:row r="904" ht="36" customHeight="1">
      <x:c r="A904" s="118" t="n">
        <x:v>899</x:v>
      </x:c>
      <x:c r="B904" s="35" t="str">
        <x:v>action</x:v>
      </x:c>
      <x:c r="C904" s="35" t="str">
        <x:v>kangaroo_flying_kick</x:v>
      </x:c>
      <x:c r="D904" s="35" t="str">
        <x:v>recovery_min_ticks</x:v>
      </x:c>
      <x:c r="E904" s="38" t="str">
        <x:v>int</x:v>
      </x:c>
      <x:c r="F904" s="56" t="n">
        <x:f>'Actions'!Y20</x:f>
        <x:v>9</x:v>
      </x:c>
      <x:c r="G904" s="38" t="str"/>
      <x:c r="H904" s="35" t="str">
        <x:v>Actions</x:v>
      </x:c>
      <x:c r="I904" s="35" t="str">
        <x:v>Y20</x:v>
      </x:c>
      <x:c r="J904" s="85" t="b">
        <x:v>1</x:v>
      </x:c>
      <x:c r="K904" s="85" t="b">
        <x:v>1</x:v>
      </x:c>
      <x:c r="L904" s="56" t="str">
        <x:f>'Actions'!BE20</x:f>
        <x:v>OK</x:v>
      </x:c>
      <x:c r="M904" s="44" t="str">
        <x:v>Источник Actions.Recovery Min Ticks</x:v>
      </x:c>
    </x:row>
    <x:row r="905" ht="36" customHeight="1">
      <x:c r="A905" s="118" t="n">
        <x:v>900</x:v>
      </x:c>
      <x:c r="B905" s="35" t="str">
        <x:v>action</x:v>
      </x:c>
      <x:c r="C905" s="35" t="str">
        <x:v>kangaroo_flying_kick</x:v>
      </x:c>
      <x:c r="D905" s="35" t="str">
        <x:v>recovery_max_ticks</x:v>
      </x:c>
      <x:c r="E905" s="38" t="str">
        <x:v>int</x:v>
      </x:c>
      <x:c r="F905" s="56" t="n">
        <x:f>'Actions'!Z20</x:f>
        <x:v>21</x:v>
      </x:c>
      <x:c r="G905" s="38" t="str"/>
      <x:c r="H905" s="35" t="str">
        <x:v>Actions</x:v>
      </x:c>
      <x:c r="I905" s="35" t="str">
        <x:v>Z20</x:v>
      </x:c>
      <x:c r="J905" s="85" t="b">
        <x:v>1</x:v>
      </x:c>
      <x:c r="K905" s="85" t="b">
        <x:v>1</x:v>
      </x:c>
      <x:c r="L905" s="56" t="str">
        <x:f>'Actions'!BE20</x:f>
        <x:v>OK</x:v>
      </x:c>
      <x:c r="M905" s="44" t="str">
        <x:v>Источник Actions.Recovery Max Ticks</x:v>
      </x:c>
    </x:row>
    <x:row r="906" ht="36" customHeight="1">
      <x:c r="A906" s="118" t="n">
        <x:v>901</x:v>
      </x:c>
      <x:c r="B906" s="35" t="str">
        <x:v>action</x:v>
      </x:c>
      <x:c r="C906" s="35" t="str">
        <x:v>kangaroo_flying_kick</x:v>
      </x:c>
      <x:c r="D906" s="35" t="str">
        <x:v>cooldown_ticks</x:v>
      </x:c>
      <x:c r="E906" s="38" t="str">
        <x:v>int</x:v>
      </x:c>
      <x:c r="F906" s="56" t="n">
        <x:f>'Actions'!AA20</x:f>
        <x:v>60</x:v>
      </x:c>
      <x:c r="G906" s="38" t="str"/>
      <x:c r="H906" s="35" t="str">
        <x:v>Actions</x:v>
      </x:c>
      <x:c r="I906" s="35" t="str">
        <x:v>AA20</x:v>
      </x:c>
      <x:c r="J906" s="85" t="b">
        <x:v>1</x:v>
      </x:c>
      <x:c r="K906" s="85" t="b">
        <x:v>1</x:v>
      </x:c>
      <x:c r="L906" s="56" t="str">
        <x:f>'Actions'!BE20</x:f>
        <x:v>OK</x:v>
      </x:c>
      <x:c r="M906" s="44" t="str">
        <x:v>Источник Actions.Cooldown Ticks</x:v>
      </x:c>
    </x:row>
    <x:row r="907" ht="36" customHeight="1">
      <x:c r="A907" s="118" t="n">
        <x:v>902</x:v>
      </x:c>
      <x:c r="B907" s="35" t="str">
        <x:v>action</x:v>
      </x:c>
      <x:c r="C907" s="35" t="str">
        <x:v>kangaroo_flying_kick</x:v>
      </x:c>
      <x:c r="D907" s="35" t="str">
        <x:v>action_priority</x:v>
      </x:c>
      <x:c r="E907" s="38" t="str">
        <x:v>int</x:v>
      </x:c>
      <x:c r="F907" s="56" t="n">
        <x:f>'Actions'!AB20</x:f>
        <x:v>62</x:v>
      </x:c>
      <x:c r="G907" s="38" t="str"/>
      <x:c r="H907" s="35" t="str">
        <x:v>Actions</x:v>
      </x:c>
      <x:c r="I907" s="35" t="str">
        <x:v>AB20</x:v>
      </x:c>
      <x:c r="J907" s="85" t="b">
        <x:v>1</x:v>
      </x:c>
      <x:c r="K907" s="85" t="b">
        <x:v>1</x:v>
      </x:c>
      <x:c r="L907" s="56" t="str">
        <x:f>'Actions'!BE20</x:f>
        <x:v>OK</x:v>
      </x:c>
      <x:c r="M907" s="44" t="str">
        <x:v>Источник Actions.Action Priority</x:v>
      </x:c>
    </x:row>
    <x:row r="908" ht="36" customHeight="1">
      <x:c r="A908" s="118" t="n">
        <x:v>903</x:v>
      </x:c>
      <x:c r="B908" s="35" t="str">
        <x:v>action</x:v>
      </x:c>
      <x:c r="C908" s="35" t="str">
        <x:v>kangaroo_flying_kick</x:v>
      </x:c>
      <x:c r="D908" s="35" t="str">
        <x:v>clash_priority</x:v>
      </x:c>
      <x:c r="E908" s="38" t="str">
        <x:v>int</x:v>
      </x:c>
      <x:c r="F908" s="56" t="n">
        <x:f>'Actions'!AC20</x:f>
        <x:v>62</x:v>
      </x:c>
      <x:c r="G908" s="38" t="str"/>
      <x:c r="H908" s="35" t="str">
        <x:v>Actions</x:v>
      </x:c>
      <x:c r="I908" s="35" t="str">
        <x:v>AC20</x:v>
      </x:c>
      <x:c r="J908" s="85" t="b">
        <x:v>1</x:v>
      </x:c>
      <x:c r="K908" s="85" t="b">
        <x:v>1</x:v>
      </x:c>
      <x:c r="L908" s="56" t="str">
        <x:f>'Actions'!BE20</x:f>
        <x:v>OK</x:v>
      </x:c>
      <x:c r="M908" s="44" t="str">
        <x:v>Источник Actions.Clash Priority</x:v>
      </x:c>
    </x:row>
    <x:row r="909" ht="36" customHeight="1">
      <x:c r="A909" s="118" t="n">
        <x:v>904</x:v>
      </x:c>
      <x:c r="B909" s="35" t="str">
        <x:v>action</x:v>
      </x:c>
      <x:c r="C909" s="35" t="str">
        <x:v>kangaroo_flying_kick</x:v>
      </x:c>
      <x:c r="D909" s="35" t="str">
        <x:v>grab_priority</x:v>
      </x:c>
      <x:c r="E909" s="38" t="str">
        <x:v>int</x:v>
      </x:c>
      <x:c r="F909" s="56" t="n">
        <x:f>'Actions'!AD20</x:f>
        <x:v>0</x:v>
      </x:c>
      <x:c r="G909" s="38" t="str"/>
      <x:c r="H909" s="35" t="str">
        <x:v>Actions</x:v>
      </x:c>
      <x:c r="I909" s="35" t="str">
        <x:v>AD20</x:v>
      </x:c>
      <x:c r="J909" s="85" t="b">
        <x:v>1</x:v>
      </x:c>
      <x:c r="K909" s="85" t="b">
        <x:v>1</x:v>
      </x:c>
      <x:c r="L909" s="56" t="str">
        <x:f>'Actions'!BE20</x:f>
        <x:v>OK</x:v>
      </x:c>
      <x:c r="M909" s="44" t="str">
        <x:v>Источник Actions.Grab Priority</x:v>
      </x:c>
    </x:row>
    <x:row r="910" ht="36" customHeight="1">
      <x:c r="A910" s="118" t="n">
        <x:v>905</x:v>
      </x:c>
      <x:c r="B910" s="35" t="str">
        <x:v>action</x:v>
      </x:c>
      <x:c r="C910" s="35" t="str">
        <x:v>kangaroo_flying_kick</x:v>
      </x:c>
      <x:c r="D910" s="35" t="str">
        <x:v>resolution_priority</x:v>
      </x:c>
      <x:c r="E910" s="38" t="str">
        <x:v>int</x:v>
      </x:c>
      <x:c r="F910" s="56" t="n">
        <x:f>'Actions'!AE20</x:f>
        <x:v>62</x:v>
      </x:c>
      <x:c r="G910" s="38" t="str"/>
      <x:c r="H910" s="35" t="str">
        <x:v>Actions</x:v>
      </x:c>
      <x:c r="I910" s="35" t="str">
        <x:v>AE20</x:v>
      </x:c>
      <x:c r="J910" s="85" t="b">
        <x:v>1</x:v>
      </x:c>
      <x:c r="K910" s="85" t="b">
        <x:v>1</x:v>
      </x:c>
      <x:c r="L910" s="56" t="str">
        <x:f>'Actions'!BE20</x:f>
        <x:v>OK</x:v>
      </x:c>
      <x:c r="M910" s="44" t="str">
        <x:v>Источник Actions.Resolution Priority</x:v>
      </x:c>
    </x:row>
    <x:row r="911" ht="36" customHeight="1">
      <x:c r="A911" s="118" t="n">
        <x:v>906</x:v>
      </x:c>
      <x:c r="B911" s="35" t="str">
        <x:v>action</x:v>
      </x:c>
      <x:c r="C911" s="35" t="str">
        <x:v>kangaroo_flying_kick</x:v>
      </x:c>
      <x:c r="D911" s="35" t="str">
        <x:v>interrupt_profile</x:v>
      </x:c>
      <x:c r="E911" s="38" t="str">
        <x:v>string</x:v>
      </x:c>
      <x:c r="F911" s="56" t="str">
        <x:f>'Actions'!AF20</x:f>
        <x:v>Committed</x:v>
      </x:c>
      <x:c r="G911" s="38" t="str"/>
      <x:c r="H911" s="35" t="str">
        <x:v>Actions</x:v>
      </x:c>
      <x:c r="I911" s="35" t="str">
        <x:v>AF20</x:v>
      </x:c>
      <x:c r="J911" s="85" t="b">
        <x:v>1</x:v>
      </x:c>
      <x:c r="K911" s="85" t="b">
        <x:v>1</x:v>
      </x:c>
      <x:c r="L911" s="56" t="str">
        <x:f>'Actions'!BE20</x:f>
        <x:v>OK</x:v>
      </x:c>
      <x:c r="M911" s="44" t="str">
        <x:v>Источник Actions.Interrupt Profile</x:v>
      </x:c>
    </x:row>
    <x:row r="912" ht="36" customHeight="1">
      <x:c r="A912" s="118" t="n">
        <x:v>907</x:v>
      </x:c>
      <x:c r="B912" s="35" t="str">
        <x:v>action</x:v>
      </x:c>
      <x:c r="C912" s="35" t="str">
        <x:v>kangaroo_flying_kick</x:v>
      </x:c>
      <x:c r="D912" s="35" t="str">
        <x:v>blockable</x:v>
      </x:c>
      <x:c r="E912" s="38" t="str">
        <x:v>bool</x:v>
      </x:c>
      <x:c r="F912" s="56" t="b">
        <x:f>'Actions'!AG20</x:f>
        <x:v>1</x:v>
      </x:c>
      <x:c r="G912" s="38" t="str"/>
      <x:c r="H912" s="35" t="str">
        <x:v>Actions</x:v>
      </x:c>
      <x:c r="I912" s="35" t="str">
        <x:v>AG20</x:v>
      </x:c>
      <x:c r="J912" s="85" t="b">
        <x:v>1</x:v>
      </x:c>
      <x:c r="K912" s="85" t="b">
        <x:v>1</x:v>
      </x:c>
      <x:c r="L912" s="56" t="str">
        <x:f>'Actions'!BE20</x:f>
        <x:v>OK</x:v>
      </x:c>
      <x:c r="M912" s="44" t="str">
        <x:v>Источник Actions.Blockable</x:v>
      </x:c>
    </x:row>
    <x:row r="913" ht="36" customHeight="1">
      <x:c r="A913" s="118" t="n">
        <x:v>908</x:v>
      </x:c>
      <x:c r="B913" s="35" t="str">
        <x:v>action</x:v>
      </x:c>
      <x:c r="C913" s="35" t="str">
        <x:v>kangaroo_flying_kick</x:v>
      </x:c>
      <x:c r="D913" s="35" t="str">
        <x:v>dodgeable</x:v>
      </x:c>
      <x:c r="E913" s="38" t="str">
        <x:v>bool</x:v>
      </x:c>
      <x:c r="F913" s="56" t="b">
        <x:f>'Actions'!AH20</x:f>
        <x:v>1</x:v>
      </x:c>
      <x:c r="G913" s="38" t="str"/>
      <x:c r="H913" s="35" t="str">
        <x:v>Actions</x:v>
      </x:c>
      <x:c r="I913" s="35" t="str">
        <x:v>AH20</x:v>
      </x:c>
      <x:c r="J913" s="85" t="b">
        <x:v>1</x:v>
      </x:c>
      <x:c r="K913" s="85" t="b">
        <x:v>1</x:v>
      </x:c>
      <x:c r="L913" s="56" t="str">
        <x:f>'Actions'!BE20</x:f>
        <x:v>OK</x:v>
      </x:c>
      <x:c r="M913" s="44" t="str">
        <x:v>Источник Actions.Dodgeable</x:v>
      </x:c>
    </x:row>
    <x:row r="914" ht="36" customHeight="1">
      <x:c r="A914" s="118" t="n">
        <x:v>909</x:v>
      </x:c>
      <x:c r="B914" s="35" t="str">
        <x:v>action</x:v>
      </x:c>
      <x:c r="C914" s="35" t="str">
        <x:v>kangaroo_flying_kick</x:v>
      </x:c>
      <x:c r="D914" s="35" t="str">
        <x:v>undodgeable</x:v>
      </x:c>
      <x:c r="E914" s="38" t="str">
        <x:v>bool</x:v>
      </x:c>
      <x:c r="F914" s="56" t="b">
        <x:f>'Actions'!AI20</x:f>
        <x:v>0</x:v>
      </x:c>
      <x:c r="G914" s="38" t="str"/>
      <x:c r="H914" s="35" t="str">
        <x:v>Actions</x:v>
      </x:c>
      <x:c r="I914" s="35" t="str">
        <x:v>AI20</x:v>
      </x:c>
      <x:c r="J914" s="85" t="b">
        <x:v>1</x:v>
      </x:c>
      <x:c r="K914" s="85" t="b">
        <x:v>1</x:v>
      </x:c>
      <x:c r="L914" s="56" t="str">
        <x:f>'Actions'!BE20</x:f>
        <x:v>OK</x:v>
      </x:c>
      <x:c r="M914" s="44" t="str">
        <x:v>Источник Actions.Undodgeable</x:v>
      </x:c>
    </x:row>
    <x:row r="915" ht="36" customHeight="1">
      <x:c r="A915" s="118" t="n">
        <x:v>910</x:v>
      </x:c>
      <x:c r="B915" s="35" t="str">
        <x:v>action</x:v>
      </x:c>
      <x:c r="C915" s="35" t="str">
        <x:v>kangaroo_flying_kick</x:v>
      </x:c>
      <x:c r="D915" s="35" t="str">
        <x:v>wall_impact</x:v>
      </x:c>
      <x:c r="E915" s="38" t="str">
        <x:v>bool</x:v>
      </x:c>
      <x:c r="F915" s="56" t="b">
        <x:f>'Actions'!AJ20</x:f>
        <x:v>1</x:v>
      </x:c>
      <x:c r="G915" s="38" t="str"/>
      <x:c r="H915" s="35" t="str">
        <x:v>Actions</x:v>
      </x:c>
      <x:c r="I915" s="35" t="str">
        <x:v>AJ20</x:v>
      </x:c>
      <x:c r="J915" s="85" t="b">
        <x:v>1</x:v>
      </x:c>
      <x:c r="K915" s="85" t="b">
        <x:v>1</x:v>
      </x:c>
      <x:c r="L915" s="56" t="str">
        <x:f>'Actions'!BE20</x:f>
        <x:v>OK</x:v>
      </x:c>
      <x:c r="M915" s="44" t="str">
        <x:v>Источник Actions.Wall Impact</x:v>
      </x:c>
    </x:row>
    <x:row r="916" ht="36" customHeight="1">
      <x:c r="A916" s="118" t="n">
        <x:v>911</x:v>
      </x:c>
      <x:c r="B916" s="35" t="str">
        <x:v>action</x:v>
      </x:c>
      <x:c r="C916" s="35" t="str">
        <x:v>kangaroo_flying_kick</x:v>
      </x:c>
      <x:c r="D916" s="35" t="str">
        <x:v>track_target</x:v>
      </x:c>
      <x:c r="E916" s="38" t="str">
        <x:v>bool</x:v>
      </x:c>
      <x:c r="F916" s="56" t="b">
        <x:f>'Actions'!AK20</x:f>
        <x:v>0</x:v>
      </x:c>
      <x:c r="G916" s="38" t="str"/>
      <x:c r="H916" s="35" t="str">
        <x:v>Actions</x:v>
      </x:c>
      <x:c r="I916" s="35" t="str">
        <x:v>AK20</x:v>
      </x:c>
      <x:c r="J916" s="85" t="b">
        <x:v>1</x:v>
      </x:c>
      <x:c r="K916" s="85" t="b">
        <x:v>1</x:v>
      </x:c>
      <x:c r="L916" s="56" t="str">
        <x:f>'Actions'!BE20</x:f>
        <x:v>OK</x:v>
      </x:c>
      <x:c r="M916" s="44" t="str">
        <x:v>Источник Actions.Track Target</x:v>
      </x:c>
    </x:row>
    <x:row r="917" ht="36" customHeight="1">
      <x:c r="A917" s="118" t="n">
        <x:v>912</x:v>
      </x:c>
      <x:c r="B917" s="35" t="str">
        <x:v>action</x:v>
      </x:c>
      <x:c r="C917" s="35" t="str">
        <x:v>kangaroo_flying_kick</x:v>
      </x:c>
      <x:c r="D917" s="35" t="str">
        <x:v>block_base_chance_fp</x:v>
      </x:c>
      <x:c r="E917" s="38" t="str">
        <x:v>int</x:v>
      </x:c>
      <x:c r="F917" s="56" t="n">
        <x:f>'Actions'!AL20</x:f>
        <x:v>0</x:v>
      </x:c>
      <x:c r="G917" s="38" t="str"/>
      <x:c r="H917" s="35" t="str">
        <x:v>Actions</x:v>
      </x:c>
      <x:c r="I917" s="35" t="str">
        <x:v>AL20</x:v>
      </x:c>
      <x:c r="J917" s="85" t="b">
        <x:v>1</x:v>
      </x:c>
      <x:c r="K917" s="85" t="b">
        <x:v>1</x:v>
      </x:c>
      <x:c r="L917" s="56" t="str">
        <x:f>'Actions'!BE20</x:f>
        <x:v>OK</x:v>
      </x:c>
      <x:c r="M917" s="44" t="str">
        <x:v>Источник Actions.Block Base Chance FP</x:v>
      </x:c>
    </x:row>
    <x:row r="918" ht="36" customHeight="1">
      <x:c r="A918" s="118" t="n">
        <x:v>913</x:v>
      </x:c>
      <x:c r="B918" s="35" t="str">
        <x:v>action</x:v>
      </x:c>
      <x:c r="C918" s="35" t="str">
        <x:v>kangaroo_flying_kick</x:v>
      </x:c>
      <x:c r="D918" s="35" t="str">
        <x:v>block_reduction_fp</x:v>
      </x:c>
      <x:c r="E918" s="38" t="str">
        <x:v>int</x:v>
      </x:c>
      <x:c r="F918" s="56" t="n">
        <x:f>'Actions'!AM20</x:f>
        <x:v>0</x:v>
      </x:c>
      <x:c r="G918" s="38" t="str"/>
      <x:c r="H918" s="35" t="str">
        <x:v>Actions</x:v>
      </x:c>
      <x:c r="I918" s="35" t="str">
        <x:v>AM20</x:v>
      </x:c>
      <x:c r="J918" s="85" t="b">
        <x:v>1</x:v>
      </x:c>
      <x:c r="K918" s="85" t="b">
        <x:v>1</x:v>
      </x:c>
      <x:c r="L918" s="56" t="str">
        <x:f>'Actions'!BE20</x:f>
        <x:v>OK</x:v>
      </x:c>
      <x:c r="M918" s="44" t="str">
        <x:v>Источник Actions.Block Reduction FP</x:v>
      </x:c>
    </x:row>
    <x:row r="919" ht="36" customHeight="1">
      <x:c r="A919" s="118" t="n">
        <x:v>914</x:v>
      </x:c>
      <x:c r="B919" s="35" t="str">
        <x:v>action</x:v>
      </x:c>
      <x:c r="C919" s="35" t="str">
        <x:v>kangaroo_flying_kick</x:v>
      </x:c>
      <x:c r="D919" s="35" t="str">
        <x:v>dodge_base_chance_fp</x:v>
      </x:c>
      <x:c r="E919" s="38" t="str">
        <x:v>int</x:v>
      </x:c>
      <x:c r="F919" s="56" t="n">
        <x:f>'Actions'!AN20</x:f>
        <x:v>0</x:v>
      </x:c>
      <x:c r="G919" s="38" t="str"/>
      <x:c r="H919" s="35" t="str">
        <x:v>Actions</x:v>
      </x:c>
      <x:c r="I919" s="35" t="str">
        <x:v>AN20</x:v>
      </x:c>
      <x:c r="J919" s="85" t="b">
        <x:v>1</x:v>
      </x:c>
      <x:c r="K919" s="85" t="b">
        <x:v>1</x:v>
      </x:c>
      <x:c r="L919" s="56" t="str">
        <x:f>'Actions'!BE20</x:f>
        <x:v>OK</x:v>
      </x:c>
      <x:c r="M919" s="44" t="str">
        <x:v>Источник Actions.Dodge Base Chance FP</x:v>
      </x:c>
    </x:row>
    <x:row r="920" ht="36" customHeight="1">
      <x:c r="A920" s="118" t="n">
        <x:v>915</x:v>
      </x:c>
      <x:c r="B920" s="35" t="str">
        <x:v>action</x:v>
      </x:c>
      <x:c r="C920" s="35" t="str">
        <x:v>kangaroo_flying_kick</x:v>
      </x:c>
      <x:c r="D920" s="35" t="str">
        <x:v>movement_mode</x:v>
      </x:c>
      <x:c r="E920" s="38" t="str">
        <x:v>string</x:v>
      </x:c>
      <x:c r="F920" s="56" t="str">
        <x:f>'Actions'!AO20</x:f>
        <x:v>Approach</x:v>
      </x:c>
      <x:c r="G920" s="38" t="str"/>
      <x:c r="H920" s="35" t="str">
        <x:v>Actions</x:v>
      </x:c>
      <x:c r="I920" s="35" t="str">
        <x:v>AO20</x:v>
      </x:c>
      <x:c r="J920" s="85" t="b">
        <x:v>1</x:v>
      </x:c>
      <x:c r="K920" s="85" t="b">
        <x:v>1</x:v>
      </x:c>
      <x:c r="L920" s="56" t="str">
        <x:f>'Actions'!BE20</x:f>
        <x:v>OK</x:v>
      </x:c>
      <x:c r="M920" s="44" t="str">
        <x:v>Источник Actions.Movement Mode</x:v>
      </x:c>
    </x:row>
    <x:row r="921" ht="36" customHeight="1">
      <x:c r="A921" s="118" t="n">
        <x:v>916</x:v>
      </x:c>
      <x:c r="B921" s="35" t="str">
        <x:v>action</x:v>
      </x:c>
      <x:c r="C921" s="35" t="str">
        <x:v>kangaroo_flying_kick</x:v>
      </x:c>
      <x:c r="D921" s="35" t="str">
        <x:v>move_distance</x:v>
      </x:c>
      <x:c r="E921" s="38" t="str">
        <x:v>int</x:v>
      </x:c>
      <x:c r="F921" s="56" t="n">
        <x:f>'Actions'!AP20</x:f>
        <x:v>2300</x:v>
      </x:c>
      <x:c r="G921" s="38" t="str"/>
      <x:c r="H921" s="35" t="str">
        <x:v>Actions</x:v>
      </x:c>
      <x:c r="I921" s="35" t="str">
        <x:v>AP20</x:v>
      </x:c>
      <x:c r="J921" s="85" t="b">
        <x:v>1</x:v>
      </x:c>
      <x:c r="K921" s="85" t="b">
        <x:v>1</x:v>
      </x:c>
      <x:c r="L921" s="56" t="str">
        <x:f>'Actions'!BE20</x:f>
        <x:v>OK</x:v>
      </x:c>
      <x:c r="M921" s="44" t="str">
        <x:v>Источник Actions.Move Distance</x:v>
      </x:c>
    </x:row>
    <x:row r="922" ht="36" customHeight="1">
      <x:c r="A922" s="118" t="n">
        <x:v>917</x:v>
      </x:c>
      <x:c r="B922" s="35" t="str">
        <x:v>action</x:v>
      </x:c>
      <x:c r="C922" s="35" t="str">
        <x:v>kangaroo_flying_kick</x:v>
      </x:c>
      <x:c r="D922" s="35" t="str">
        <x:v>base_stagger</x:v>
      </x:c>
      <x:c r="E922" s="38" t="str">
        <x:v>int</x:v>
      </x:c>
      <x:c r="F922" s="56" t="n">
        <x:f>'Actions'!AQ20</x:f>
        <x:v>125</x:v>
      </x:c>
      <x:c r="G922" s="38" t="str"/>
      <x:c r="H922" s="35" t="str">
        <x:v>Actions</x:v>
      </x:c>
      <x:c r="I922" s="35" t="str">
        <x:v>AQ20</x:v>
      </x:c>
      <x:c r="J922" s="85" t="b">
        <x:v>1</x:v>
      </x:c>
      <x:c r="K922" s="85" t="b">
        <x:v>1</x:v>
      </x:c>
      <x:c r="L922" s="56" t="str">
        <x:f>'Actions'!BE20</x:f>
        <x:v>OK</x:v>
      </x:c>
      <x:c r="M922" s="44" t="str">
        <x:v>Источник Actions.Base Stagger</x:v>
      </x:c>
    </x:row>
    <x:row r="923" ht="36" customHeight="1">
      <x:c r="A923" s="118" t="n">
        <x:v>918</x:v>
      </x:c>
      <x:c r="B923" s="35" t="str">
        <x:v>action</x:v>
      </x:c>
      <x:c r="C923" s="35" t="str">
        <x:v>kangaroo_flying_kick</x:v>
      </x:c>
      <x:c r="D923" s="35" t="str">
        <x:v>base_stun_ticks</x:v>
      </x:c>
      <x:c r="E923" s="38" t="str">
        <x:v>int</x:v>
      </x:c>
      <x:c r="F923" s="56" t="n">
        <x:f>'Actions'!AR20</x:f>
        <x:v>5</x:v>
      </x:c>
      <x:c r="G923" s="38" t="str"/>
      <x:c r="H923" s="35" t="str">
        <x:v>Actions</x:v>
      </x:c>
      <x:c r="I923" s="35" t="str">
        <x:v>AR20</x:v>
      </x:c>
      <x:c r="J923" s="85" t="b">
        <x:v>1</x:v>
      </x:c>
      <x:c r="K923" s="85" t="b">
        <x:v>1</x:v>
      </x:c>
      <x:c r="L923" s="56" t="str">
        <x:f>'Actions'!BE20</x:f>
        <x:v>OK</x:v>
      </x:c>
      <x:c r="M923" s="44" t="str">
        <x:v>Источник Actions.Base Stun Ticks</x:v>
      </x:c>
    </x:row>
    <x:row r="924" ht="36" customHeight="1">
      <x:c r="A924" s="118" t="n">
        <x:v>919</x:v>
      </x:c>
      <x:c r="B924" s="35" t="str">
        <x:v>action</x:v>
      </x:c>
      <x:c r="C924" s="35" t="str">
        <x:v>kangaroo_flying_kick</x:v>
      </x:c>
      <x:c r="D924" s="35" t="str">
        <x:v>base_knockback</x:v>
      </x:c>
      <x:c r="E924" s="38" t="str">
        <x:v>int</x:v>
      </x:c>
      <x:c r="F924" s="56" t="n">
        <x:f>'Actions'!AS20</x:f>
        <x:v>1100</x:v>
      </x:c>
      <x:c r="G924" s="38" t="str"/>
      <x:c r="H924" s="35" t="str">
        <x:v>Actions</x:v>
      </x:c>
      <x:c r="I924" s="35" t="str">
        <x:v>AS20</x:v>
      </x:c>
      <x:c r="J924" s="85" t="b">
        <x:v>1</x:v>
      </x:c>
      <x:c r="K924" s="85" t="b">
        <x:v>1</x:v>
      </x:c>
      <x:c r="L924" s="56" t="str">
        <x:f>'Actions'!BE20</x:f>
        <x:v>OK</x:v>
      </x:c>
      <x:c r="M924" s="44" t="str">
        <x:v>Источник Actions.Base Knockback</x:v>
      </x:c>
    </x:row>
    <x:row r="925" ht="36" customHeight="1">
      <x:c r="A925" s="118" t="n">
        <x:v>920</x:v>
      </x:c>
      <x:c r="B925" s="35" t="str">
        <x:v>action</x:v>
      </x:c>
      <x:c r="C925" s="35" t="str">
        <x:v>kangaroo_flying_kick</x:v>
      </x:c>
      <x:c r="D925" s="35" t="str">
        <x:v>knockback_min</x:v>
      </x:c>
      <x:c r="E925" s="38" t="str">
        <x:v>int</x:v>
      </x:c>
      <x:c r="F925" s="56" t="n">
        <x:f>'Actions'!AT20</x:f>
        <x:v>450</x:v>
      </x:c>
      <x:c r="G925" s="38" t="str"/>
      <x:c r="H925" s="35" t="str">
        <x:v>Actions</x:v>
      </x:c>
      <x:c r="I925" s="35" t="str">
        <x:v>AT20</x:v>
      </x:c>
      <x:c r="J925" s="85" t="b">
        <x:v>1</x:v>
      </x:c>
      <x:c r="K925" s="85" t="b">
        <x:v>1</x:v>
      </x:c>
      <x:c r="L925" s="56" t="str">
        <x:f>'Actions'!BE20</x:f>
        <x:v>OK</x:v>
      </x:c>
      <x:c r="M925" s="44" t="str">
        <x:v>Источник Actions.Knockback Min</x:v>
      </x:c>
    </x:row>
    <x:row r="926" ht="36" customHeight="1">
      <x:c r="A926" s="118" t="n">
        <x:v>921</x:v>
      </x:c>
      <x:c r="B926" s="35" t="str">
        <x:v>action</x:v>
      </x:c>
      <x:c r="C926" s="35" t="str">
        <x:v>kangaroo_flying_kick</x:v>
      </x:c>
      <x:c r="D926" s="35" t="str">
        <x:v>knockback_max</x:v>
      </x:c>
      <x:c r="E926" s="38" t="str">
        <x:v>int</x:v>
      </x:c>
      <x:c r="F926" s="56" t="n">
        <x:f>'Actions'!AU20</x:f>
        <x:v>1500</x:v>
      </x:c>
      <x:c r="G926" s="38" t="str"/>
      <x:c r="H926" s="35" t="str">
        <x:v>Actions</x:v>
      </x:c>
      <x:c r="I926" s="35" t="str">
        <x:v>AU20</x:v>
      </x:c>
      <x:c r="J926" s="85" t="b">
        <x:v>1</x:v>
      </x:c>
      <x:c r="K926" s="85" t="b">
        <x:v>1</x:v>
      </x:c>
      <x:c r="L926" s="56" t="str">
        <x:f>'Actions'!BE20</x:f>
        <x:v>OK</x:v>
      </x:c>
      <x:c r="M926" s="44" t="str">
        <x:v>Источник Actions.Knockback Max</x:v>
      </x:c>
    </x:row>
    <x:row r="927" ht="36" customHeight="1">
      <x:c r="A927" s="118" t="n">
        <x:v>922</x:v>
      </x:c>
      <x:c r="B927" s="35" t="str">
        <x:v>action</x:v>
      </x:c>
      <x:c r="C927" s="35" t="str">
        <x:v>kangaroo_flying_kick</x:v>
      </x:c>
      <x:c r="D927" s="35" t="str">
        <x:v>wall_damage_per_unit_fp</x:v>
      </x:c>
      <x:c r="E927" s="38" t="str">
        <x:v>int</x:v>
      </x:c>
      <x:c r="F927" s="56" t="n">
        <x:f>'Actions'!AV20</x:f>
        <x:v>90</x:v>
      </x:c>
      <x:c r="G927" s="38" t="str"/>
      <x:c r="H927" s="35" t="str">
        <x:v>Actions</x:v>
      </x:c>
      <x:c r="I927" s="35" t="str">
        <x:v>AV20</x:v>
      </x:c>
      <x:c r="J927" s="85" t="b">
        <x:v>1</x:v>
      </x:c>
      <x:c r="K927" s="85" t="b">
        <x:v>1</x:v>
      </x:c>
      <x:c r="L927" s="56" t="str">
        <x:f>'Actions'!BE20</x:f>
        <x:v>OK</x:v>
      </x:c>
      <x:c r="M927" s="44" t="str">
        <x:v>Источник Actions.Wall Damage / Unit FP</x:v>
      </x:c>
    </x:row>
    <x:row r="928" ht="36" customHeight="1">
      <x:c r="A928" s="118" t="n">
        <x:v>923</x:v>
      </x:c>
      <x:c r="B928" s="35" t="str">
        <x:v>action</x:v>
      </x:c>
      <x:c r="C928" s="35" t="str">
        <x:v>kangaroo_flying_kick</x:v>
      </x:c>
      <x:c r="D928" s="35" t="str">
        <x:v>wall_damage_min</x:v>
      </x:c>
      <x:c r="E928" s="38" t="str">
        <x:v>int</x:v>
      </x:c>
      <x:c r="F928" s="56" t="n">
        <x:f>'Actions'!AW20</x:f>
        <x:v>10</x:v>
      </x:c>
      <x:c r="G928" s="38" t="str"/>
      <x:c r="H928" s="35" t="str">
        <x:v>Actions</x:v>
      </x:c>
      <x:c r="I928" s="35" t="str">
        <x:v>AW20</x:v>
      </x:c>
      <x:c r="J928" s="85" t="b">
        <x:v>1</x:v>
      </x:c>
      <x:c r="K928" s="85" t="b">
        <x:v>1</x:v>
      </x:c>
      <x:c r="L928" s="56" t="str">
        <x:f>'Actions'!BE20</x:f>
        <x:v>OK</x:v>
      </x:c>
      <x:c r="M928" s="44" t="str">
        <x:v>Источник Actions.Wall Damage Min</x:v>
      </x:c>
    </x:row>
    <x:row r="929" ht="36" customHeight="1">
      <x:c r="A929" s="118" t="n">
        <x:v>924</x:v>
      </x:c>
      <x:c r="B929" s="35" t="str">
        <x:v>action</x:v>
      </x:c>
      <x:c r="C929" s="35" t="str">
        <x:v>kangaroo_flying_kick</x:v>
      </x:c>
      <x:c r="D929" s="35" t="str">
        <x:v>wall_damage_max</x:v>
      </x:c>
      <x:c r="E929" s="38" t="str">
        <x:v>int</x:v>
      </x:c>
      <x:c r="F929" s="56" t="n">
        <x:f>'Actions'!AX20</x:f>
        <x:v>90</x:v>
      </x:c>
      <x:c r="G929" s="38" t="str"/>
      <x:c r="H929" s="35" t="str">
        <x:v>Actions</x:v>
      </x:c>
      <x:c r="I929" s="35" t="str">
        <x:v>AX20</x:v>
      </x:c>
      <x:c r="J929" s="85" t="b">
        <x:v>1</x:v>
      </x:c>
      <x:c r="K929" s="85" t="b">
        <x:v>1</x:v>
      </x:c>
      <x:c r="L929" s="56" t="str">
        <x:f>'Actions'!BE20</x:f>
        <x:v>OK</x:v>
      </x:c>
      <x:c r="M929" s="44" t="str">
        <x:v>Источник Actions.Wall Damage Max</x:v>
      </x:c>
    </x:row>
    <x:row r="930" ht="36" customHeight="1">
      <x:c r="A930" s="118" t="n">
        <x:v>925</x:v>
      </x:c>
      <x:c r="B930" s="35" t="str">
        <x:v>action</x:v>
      </x:c>
      <x:c r="C930" s="35" t="str">
        <x:v>kangaroo_flying_kick</x:v>
      </x:c>
      <x:c r="D930" s="35" t="str">
        <x:v>max_consecutive_uses</x:v>
      </x:c>
      <x:c r="E930" s="38" t="str">
        <x:v>int</x:v>
      </x:c>
      <x:c r="F930" s="56" t="n">
        <x:f>'Actions'!AY20</x:f>
        <x:v>1</x:v>
      </x:c>
      <x:c r="G930" s="38" t="str"/>
      <x:c r="H930" s="35" t="str">
        <x:v>Actions</x:v>
      </x:c>
      <x:c r="I930" s="35" t="str">
        <x:v>AY20</x:v>
      </x:c>
      <x:c r="J930" s="85" t="b">
        <x:v>1</x:v>
      </x:c>
      <x:c r="K930" s="85" t="b">
        <x:v>1</x:v>
      </x:c>
      <x:c r="L930" s="56" t="str">
        <x:f>'Actions'!BE20</x:f>
        <x:v>OK</x:v>
      </x:c>
      <x:c r="M930" s="44" t="str">
        <x:v>Источник Actions.Max Consecutive Uses</x:v>
      </x:c>
    </x:row>
    <x:row r="931" ht="36" customHeight="1">
      <x:c r="A931" s="118" t="n">
        <x:v>926</x:v>
      </x:c>
      <x:c r="B931" s="35" t="str">
        <x:v>action</x:v>
      </x:c>
      <x:c r="C931" s="35" t="str">
        <x:v>kangaroo_flying_kick</x:v>
      </x:c>
      <x:c r="D931" s="35" t="str">
        <x:v>opportunity_cap_fp</x:v>
      </x:c>
      <x:c r="E931" s="38" t="str">
        <x:v>int</x:v>
      </x:c>
      <x:c r="F931" s="56" t="n">
        <x:f>'Actions'!AZ20</x:f>
        <x:v>2500</x:v>
      </x:c>
      <x:c r="G931" s="38" t="str"/>
      <x:c r="H931" s="35" t="str">
        <x:v>Actions</x:v>
      </x:c>
      <x:c r="I931" s="35" t="str">
        <x:v>AZ20</x:v>
      </x:c>
      <x:c r="J931" s="85" t="b">
        <x:v>1</x:v>
      </x:c>
      <x:c r="K931" s="85" t="b">
        <x:v>1</x:v>
      </x:c>
      <x:c r="L931" s="56" t="str">
        <x:f>'Actions'!BE20</x:f>
        <x:v>OK</x:v>
      </x:c>
      <x:c r="M931" s="44" t="str">
        <x:v>Источник Actions.Opportunity Cap FP</x:v>
      </x:c>
    </x:row>
    <x:row r="932" ht="36" customHeight="1">
      <x:c r="A932" s="118" t="n">
        <x:v>927</x:v>
      </x:c>
      <x:c r="B932" s="35" t="str">
        <x:v>action</x:v>
      </x:c>
      <x:c r="C932" s="35" t="str">
        <x:v>kangaroo_flying_kick</x:v>
      </x:c>
      <x:c r="D932" s="35" t="str">
        <x:v>hard_opportunity_misses</x:v>
      </x:c>
      <x:c r="E932" s="38" t="str">
        <x:v>int</x:v>
      </x:c>
      <x:c r="F932" s="56" t="n">
        <x:f>'Actions'!BA20</x:f>
        <x:v>4</x:v>
      </x:c>
      <x:c r="G932" s="38" t="str"/>
      <x:c r="H932" s="35" t="str">
        <x:v>Actions</x:v>
      </x:c>
      <x:c r="I932" s="35" t="str">
        <x:v>BA20</x:v>
      </x:c>
      <x:c r="J932" s="85" t="b">
        <x:v>1</x:v>
      </x:c>
      <x:c r="K932" s="85" t="b">
        <x:v>1</x:v>
      </x:c>
      <x:c r="L932" s="56" t="str">
        <x:f>'Actions'!BE20</x:f>
        <x:v>OK</x:v>
      </x:c>
      <x:c r="M932" s="44" t="str">
        <x:v>Источник Actions.Hard Opportunity Misses</x:v>
      </x:c>
    </x:row>
    <x:row r="933" ht="36" customHeight="1">
      <x:c r="A933" s="118" t="n">
        <x:v>928</x:v>
      </x:c>
      <x:c r="B933" s="35" t="str">
        <x:v>action</x:v>
      </x:c>
      <x:c r="C933" s="35" t="str">
        <x:v>kangaroo_tail_counter</x:v>
      </x:c>
      <x:c r="D933" s="35" t="str">
        <x:v>action_id</x:v>
      </x:c>
      <x:c r="E933" s="38" t="str">
        <x:v>string</x:v>
      </x:c>
      <x:c r="F933" s="56" t="str">
        <x:f>'Actions'!A21</x:f>
        <x:v>kangaroo_tail_counter</x:v>
      </x:c>
      <x:c r="G933" s="38" t="str"/>
      <x:c r="H933" s="35" t="str">
        <x:v>Actions</x:v>
      </x:c>
      <x:c r="I933" s="35" t="str">
        <x:v>A21</x:v>
      </x:c>
      <x:c r="J933" s="85" t="b">
        <x:v>1</x:v>
      </x:c>
      <x:c r="K933" s="85" t="b">
        <x:v>1</x:v>
      </x:c>
      <x:c r="L933" s="56" t="str">
        <x:f>'Actions'!BE21</x:f>
        <x:v>OK</x:v>
      </x:c>
      <x:c r="M933" s="44" t="str">
        <x:v>Источник Actions.Action ID</x:v>
      </x:c>
    </x:row>
    <x:row r="934" ht="36" customHeight="1">
      <x:c r="A934" s="118" t="n">
        <x:v>929</x:v>
      </x:c>
      <x:c r="B934" s="35" t="str">
        <x:v>action</x:v>
      </x:c>
      <x:c r="C934" s="35" t="str">
        <x:v>kangaroo_tail_counter</x:v>
      </x:c>
      <x:c r="D934" s="35" t="str">
        <x:v>animal_id</x:v>
      </x:c>
      <x:c r="E934" s="38" t="str">
        <x:v>string</x:v>
      </x:c>
      <x:c r="F934" s="56" t="str">
        <x:f>'Actions'!B21</x:f>
        <x:v>kangaroo</x:v>
      </x:c>
      <x:c r="G934" s="38" t="str"/>
      <x:c r="H934" s="35" t="str">
        <x:v>Actions</x:v>
      </x:c>
      <x:c r="I934" s="35" t="str">
        <x:v>B21</x:v>
      </x:c>
      <x:c r="J934" s="85" t="b">
        <x:v>1</x:v>
      </x:c>
      <x:c r="K934" s="85" t="b">
        <x:v>1</x:v>
      </x:c>
      <x:c r="L934" s="56" t="str">
        <x:f>'Actions'!BE21</x:f>
        <x:v>OK</x:v>
      </x:c>
      <x:c r="M934" s="44" t="str">
        <x:v>Источник Actions.Animal ID</x:v>
      </x:c>
    </x:row>
    <x:row r="935" ht="36" customHeight="1">
      <x:c r="A935" s="118" t="n">
        <x:v>930</x:v>
      </x:c>
      <x:c r="B935" s="35" t="str">
        <x:v>action</x:v>
      </x:c>
      <x:c r="C935" s="35" t="str">
        <x:v>kangaroo_tail_counter</x:v>
      </x:c>
      <x:c r="D935" s="35" t="str">
        <x:v>slot_type</x:v>
      </x:c>
      <x:c r="E935" s="38" t="str">
        <x:v>string</x:v>
      </x:c>
      <x:c r="F935" s="56" t="str">
        <x:f>'Actions'!D21</x:f>
        <x:v>Special</x:v>
      </x:c>
      <x:c r="G935" s="38" t="str"/>
      <x:c r="H935" s="35" t="str">
        <x:v>Actions</x:v>
      </x:c>
      <x:c r="I935" s="35" t="str">
        <x:v>D21</x:v>
      </x:c>
      <x:c r="J935" s="85" t="b">
        <x:v>1</x:v>
      </x:c>
      <x:c r="K935" s="85" t="b">
        <x:v>1</x:v>
      </x:c>
      <x:c r="L935" s="56" t="str">
        <x:f>'Actions'!BE21</x:f>
        <x:v>OK</x:v>
      </x:c>
      <x:c r="M935" s="44" t="str">
        <x:v>Источник Actions.Slot Type</x:v>
      </x:c>
    </x:row>
    <x:row r="936" ht="36" customHeight="1">
      <x:c r="A936" s="118" t="n">
        <x:v>931</x:v>
      </x:c>
      <x:c r="B936" s="35" t="str">
        <x:v>action</x:v>
      </x:c>
      <x:c r="C936" s="35" t="str">
        <x:v>kangaroo_tail_counter</x:v>
      </x:c>
      <x:c r="D936" s="35" t="str">
        <x:v>category</x:v>
      </x:c>
      <x:c r="E936" s="38" t="str">
        <x:v>string</x:v>
      </x:c>
      <x:c r="F936" s="56" t="str">
        <x:f>'Actions'!E21</x:f>
        <x:v>SignatureCounter</x:v>
      </x:c>
      <x:c r="G936" s="38" t="str"/>
      <x:c r="H936" s="35" t="str">
        <x:v>Actions</x:v>
      </x:c>
      <x:c r="I936" s="35" t="str">
        <x:v>E21</x:v>
      </x:c>
      <x:c r="J936" s="85" t="b">
        <x:v>1</x:v>
      </x:c>
      <x:c r="K936" s="85" t="b">
        <x:v>1</x:v>
      </x:c>
      <x:c r="L936" s="56" t="str">
        <x:f>'Actions'!BE21</x:f>
        <x:v>OK</x:v>
      </x:c>
      <x:c r="M936" s="44" t="str">
        <x:v>Источник Actions.Category</x:v>
      </x:c>
    </x:row>
    <x:row r="937" ht="36" customHeight="1">
      <x:c r="A937" s="118" t="n">
        <x:v>932</x:v>
      </x:c>
      <x:c r="B937" s="35" t="str">
        <x:v>action</x:v>
      </x:c>
      <x:c r="C937" s="35" t="str">
        <x:v>kangaroo_tail_counter</x:v>
      </x:c>
      <x:c r="D937" s="35" t="str">
        <x:v>tags</x:v>
      </x:c>
      <x:c r="E937" s="38" t="str">
        <x:v>string</x:v>
      </x:c>
      <x:c r="F937" s="56" t="str">
        <x:f>'Actions'!F21</x:f>
        <x:v>special|signature|counter|position|rhythm</x:v>
      </x:c>
      <x:c r="G937" s="38" t="str"/>
      <x:c r="H937" s="35" t="str">
        <x:v>Actions</x:v>
      </x:c>
      <x:c r="I937" s="35" t="str">
        <x:v>F21</x:v>
      </x:c>
      <x:c r="J937" s="85" t="b">
        <x:v>1</x:v>
      </x:c>
      <x:c r="K937" s="85" t="b">
        <x:v>1</x:v>
      </x:c>
      <x:c r="L937" s="56" t="str">
        <x:f>'Actions'!BE21</x:f>
        <x:v>OK</x:v>
      </x:c>
      <x:c r="M937" s="44" t="str">
        <x:v>Источник Actions.Tags</x:v>
      </x:c>
    </x:row>
    <x:row r="938" ht="36" customHeight="1">
      <x:c r="A938" s="118" t="n">
        <x:v>933</x:v>
      </x:c>
      <x:c r="B938" s="35" t="str">
        <x:v>action</x:v>
      </x:c>
      <x:c r="C938" s="35" t="str">
        <x:v>kangaroo_tail_counter</x:v>
      </x:c>
      <x:c r="D938" s="35" t="str">
        <x:v>base_weight</x:v>
      </x:c>
      <x:c r="E938" s="38" t="str">
        <x:v>int</x:v>
      </x:c>
      <x:c r="F938" s="56" t="n">
        <x:f>'Actions'!G21</x:f>
        <x:v>460</x:v>
      </x:c>
      <x:c r="G938" s="38" t="str"/>
      <x:c r="H938" s="35" t="str">
        <x:v>Actions</x:v>
      </x:c>
      <x:c r="I938" s="35" t="str">
        <x:v>G21</x:v>
      </x:c>
      <x:c r="J938" s="85" t="b">
        <x:v>1</x:v>
      </x:c>
      <x:c r="K938" s="85" t="b">
        <x:v>1</x:v>
      </x:c>
      <x:c r="L938" s="56" t="str">
        <x:f>'Actions'!BE21</x:f>
        <x:v>OK</x:v>
      </x:c>
      <x:c r="M938" s="44" t="str">
        <x:v>Источник Actions.Base Weight</x:v>
      </x:c>
    </x:row>
    <x:row r="939" ht="36" customHeight="1">
      <x:c r="A939" s="118" t="n">
        <x:v>934</x:v>
      </x:c>
      <x:c r="B939" s="35" t="str">
        <x:v>action</x:v>
      </x:c>
      <x:c r="C939" s="35" t="str">
        <x:v>kangaroo_tail_counter</x:v>
      </x:c>
      <x:c r="D939" s="35" t="str">
        <x:v>preferred_range_min</x:v>
      </x:c>
      <x:c r="E939" s="38" t="str">
        <x:v>int</x:v>
      </x:c>
      <x:c r="F939" s="56" t="n">
        <x:f>'Actions'!H21</x:f>
        <x:v>200</x:v>
      </x:c>
      <x:c r="G939" s="38" t="str"/>
      <x:c r="H939" s="35" t="str">
        <x:v>Actions</x:v>
      </x:c>
      <x:c r="I939" s="35" t="str">
        <x:v>H21</x:v>
      </x:c>
      <x:c r="J939" s="85" t="b">
        <x:v>1</x:v>
      </x:c>
      <x:c r="K939" s="85" t="b">
        <x:v>1</x:v>
      </x:c>
      <x:c r="L939" s="56" t="str">
        <x:f>'Actions'!BE21</x:f>
        <x:v>OK</x:v>
      </x:c>
      <x:c r="M939" s="44" t="str">
        <x:v>Источник Actions.Preferred Range Min</x:v>
      </x:c>
    </x:row>
    <x:row r="940" ht="36" customHeight="1">
      <x:c r="A940" s="118" t="n">
        <x:v>935</x:v>
      </x:c>
      <x:c r="B940" s="35" t="str">
        <x:v>action</x:v>
      </x:c>
      <x:c r="C940" s="35" t="str">
        <x:v>kangaroo_tail_counter</x:v>
      </x:c>
      <x:c r="D940" s="35" t="str">
        <x:v>preferred_range_max</x:v>
      </x:c>
      <x:c r="E940" s="38" t="str">
        <x:v>int</x:v>
      </x:c>
      <x:c r="F940" s="56" t="n">
        <x:f>'Actions'!I21</x:f>
        <x:v>1500</x:v>
      </x:c>
      <x:c r="G940" s="38" t="str"/>
      <x:c r="H940" s="35" t="str">
        <x:v>Actions</x:v>
      </x:c>
      <x:c r="I940" s="35" t="str">
        <x:v>I21</x:v>
      </x:c>
      <x:c r="J940" s="85" t="b">
        <x:v>1</x:v>
      </x:c>
      <x:c r="K940" s="85" t="b">
        <x:v>1</x:v>
      </x:c>
      <x:c r="L940" s="56" t="str">
        <x:f>'Actions'!BE21</x:f>
        <x:v>OK</x:v>
      </x:c>
      <x:c r="M940" s="44" t="str">
        <x:v>Источник Actions.Preferred Range Max</x:v>
      </x:c>
    </x:row>
    <x:row r="941" ht="36" customHeight="1">
      <x:c r="A941" s="118" t="n">
        <x:v>936</x:v>
      </x:c>
      <x:c r="B941" s="35" t="str">
        <x:v>action</x:v>
      </x:c>
      <x:c r="C941" s="35" t="str">
        <x:v>kangaroo_tail_counter</x:v>
      </x:c>
      <x:c r="D941" s="35" t="str">
        <x:v>hit_range_min</x:v>
      </x:c>
      <x:c r="E941" s="38" t="str">
        <x:v>int</x:v>
      </x:c>
      <x:c r="F941" s="56" t="n">
        <x:f>'Actions'!J21</x:f>
        <x:v>0</x:v>
      </x:c>
      <x:c r="G941" s="38" t="str"/>
      <x:c r="H941" s="35" t="str">
        <x:v>Actions</x:v>
      </x:c>
      <x:c r="I941" s="35" t="str">
        <x:v>J21</x:v>
      </x:c>
      <x:c r="J941" s="85" t="b">
        <x:v>1</x:v>
      </x:c>
      <x:c r="K941" s="85" t="b">
        <x:v>1</x:v>
      </x:c>
      <x:c r="L941" s="56" t="str">
        <x:f>'Actions'!BE21</x:f>
        <x:v>OK</x:v>
      </x:c>
      <x:c r="M941" s="44" t="str">
        <x:v>Источник Actions.Hit Range Min</x:v>
      </x:c>
    </x:row>
    <x:row r="942" ht="36" customHeight="1">
      <x:c r="A942" s="118" t="n">
        <x:v>937</x:v>
      </x:c>
      <x:c r="B942" s="35" t="str">
        <x:v>action</x:v>
      </x:c>
      <x:c r="C942" s="35" t="str">
        <x:v>kangaroo_tail_counter</x:v>
      </x:c>
      <x:c r="D942" s="35" t="str">
        <x:v>hit_range_max</x:v>
      </x:c>
      <x:c r="E942" s="38" t="str">
        <x:v>int</x:v>
      </x:c>
      <x:c r="F942" s="56" t="n">
        <x:f>'Actions'!K21</x:f>
        <x:v>1600</x:v>
      </x:c>
      <x:c r="G942" s="38" t="str"/>
      <x:c r="H942" s="35" t="str">
        <x:v>Actions</x:v>
      </x:c>
      <x:c r="I942" s="35" t="str">
        <x:v>K21</x:v>
      </x:c>
      <x:c r="J942" s="85" t="b">
        <x:v>1</x:v>
      </x:c>
      <x:c r="K942" s="85" t="b">
        <x:v>1</x:v>
      </x:c>
      <x:c r="L942" s="56" t="str">
        <x:f>'Actions'!BE21</x:f>
        <x:v>OK</x:v>
      </x:c>
      <x:c r="M942" s="44" t="str">
        <x:v>Источник Actions.Hit Range Max</x:v>
      </x:c>
    </x:row>
    <x:row r="943" ht="36" customHeight="1">
      <x:c r="A943" s="118" t="n">
        <x:v>938</x:v>
      </x:c>
      <x:c r="B943" s="35" t="str">
        <x:v>action</x:v>
      </x:c>
      <x:c r="C943" s="35" t="str">
        <x:v>kangaroo_tail_counter</x:v>
      </x:c>
      <x:c r="D943" s="35" t="str">
        <x:v>energy_cost</x:v>
      </x:c>
      <x:c r="E943" s="38" t="str">
        <x:v>int</x:v>
      </x:c>
      <x:c r="F943" s="56" t="n">
        <x:f>'Actions'!L21</x:f>
        <x:v>200</x:v>
      </x:c>
      <x:c r="G943" s="38" t="str"/>
      <x:c r="H943" s="35" t="str">
        <x:v>Actions</x:v>
      </x:c>
      <x:c r="I943" s="35" t="str">
        <x:v>L21</x:v>
      </x:c>
      <x:c r="J943" s="85" t="b">
        <x:v>1</x:v>
      </x:c>
      <x:c r="K943" s="85" t="b">
        <x:v>1</x:v>
      </x:c>
      <x:c r="L943" s="56" t="str">
        <x:f>'Actions'!BE21</x:f>
        <x:v>OK</x:v>
      </x:c>
      <x:c r="M943" s="44" t="str">
        <x:v>Источник Actions.Energy Cost</x:v>
      </x:c>
    </x:row>
    <x:row r="944" ht="36" customHeight="1">
      <x:c r="A944" s="118" t="n">
        <x:v>939</x:v>
      </x:c>
      <x:c r="B944" s="35" t="str">
        <x:v>action</x:v>
      </x:c>
      <x:c r="C944" s="35" t="str">
        <x:v>kangaroo_tail_counter</x:v>
      </x:c>
      <x:c r="D944" s="35" t="str">
        <x:v>resource_cost</x:v>
      </x:c>
      <x:c r="E944" s="38" t="str">
        <x:v>int</x:v>
      </x:c>
      <x:c r="F944" s="56" t="n">
        <x:f>'Actions'!M21</x:f>
        <x:v>400</x:v>
      </x:c>
      <x:c r="G944" s="38" t="str"/>
      <x:c r="H944" s="35" t="str">
        <x:v>Actions</x:v>
      </x:c>
      <x:c r="I944" s="35" t="str">
        <x:v>M21</x:v>
      </x:c>
      <x:c r="J944" s="85" t="b">
        <x:v>1</x:v>
      </x:c>
      <x:c r="K944" s="85" t="b">
        <x:v>1</x:v>
      </x:c>
      <x:c r="L944" s="56" t="str">
        <x:f>'Actions'!BE21</x:f>
        <x:v>OK</x:v>
      </x:c>
      <x:c r="M944" s="44" t="str">
        <x:v>Источник Actions.Resource Cost</x:v>
      </x:c>
    </x:row>
    <x:row r="945" ht="36" customHeight="1">
      <x:c r="A945" s="118" t="n">
        <x:v>940</x:v>
      </x:c>
      <x:c r="B945" s="35" t="str">
        <x:v>action</x:v>
      </x:c>
      <x:c r="C945" s="35" t="str">
        <x:v>kangaroo_tail_counter</x:v>
      </x:c>
      <x:c r="D945" s="35" t="str">
        <x:v>base_damage</x:v>
      </x:c>
      <x:c r="E945" s="38" t="str">
        <x:v>int</x:v>
      </x:c>
      <x:c r="F945" s="56" t="n">
        <x:f>'Actions'!N21</x:f>
        <x:v>55</x:v>
      </x:c>
      <x:c r="G945" s="38" t="str"/>
      <x:c r="H945" s="35" t="str">
        <x:v>Actions</x:v>
      </x:c>
      <x:c r="I945" s="35" t="str">
        <x:v>N21</x:v>
      </x:c>
      <x:c r="J945" s="85" t="b">
        <x:v>1</x:v>
      </x:c>
      <x:c r="K945" s="85" t="b">
        <x:v>1</x:v>
      </x:c>
      <x:c r="L945" s="56" t="str">
        <x:f>'Actions'!BE21</x:f>
        <x:v>OK</x:v>
      </x:c>
      <x:c r="M945" s="44" t="str">
        <x:v>Источник Actions.Base Damage / hit</x:v>
      </x:c>
    </x:row>
    <x:row r="946" ht="36" customHeight="1">
      <x:c r="A946" s="118" t="n">
        <x:v>941</x:v>
      </x:c>
      <x:c r="B946" s="35" t="str">
        <x:v>action</x:v>
      </x:c>
      <x:c r="C946" s="35" t="str">
        <x:v>kangaroo_tail_counter</x:v>
      </x:c>
      <x:c r="D946" s="35" t="str">
        <x:v>power_ratio_fp</x:v>
      </x:c>
      <x:c r="E946" s="38" t="str">
        <x:v>int</x:v>
      </x:c>
      <x:c r="F946" s="56" t="n">
        <x:f>'Actions'!O21</x:f>
        <x:v>700</x:v>
      </x:c>
      <x:c r="G946" s="38" t="str"/>
      <x:c r="H946" s="35" t="str">
        <x:v>Actions</x:v>
      </x:c>
      <x:c r="I946" s="35" t="str">
        <x:v>O21</x:v>
      </x:c>
      <x:c r="J946" s="85" t="b">
        <x:v>1</x:v>
      </x:c>
      <x:c r="K946" s="85" t="b">
        <x:v>1</x:v>
      </x:c>
      <x:c r="L946" s="56" t="str">
        <x:f>'Actions'!BE21</x:f>
        <x:v>OK</x:v>
      </x:c>
      <x:c r="M946" s="44" t="str">
        <x:v>Источник Actions.Power Ratio FP</x:v>
      </x:c>
    </x:row>
    <x:row r="947" ht="36" customHeight="1">
      <x:c r="A947" s="118" t="n">
        <x:v>942</x:v>
      </x:c>
      <x:c r="B947" s="35" t="str">
        <x:v>action</x:v>
      </x:c>
      <x:c r="C947" s="35" t="str">
        <x:v>kangaroo_tail_counter</x:v>
      </x:c>
      <x:c r="D947" s="35" t="str">
        <x:v>min_damage</x:v>
      </x:c>
      <x:c r="E947" s="38" t="str">
        <x:v>int</x:v>
      </x:c>
      <x:c r="F947" s="56" t="n">
        <x:f>'Actions'!P21</x:f>
        <x:v>20</x:v>
      </x:c>
      <x:c r="G947" s="38" t="str"/>
      <x:c r="H947" s="35" t="str">
        <x:v>Actions</x:v>
      </x:c>
      <x:c r="I947" s="35" t="str">
        <x:v>P21</x:v>
      </x:c>
      <x:c r="J947" s="85" t="b">
        <x:v>1</x:v>
      </x:c>
      <x:c r="K947" s="85" t="b">
        <x:v>1</x:v>
      </x:c>
      <x:c r="L947" s="56" t="str">
        <x:f>'Actions'!BE21</x:f>
        <x:v>OK</x:v>
      </x:c>
      <x:c r="M947" s="44" t="str">
        <x:v>Источник Actions.Min Damage</x:v>
      </x:c>
    </x:row>
    <x:row r="948" ht="36" customHeight="1">
      <x:c r="A948" s="118" t="n">
        <x:v>943</x:v>
      </x:c>
      <x:c r="B948" s="35" t="str">
        <x:v>action</x:v>
      </x:c>
      <x:c r="C948" s="35" t="str">
        <x:v>kangaroo_tail_counter</x:v>
      </x:c>
      <x:c r="D948" s="35" t="str">
        <x:v>chip_min</x:v>
      </x:c>
      <x:c r="E948" s="38" t="str">
        <x:v>int</x:v>
      </x:c>
      <x:c r="F948" s="56" t="n">
        <x:f>'Actions'!Q21</x:f>
        <x:v>6</x:v>
      </x:c>
      <x:c r="G948" s="38" t="str"/>
      <x:c r="H948" s="35" t="str">
        <x:v>Actions</x:v>
      </x:c>
      <x:c r="I948" s="35" t="str">
        <x:v>Q21</x:v>
      </x:c>
      <x:c r="J948" s="85" t="b">
        <x:v>1</x:v>
      </x:c>
      <x:c r="K948" s="85" t="b">
        <x:v>1</x:v>
      </x:c>
      <x:c r="L948" s="56" t="str">
        <x:f>'Actions'!BE21</x:f>
        <x:v>OK</x:v>
      </x:c>
      <x:c r="M948" s="44" t="str">
        <x:v>Источник Actions.Chip Min</x:v>
      </x:c>
    </x:row>
    <x:row r="949" ht="36" customHeight="1">
      <x:c r="A949" s="118" t="n">
        <x:v>944</x:v>
      </x:c>
      <x:c r="B949" s="35" t="str">
        <x:v>action</x:v>
      </x:c>
      <x:c r="C949" s="35" t="str">
        <x:v>kangaroo_tail_counter</x:v>
      </x:c>
      <x:c r="D949" s="35" t="str">
        <x:v>startup_base_ticks</x:v>
      </x:c>
      <x:c r="E949" s="38" t="str">
        <x:v>int</x:v>
      </x:c>
      <x:c r="F949" s="56" t="n">
        <x:f>'Actions'!R21</x:f>
        <x:v>2</x:v>
      </x:c>
      <x:c r="G949" s="38" t="str"/>
      <x:c r="H949" s="35" t="str">
        <x:v>Actions</x:v>
      </x:c>
      <x:c r="I949" s="35" t="str">
        <x:v>R21</x:v>
      </x:c>
      <x:c r="J949" s="85" t="b">
        <x:v>1</x:v>
      </x:c>
      <x:c r="K949" s="85" t="b">
        <x:v>1</x:v>
      </x:c>
      <x:c r="L949" s="56" t="str">
        <x:f>'Actions'!BE21</x:f>
        <x:v>OK</x:v>
      </x:c>
      <x:c r="M949" s="44" t="str">
        <x:v>Источник Actions.Startup Base Ticks</x:v>
      </x:c>
    </x:row>
    <x:row r="950" ht="36" customHeight="1">
      <x:c r="A950" s="118" t="n">
        <x:v>945</x:v>
      </x:c>
      <x:c r="B950" s="35" t="str">
        <x:v>action</x:v>
      </x:c>
      <x:c r="C950" s="35" t="str">
        <x:v>kangaroo_tail_counter</x:v>
      </x:c>
      <x:c r="D950" s="35" t="str">
        <x:v>startup_min_ticks</x:v>
      </x:c>
      <x:c r="E950" s="38" t="str">
        <x:v>int</x:v>
      </x:c>
      <x:c r="F950" s="56" t="n">
        <x:f>'Actions'!S21</x:f>
        <x:v>1</x:v>
      </x:c>
      <x:c r="G950" s="38" t="str"/>
      <x:c r="H950" s="35" t="str">
        <x:v>Actions</x:v>
      </x:c>
      <x:c r="I950" s="35" t="str">
        <x:v>S21</x:v>
      </x:c>
      <x:c r="J950" s="85" t="b">
        <x:v>1</x:v>
      </x:c>
      <x:c r="K950" s="85" t="b">
        <x:v>1</x:v>
      </x:c>
      <x:c r="L950" s="56" t="str">
        <x:f>'Actions'!BE21</x:f>
        <x:v>OK</x:v>
      </x:c>
      <x:c r="M950" s="44" t="str">
        <x:v>Источник Actions.Startup Min Ticks</x:v>
      </x:c>
    </x:row>
    <x:row r="951" ht="36" customHeight="1">
      <x:c r="A951" s="118" t="n">
        <x:v>946</x:v>
      </x:c>
      <x:c r="B951" s="35" t="str">
        <x:v>action</x:v>
      </x:c>
      <x:c r="C951" s="35" t="str">
        <x:v>kangaroo_tail_counter</x:v>
      </x:c>
      <x:c r="D951" s="35" t="str">
        <x:v>startup_max_ticks</x:v>
      </x:c>
      <x:c r="E951" s="38" t="str">
        <x:v>int</x:v>
      </x:c>
      <x:c r="F951" s="56" t="n">
        <x:f>'Actions'!T21</x:f>
        <x:v>4</x:v>
      </x:c>
      <x:c r="G951" s="38" t="str"/>
      <x:c r="H951" s="35" t="str">
        <x:v>Actions</x:v>
      </x:c>
      <x:c r="I951" s="35" t="str">
        <x:v>T21</x:v>
      </x:c>
      <x:c r="J951" s="85" t="b">
        <x:v>1</x:v>
      </x:c>
      <x:c r="K951" s="85" t="b">
        <x:v>1</x:v>
      </x:c>
      <x:c r="L951" s="56" t="str">
        <x:f>'Actions'!BE21</x:f>
        <x:v>OK</x:v>
      </x:c>
      <x:c r="M951" s="44" t="str">
        <x:v>Источник Actions.Startup Max Ticks</x:v>
      </x:c>
    </x:row>
    <x:row r="952" ht="36" customHeight="1">
      <x:c r="A952" s="118" t="n">
        <x:v>947</x:v>
      </x:c>
      <x:c r="B952" s="35" t="str">
        <x:v>action</x:v>
      </x:c>
      <x:c r="C952" s="35" t="str">
        <x:v>kangaroo_tail_counter</x:v>
      </x:c>
      <x:c r="D952" s="35" t="str">
        <x:v>active_ticks</x:v>
      </x:c>
      <x:c r="E952" s="38" t="str">
        <x:v>int</x:v>
      </x:c>
      <x:c r="F952" s="56" t="n">
        <x:f>'Actions'!U21</x:f>
        <x:v>6</x:v>
      </x:c>
      <x:c r="G952" s="38" t="str"/>
      <x:c r="H952" s="35" t="str">
        <x:v>Actions</x:v>
      </x:c>
      <x:c r="I952" s="35" t="str">
        <x:v>U21</x:v>
      </x:c>
      <x:c r="J952" s="85" t="b">
        <x:v>1</x:v>
      </x:c>
      <x:c r="K952" s="85" t="b">
        <x:v>1</x:v>
      </x:c>
      <x:c r="L952" s="56" t="str">
        <x:f>'Actions'!BE21</x:f>
        <x:v>OK</x:v>
      </x:c>
      <x:c r="M952" s="44" t="str">
        <x:v>Источник Actions.Active Ticks</x:v>
      </x:c>
    </x:row>
    <x:row r="953" ht="36" customHeight="1">
      <x:c r="A953" s="118" t="n">
        <x:v>948</x:v>
      </x:c>
      <x:c r="B953" s="35" t="str">
        <x:v>action</x:v>
      </x:c>
      <x:c r="C953" s="35" t="str">
        <x:v>kangaroo_tail_counter</x:v>
      </x:c>
      <x:c r="D953" s="35" t="str">
        <x:v>hit_schedule</x:v>
      </x:c>
      <x:c r="E953" s="38" t="str">
        <x:v>string</x:v>
      </x:c>
      <x:c r="F953" s="56" t="str">
        <x:f>'Actions'!V21</x:f>
        <x:v>counter:0</x:v>
      </x:c>
      <x:c r="G953" s="38" t="str"/>
      <x:c r="H953" s="35" t="str">
        <x:v>Actions</x:v>
      </x:c>
      <x:c r="I953" s="35" t="str">
        <x:v>V21</x:v>
      </x:c>
      <x:c r="J953" s="85" t="b">
        <x:v>1</x:v>
      </x:c>
      <x:c r="K953" s="85" t="b">
        <x:v>1</x:v>
      </x:c>
      <x:c r="L953" s="56" t="str">
        <x:f>'Actions'!BE21</x:f>
        <x:v>OK</x:v>
      </x:c>
      <x:c r="M953" s="44" t="str">
        <x:v>Источник Actions.Hit Schedule</x:v>
      </x:c>
    </x:row>
    <x:row r="954" ht="36" customHeight="1">
      <x:c r="A954" s="118" t="n">
        <x:v>949</x:v>
      </x:c>
      <x:c r="B954" s="35" t="str">
        <x:v>action</x:v>
      </x:c>
      <x:c r="C954" s="35" t="str">
        <x:v>kangaroo_tail_counter</x:v>
      </x:c>
      <x:c r="D954" s="35" t="str">
        <x:v>hit_count</x:v>
      </x:c>
      <x:c r="E954" s="38" t="str">
        <x:v>int</x:v>
      </x:c>
      <x:c r="F954" s="56" t="n">
        <x:f>'Actions'!W21</x:f>
        <x:v>1</x:v>
      </x:c>
      <x:c r="G954" s="38" t="str"/>
      <x:c r="H954" s="35" t="str">
        <x:v>Actions</x:v>
      </x:c>
      <x:c r="I954" s="35" t="str">
        <x:v>W21</x:v>
      </x:c>
      <x:c r="J954" s="85" t="b">
        <x:v>1</x:v>
      </x:c>
      <x:c r="K954" s="85" t="b">
        <x:v>1</x:v>
      </x:c>
      <x:c r="L954" s="56" t="str">
        <x:f>'Actions'!BE21</x:f>
        <x:v>OK</x:v>
      </x:c>
      <x:c r="M954" s="44" t="str">
        <x:v>Источник Actions.Hit Count</x:v>
      </x:c>
    </x:row>
    <x:row r="955" ht="36" customHeight="1">
      <x:c r="A955" s="118" t="n">
        <x:v>950</x:v>
      </x:c>
      <x:c r="B955" s="35" t="str">
        <x:v>action</x:v>
      </x:c>
      <x:c r="C955" s="35" t="str">
        <x:v>kangaroo_tail_counter</x:v>
      </x:c>
      <x:c r="D955" s="35" t="str">
        <x:v>recovery_base_ticks</x:v>
      </x:c>
      <x:c r="E955" s="38" t="str">
        <x:v>int</x:v>
      </x:c>
      <x:c r="F955" s="56" t="n">
        <x:f>'Actions'!X21</x:f>
        <x:v>16</x:v>
      </x:c>
      <x:c r="G955" s="38" t="str"/>
      <x:c r="H955" s="35" t="str">
        <x:v>Actions</x:v>
      </x:c>
      <x:c r="I955" s="35" t="str">
        <x:v>X21</x:v>
      </x:c>
      <x:c r="J955" s="85" t="b">
        <x:v>1</x:v>
      </x:c>
      <x:c r="K955" s="85" t="b">
        <x:v>1</x:v>
      </x:c>
      <x:c r="L955" s="56" t="str">
        <x:f>'Actions'!BE21</x:f>
        <x:v>OK</x:v>
      </x:c>
      <x:c r="M955" s="44" t="str">
        <x:v>Источник Actions.Recovery Base Ticks</x:v>
      </x:c>
    </x:row>
    <x:row r="956" ht="36" customHeight="1">
      <x:c r="A956" s="118" t="n">
        <x:v>951</x:v>
      </x:c>
      <x:c r="B956" s="35" t="str">
        <x:v>action</x:v>
      </x:c>
      <x:c r="C956" s="35" t="str">
        <x:v>kangaroo_tail_counter</x:v>
      </x:c>
      <x:c r="D956" s="35" t="str">
        <x:v>recovery_min_ticks</x:v>
      </x:c>
      <x:c r="E956" s="38" t="str">
        <x:v>int</x:v>
      </x:c>
      <x:c r="F956" s="56" t="n">
        <x:f>'Actions'!Y21</x:f>
        <x:v>10</x:v>
      </x:c>
      <x:c r="G956" s="38" t="str"/>
      <x:c r="H956" s="35" t="str">
        <x:v>Actions</x:v>
      </x:c>
      <x:c r="I956" s="35" t="str">
        <x:v>Y21</x:v>
      </x:c>
      <x:c r="J956" s="85" t="b">
        <x:v>1</x:v>
      </x:c>
      <x:c r="K956" s="85" t="b">
        <x:v>1</x:v>
      </x:c>
      <x:c r="L956" s="56" t="str">
        <x:f>'Actions'!BE21</x:f>
        <x:v>OK</x:v>
      </x:c>
      <x:c r="M956" s="44" t="str">
        <x:v>Источник Actions.Recovery Min Ticks</x:v>
      </x:c>
    </x:row>
    <x:row r="957" ht="36" customHeight="1">
      <x:c r="A957" s="118" t="n">
        <x:v>952</x:v>
      </x:c>
      <x:c r="B957" s="35" t="str">
        <x:v>action</x:v>
      </x:c>
      <x:c r="C957" s="35" t="str">
        <x:v>kangaroo_tail_counter</x:v>
      </x:c>
      <x:c r="D957" s="35" t="str">
        <x:v>recovery_max_ticks</x:v>
      </x:c>
      <x:c r="E957" s="38" t="str">
        <x:v>int</x:v>
      </x:c>
      <x:c r="F957" s="56" t="n">
        <x:f>'Actions'!Z21</x:f>
        <x:v>24</x:v>
      </x:c>
      <x:c r="G957" s="38" t="str"/>
      <x:c r="H957" s="35" t="str">
        <x:v>Actions</x:v>
      </x:c>
      <x:c r="I957" s="35" t="str">
        <x:v>Z21</x:v>
      </x:c>
      <x:c r="J957" s="85" t="b">
        <x:v>1</x:v>
      </x:c>
      <x:c r="K957" s="85" t="b">
        <x:v>1</x:v>
      </x:c>
      <x:c r="L957" s="56" t="str">
        <x:f>'Actions'!BE21</x:f>
        <x:v>OK</x:v>
      </x:c>
      <x:c r="M957" s="44" t="str">
        <x:v>Источник Actions.Recovery Max Ticks</x:v>
      </x:c>
    </x:row>
    <x:row r="958" ht="36" customHeight="1">
      <x:c r="A958" s="118" t="n">
        <x:v>953</x:v>
      </x:c>
      <x:c r="B958" s="35" t="str">
        <x:v>action</x:v>
      </x:c>
      <x:c r="C958" s="35" t="str">
        <x:v>kangaroo_tail_counter</x:v>
      </x:c>
      <x:c r="D958" s="35" t="str">
        <x:v>cooldown_ticks</x:v>
      </x:c>
      <x:c r="E958" s="38" t="str">
        <x:v>int</x:v>
      </x:c>
      <x:c r="F958" s="56" t="n">
        <x:f>'Actions'!AA21</x:f>
        <x:v>70</x:v>
      </x:c>
      <x:c r="G958" s="38" t="str"/>
      <x:c r="H958" s="35" t="str">
        <x:v>Actions</x:v>
      </x:c>
      <x:c r="I958" s="35" t="str">
        <x:v>AA21</x:v>
      </x:c>
      <x:c r="J958" s="85" t="b">
        <x:v>1</x:v>
      </x:c>
      <x:c r="K958" s="85" t="b">
        <x:v>1</x:v>
      </x:c>
      <x:c r="L958" s="56" t="str">
        <x:f>'Actions'!BE21</x:f>
        <x:v>OK</x:v>
      </x:c>
      <x:c r="M958" s="44" t="str">
        <x:v>Источник Actions.Cooldown Ticks</x:v>
      </x:c>
    </x:row>
    <x:row r="959" ht="36" customHeight="1">
      <x:c r="A959" s="118" t="n">
        <x:v>954</x:v>
      </x:c>
      <x:c r="B959" s="35" t="str">
        <x:v>action</x:v>
      </x:c>
      <x:c r="C959" s="35" t="str">
        <x:v>kangaroo_tail_counter</x:v>
      </x:c>
      <x:c r="D959" s="35" t="str">
        <x:v>action_priority</x:v>
      </x:c>
      <x:c r="E959" s="38" t="str">
        <x:v>int</x:v>
      </x:c>
      <x:c r="F959" s="56" t="n">
        <x:f>'Actions'!AB21</x:f>
        <x:v>75</x:v>
      </x:c>
      <x:c r="G959" s="38" t="str"/>
      <x:c r="H959" s="35" t="str">
        <x:v>Actions</x:v>
      </x:c>
      <x:c r="I959" s="35" t="str">
        <x:v>AB21</x:v>
      </x:c>
      <x:c r="J959" s="85" t="b">
        <x:v>1</x:v>
      </x:c>
      <x:c r="K959" s="85" t="b">
        <x:v>1</x:v>
      </x:c>
      <x:c r="L959" s="56" t="str">
        <x:f>'Actions'!BE21</x:f>
        <x:v>OK</x:v>
      </x:c>
      <x:c r="M959" s="44" t="str">
        <x:v>Источник Actions.Action Priority</x:v>
      </x:c>
    </x:row>
    <x:row r="960" ht="36" customHeight="1">
      <x:c r="A960" s="118" t="n">
        <x:v>955</x:v>
      </x:c>
      <x:c r="B960" s="35" t="str">
        <x:v>action</x:v>
      </x:c>
      <x:c r="C960" s="35" t="str">
        <x:v>kangaroo_tail_counter</x:v>
      </x:c>
      <x:c r="D960" s="35" t="str">
        <x:v>clash_priority</x:v>
      </x:c>
      <x:c r="E960" s="38" t="str">
        <x:v>int</x:v>
      </x:c>
      <x:c r="F960" s="56" t="n">
        <x:f>'Actions'!AC21</x:f>
        <x:v>75</x:v>
      </x:c>
      <x:c r="G960" s="38" t="str"/>
      <x:c r="H960" s="35" t="str">
        <x:v>Actions</x:v>
      </x:c>
      <x:c r="I960" s="35" t="str">
        <x:v>AC21</x:v>
      </x:c>
      <x:c r="J960" s="85" t="b">
        <x:v>1</x:v>
      </x:c>
      <x:c r="K960" s="85" t="b">
        <x:v>1</x:v>
      </x:c>
      <x:c r="L960" s="56" t="str">
        <x:f>'Actions'!BE21</x:f>
        <x:v>OK</x:v>
      </x:c>
      <x:c r="M960" s="44" t="str">
        <x:v>Источник Actions.Clash Priority</x:v>
      </x:c>
    </x:row>
    <x:row r="961" ht="36" customHeight="1">
      <x:c r="A961" s="118" t="n">
        <x:v>956</x:v>
      </x:c>
      <x:c r="B961" s="35" t="str">
        <x:v>action</x:v>
      </x:c>
      <x:c r="C961" s="35" t="str">
        <x:v>kangaroo_tail_counter</x:v>
      </x:c>
      <x:c r="D961" s="35" t="str">
        <x:v>grab_priority</x:v>
      </x:c>
      <x:c r="E961" s="38" t="str">
        <x:v>int</x:v>
      </x:c>
      <x:c r="F961" s="56" t="n">
        <x:f>'Actions'!AD21</x:f>
        <x:v>0</x:v>
      </x:c>
      <x:c r="G961" s="38" t="str"/>
      <x:c r="H961" s="35" t="str">
        <x:v>Actions</x:v>
      </x:c>
      <x:c r="I961" s="35" t="str">
        <x:v>AD21</x:v>
      </x:c>
      <x:c r="J961" s="85" t="b">
        <x:v>1</x:v>
      </x:c>
      <x:c r="K961" s="85" t="b">
        <x:v>1</x:v>
      </x:c>
      <x:c r="L961" s="56" t="str">
        <x:f>'Actions'!BE21</x:f>
        <x:v>OK</x:v>
      </x:c>
      <x:c r="M961" s="44" t="str">
        <x:v>Источник Actions.Grab Priority</x:v>
      </x:c>
    </x:row>
    <x:row r="962" ht="36" customHeight="1">
      <x:c r="A962" s="118" t="n">
        <x:v>957</x:v>
      </x:c>
      <x:c r="B962" s="35" t="str">
        <x:v>action</x:v>
      </x:c>
      <x:c r="C962" s="35" t="str">
        <x:v>kangaroo_tail_counter</x:v>
      </x:c>
      <x:c r="D962" s="35" t="str">
        <x:v>resolution_priority</x:v>
      </x:c>
      <x:c r="E962" s="38" t="str">
        <x:v>int</x:v>
      </x:c>
      <x:c r="F962" s="56" t="n">
        <x:f>'Actions'!AE21</x:f>
        <x:v>90</x:v>
      </x:c>
      <x:c r="G962" s="38" t="str"/>
      <x:c r="H962" s="35" t="str">
        <x:v>Actions</x:v>
      </x:c>
      <x:c r="I962" s="35" t="str">
        <x:v>AE21</x:v>
      </x:c>
      <x:c r="J962" s="85" t="b">
        <x:v>1</x:v>
      </x:c>
      <x:c r="K962" s="85" t="b">
        <x:v>1</x:v>
      </x:c>
      <x:c r="L962" s="56" t="str">
        <x:f>'Actions'!BE21</x:f>
        <x:v>OK</x:v>
      </x:c>
      <x:c r="M962" s="44" t="str">
        <x:v>Источник Actions.Resolution Priority</x:v>
      </x:c>
    </x:row>
    <x:row r="963" ht="36" customHeight="1">
      <x:c r="A963" s="118" t="n">
        <x:v>958</x:v>
      </x:c>
      <x:c r="B963" s="35" t="str">
        <x:v>action</x:v>
      </x:c>
      <x:c r="C963" s="35" t="str">
        <x:v>kangaroo_tail_counter</x:v>
      </x:c>
      <x:c r="D963" s="35" t="str">
        <x:v>interrupt_profile</x:v>
      </x:c>
      <x:c r="E963" s="38" t="str">
        <x:v>string</x:v>
      </x:c>
      <x:c r="F963" s="56" t="str">
        <x:f>'Actions'!AF21</x:f>
        <x:v>UninterruptibleImpact</x:v>
      </x:c>
      <x:c r="G963" s="38" t="str"/>
      <x:c r="H963" s="35" t="str">
        <x:v>Actions</x:v>
      </x:c>
      <x:c r="I963" s="35" t="str">
        <x:v>AF21</x:v>
      </x:c>
      <x:c r="J963" s="85" t="b">
        <x:v>1</x:v>
      </x:c>
      <x:c r="K963" s="85" t="b">
        <x:v>1</x:v>
      </x:c>
      <x:c r="L963" s="56" t="str">
        <x:f>'Actions'!BE21</x:f>
        <x:v>OK</x:v>
      </x:c>
      <x:c r="M963" s="44" t="str">
        <x:v>Источник Actions.Interrupt Profile</x:v>
      </x:c>
    </x:row>
    <x:row r="964" ht="36" customHeight="1">
      <x:c r="A964" s="118" t="n">
        <x:v>959</x:v>
      </x:c>
      <x:c r="B964" s="35" t="str">
        <x:v>action</x:v>
      </x:c>
      <x:c r="C964" s="35" t="str">
        <x:v>kangaroo_tail_counter</x:v>
      </x:c>
      <x:c r="D964" s="35" t="str">
        <x:v>blockable</x:v>
      </x:c>
      <x:c r="E964" s="38" t="str">
        <x:v>bool</x:v>
      </x:c>
      <x:c r="F964" s="56" t="b">
        <x:f>'Actions'!AG21</x:f>
        <x:v>1</x:v>
      </x:c>
      <x:c r="G964" s="38" t="str"/>
      <x:c r="H964" s="35" t="str">
        <x:v>Actions</x:v>
      </x:c>
      <x:c r="I964" s="35" t="str">
        <x:v>AG21</x:v>
      </x:c>
      <x:c r="J964" s="85" t="b">
        <x:v>1</x:v>
      </x:c>
      <x:c r="K964" s="85" t="b">
        <x:v>1</x:v>
      </x:c>
      <x:c r="L964" s="56" t="str">
        <x:f>'Actions'!BE21</x:f>
        <x:v>OK</x:v>
      </x:c>
      <x:c r="M964" s="44" t="str">
        <x:v>Источник Actions.Blockable</x:v>
      </x:c>
    </x:row>
    <x:row r="965" ht="36" customHeight="1">
      <x:c r="A965" s="118" t="n">
        <x:v>960</x:v>
      </x:c>
      <x:c r="B965" s="35" t="str">
        <x:v>action</x:v>
      </x:c>
      <x:c r="C965" s="35" t="str">
        <x:v>kangaroo_tail_counter</x:v>
      </x:c>
      <x:c r="D965" s="35" t="str">
        <x:v>dodgeable</x:v>
      </x:c>
      <x:c r="E965" s="38" t="str">
        <x:v>bool</x:v>
      </x:c>
      <x:c r="F965" s="56" t="b">
        <x:f>'Actions'!AH21</x:f>
        <x:v>0</x:v>
      </x:c>
      <x:c r="G965" s="38" t="str"/>
      <x:c r="H965" s="35" t="str">
        <x:v>Actions</x:v>
      </x:c>
      <x:c r="I965" s="35" t="str">
        <x:v>AH21</x:v>
      </x:c>
      <x:c r="J965" s="85" t="b">
        <x:v>1</x:v>
      </x:c>
      <x:c r="K965" s="85" t="b">
        <x:v>1</x:v>
      </x:c>
      <x:c r="L965" s="56" t="str">
        <x:f>'Actions'!BE21</x:f>
        <x:v>OK</x:v>
      </x:c>
      <x:c r="M965" s="44" t="str">
        <x:v>Источник Actions.Dodgeable</x:v>
      </x:c>
    </x:row>
    <x:row r="966" ht="36" customHeight="1">
      <x:c r="A966" s="118" t="n">
        <x:v>961</x:v>
      </x:c>
      <x:c r="B966" s="35" t="str">
        <x:v>action</x:v>
      </x:c>
      <x:c r="C966" s="35" t="str">
        <x:v>kangaroo_tail_counter</x:v>
      </x:c>
      <x:c r="D966" s="35" t="str">
        <x:v>undodgeable</x:v>
      </x:c>
      <x:c r="E966" s="38" t="str">
        <x:v>bool</x:v>
      </x:c>
      <x:c r="F966" s="56" t="b">
        <x:f>'Actions'!AI21</x:f>
        <x:v>0</x:v>
      </x:c>
      <x:c r="G966" s="38" t="str"/>
      <x:c r="H966" s="35" t="str">
        <x:v>Actions</x:v>
      </x:c>
      <x:c r="I966" s="35" t="str">
        <x:v>AI21</x:v>
      </x:c>
      <x:c r="J966" s="85" t="b">
        <x:v>1</x:v>
      </x:c>
      <x:c r="K966" s="85" t="b">
        <x:v>1</x:v>
      </x:c>
      <x:c r="L966" s="56" t="str">
        <x:f>'Actions'!BE21</x:f>
        <x:v>OK</x:v>
      </x:c>
      <x:c r="M966" s="44" t="str">
        <x:v>Источник Actions.Undodgeable</x:v>
      </x:c>
    </x:row>
    <x:row r="967" ht="36" customHeight="1">
      <x:c r="A967" s="118" t="n">
        <x:v>962</x:v>
      </x:c>
      <x:c r="B967" s="35" t="str">
        <x:v>action</x:v>
      </x:c>
      <x:c r="C967" s="35" t="str">
        <x:v>kangaroo_tail_counter</x:v>
      </x:c>
      <x:c r="D967" s="35" t="str">
        <x:v>wall_impact</x:v>
      </x:c>
      <x:c r="E967" s="38" t="str">
        <x:v>bool</x:v>
      </x:c>
      <x:c r="F967" s="56" t="b">
        <x:f>'Actions'!AJ21</x:f>
        <x:v>0</x:v>
      </x:c>
      <x:c r="G967" s="38" t="str"/>
      <x:c r="H967" s="35" t="str">
        <x:v>Actions</x:v>
      </x:c>
      <x:c r="I967" s="35" t="str">
        <x:v>AJ21</x:v>
      </x:c>
      <x:c r="J967" s="85" t="b">
        <x:v>1</x:v>
      </x:c>
      <x:c r="K967" s="85" t="b">
        <x:v>1</x:v>
      </x:c>
      <x:c r="L967" s="56" t="str">
        <x:f>'Actions'!BE21</x:f>
        <x:v>OK</x:v>
      </x:c>
      <x:c r="M967" s="44" t="str">
        <x:v>Источник Actions.Wall Impact</x:v>
      </x:c>
    </x:row>
    <x:row r="968" ht="36" customHeight="1">
      <x:c r="A968" s="118" t="n">
        <x:v>963</x:v>
      </x:c>
      <x:c r="B968" s="35" t="str">
        <x:v>action</x:v>
      </x:c>
      <x:c r="C968" s="35" t="str">
        <x:v>kangaroo_tail_counter</x:v>
      </x:c>
      <x:c r="D968" s="35" t="str">
        <x:v>track_target</x:v>
      </x:c>
      <x:c r="E968" s="38" t="str">
        <x:v>bool</x:v>
      </x:c>
      <x:c r="F968" s="56" t="b">
        <x:f>'Actions'!AK21</x:f>
        <x:v>1</x:v>
      </x:c>
      <x:c r="G968" s="38" t="str"/>
      <x:c r="H968" s="35" t="str">
        <x:v>Actions</x:v>
      </x:c>
      <x:c r="I968" s="35" t="str">
        <x:v>AK21</x:v>
      </x:c>
      <x:c r="J968" s="85" t="b">
        <x:v>1</x:v>
      </x:c>
      <x:c r="K968" s="85" t="b">
        <x:v>1</x:v>
      </x:c>
      <x:c r="L968" s="56" t="str">
        <x:f>'Actions'!BE21</x:f>
        <x:v>OK</x:v>
      </x:c>
      <x:c r="M968" s="44" t="str">
        <x:v>Источник Actions.Track Target</x:v>
      </x:c>
    </x:row>
    <x:row r="969" ht="36" customHeight="1">
      <x:c r="A969" s="118" t="n">
        <x:v>964</x:v>
      </x:c>
      <x:c r="B969" s="35" t="str">
        <x:v>action</x:v>
      </x:c>
      <x:c r="C969" s="35" t="str">
        <x:v>kangaroo_tail_counter</x:v>
      </x:c>
      <x:c r="D969" s="35" t="str">
        <x:v>block_base_chance_fp</x:v>
      </x:c>
      <x:c r="E969" s="38" t="str">
        <x:v>int</x:v>
      </x:c>
      <x:c r="F969" s="56" t="n">
        <x:f>'Actions'!AL21</x:f>
        <x:v>0</x:v>
      </x:c>
      <x:c r="G969" s="38" t="str"/>
      <x:c r="H969" s="35" t="str">
        <x:v>Actions</x:v>
      </x:c>
      <x:c r="I969" s="35" t="str">
        <x:v>AL21</x:v>
      </x:c>
      <x:c r="J969" s="85" t="b">
        <x:v>1</x:v>
      </x:c>
      <x:c r="K969" s="85" t="b">
        <x:v>1</x:v>
      </x:c>
      <x:c r="L969" s="56" t="str">
        <x:f>'Actions'!BE21</x:f>
        <x:v>OK</x:v>
      </x:c>
      <x:c r="M969" s="44" t="str">
        <x:v>Источник Actions.Block Base Chance FP</x:v>
      </x:c>
    </x:row>
    <x:row r="970" ht="36" customHeight="1">
      <x:c r="A970" s="118" t="n">
        <x:v>965</x:v>
      </x:c>
      <x:c r="B970" s="35" t="str">
        <x:v>action</x:v>
      </x:c>
      <x:c r="C970" s="35" t="str">
        <x:v>kangaroo_tail_counter</x:v>
      </x:c>
      <x:c r="D970" s="35" t="str">
        <x:v>block_reduction_fp</x:v>
      </x:c>
      <x:c r="E970" s="38" t="str">
        <x:v>int</x:v>
      </x:c>
      <x:c r="F970" s="56" t="n">
        <x:f>'Actions'!AM21</x:f>
        <x:v>0</x:v>
      </x:c>
      <x:c r="G970" s="38" t="str"/>
      <x:c r="H970" s="35" t="str">
        <x:v>Actions</x:v>
      </x:c>
      <x:c r="I970" s="35" t="str">
        <x:v>AM21</x:v>
      </x:c>
      <x:c r="J970" s="85" t="b">
        <x:v>1</x:v>
      </x:c>
      <x:c r="K970" s="85" t="b">
        <x:v>1</x:v>
      </x:c>
      <x:c r="L970" s="56" t="str">
        <x:f>'Actions'!BE21</x:f>
        <x:v>OK</x:v>
      </x:c>
      <x:c r="M970" s="44" t="str">
        <x:v>Источник Actions.Block Reduction FP</x:v>
      </x:c>
    </x:row>
    <x:row r="971" ht="36" customHeight="1">
      <x:c r="A971" s="118" t="n">
        <x:v>966</x:v>
      </x:c>
      <x:c r="B971" s="35" t="str">
        <x:v>action</x:v>
      </x:c>
      <x:c r="C971" s="35" t="str">
        <x:v>kangaroo_tail_counter</x:v>
      </x:c>
      <x:c r="D971" s="35" t="str">
        <x:v>dodge_base_chance_fp</x:v>
      </x:c>
      <x:c r="E971" s="38" t="str">
        <x:v>int</x:v>
      </x:c>
      <x:c r="F971" s="56" t="n">
        <x:f>'Actions'!AN21</x:f>
        <x:v>0</x:v>
      </x:c>
      <x:c r="G971" s="38" t="str"/>
      <x:c r="H971" s="35" t="str">
        <x:v>Actions</x:v>
      </x:c>
      <x:c r="I971" s="35" t="str">
        <x:v>AN21</x:v>
      </x:c>
      <x:c r="J971" s="85" t="b">
        <x:v>1</x:v>
      </x:c>
      <x:c r="K971" s="85" t="b">
        <x:v>1</x:v>
      </x:c>
      <x:c r="L971" s="56" t="str">
        <x:f>'Actions'!BE21</x:f>
        <x:v>OK</x:v>
      </x:c>
      <x:c r="M971" s="44" t="str">
        <x:v>Источник Actions.Dodge Base Chance FP</x:v>
      </x:c>
    </x:row>
    <x:row r="972" ht="36" customHeight="1">
      <x:c r="A972" s="118" t="n">
        <x:v>967</x:v>
      </x:c>
      <x:c r="B972" s="35" t="str">
        <x:v>action</x:v>
      </x:c>
      <x:c r="C972" s="35" t="str">
        <x:v>kangaroo_tail_counter</x:v>
      </x:c>
      <x:c r="D972" s="35" t="str">
        <x:v>movement_mode</x:v>
      </x:c>
      <x:c r="E972" s="38" t="str">
        <x:v>string</x:v>
      </x:c>
      <x:c r="F972" s="56" t="str">
        <x:f>'Actions'!AO21</x:f>
        <x:v>Swap</x:v>
      </x:c>
      <x:c r="G972" s="38" t="str"/>
      <x:c r="H972" s="35" t="str">
        <x:v>Actions</x:v>
      </x:c>
      <x:c r="I972" s="35" t="str">
        <x:v>AO21</x:v>
      </x:c>
      <x:c r="J972" s="85" t="b">
        <x:v>1</x:v>
      </x:c>
      <x:c r="K972" s="85" t="b">
        <x:v>1</x:v>
      </x:c>
      <x:c r="L972" s="56" t="str">
        <x:f>'Actions'!BE21</x:f>
        <x:v>OK</x:v>
      </x:c>
      <x:c r="M972" s="44" t="str">
        <x:v>Источник Actions.Movement Mode</x:v>
      </x:c>
    </x:row>
    <x:row r="973" ht="36" customHeight="1">
      <x:c r="A973" s="118" t="n">
        <x:v>968</x:v>
      </x:c>
      <x:c r="B973" s="35" t="str">
        <x:v>action</x:v>
      </x:c>
      <x:c r="C973" s="35" t="str">
        <x:v>kangaroo_tail_counter</x:v>
      </x:c>
      <x:c r="D973" s="35" t="str">
        <x:v>move_distance</x:v>
      </x:c>
      <x:c r="E973" s="38" t="str">
        <x:v>int</x:v>
      </x:c>
      <x:c r="F973" s="56" t="n">
        <x:f>'Actions'!AP21</x:f>
        <x:v>500</x:v>
      </x:c>
      <x:c r="G973" s="38" t="str"/>
      <x:c r="H973" s="35" t="str">
        <x:v>Actions</x:v>
      </x:c>
      <x:c r="I973" s="35" t="str">
        <x:v>AP21</x:v>
      </x:c>
      <x:c r="J973" s="85" t="b">
        <x:v>1</x:v>
      </x:c>
      <x:c r="K973" s="85" t="b">
        <x:v>1</x:v>
      </x:c>
      <x:c r="L973" s="56" t="str">
        <x:f>'Actions'!BE21</x:f>
        <x:v>OK</x:v>
      </x:c>
      <x:c r="M973" s="44" t="str">
        <x:v>Источник Actions.Move Distance</x:v>
      </x:c>
    </x:row>
    <x:row r="974" ht="36" customHeight="1">
      <x:c r="A974" s="118" t="n">
        <x:v>969</x:v>
      </x:c>
      <x:c r="B974" s="35" t="str">
        <x:v>action</x:v>
      </x:c>
      <x:c r="C974" s="35" t="str">
        <x:v>kangaroo_tail_counter</x:v>
      </x:c>
      <x:c r="D974" s="35" t="str">
        <x:v>base_stagger</x:v>
      </x:c>
      <x:c r="E974" s="38" t="str">
        <x:v>int</x:v>
      </x:c>
      <x:c r="F974" s="56" t="n">
        <x:f>'Actions'!AQ21</x:f>
        <x:v>100</x:v>
      </x:c>
      <x:c r="G974" s="38" t="str"/>
      <x:c r="H974" s="35" t="str">
        <x:v>Actions</x:v>
      </x:c>
      <x:c r="I974" s="35" t="str">
        <x:v>AQ21</x:v>
      </x:c>
      <x:c r="J974" s="85" t="b">
        <x:v>1</x:v>
      </x:c>
      <x:c r="K974" s="85" t="b">
        <x:v>1</x:v>
      </x:c>
      <x:c r="L974" s="56" t="str">
        <x:f>'Actions'!BE21</x:f>
        <x:v>OK</x:v>
      </x:c>
      <x:c r="M974" s="44" t="str">
        <x:v>Источник Actions.Base Stagger</x:v>
      </x:c>
    </x:row>
    <x:row r="975" ht="36" customHeight="1">
      <x:c r="A975" s="118" t="n">
        <x:v>970</x:v>
      </x:c>
      <x:c r="B975" s="35" t="str">
        <x:v>action</x:v>
      </x:c>
      <x:c r="C975" s="35" t="str">
        <x:v>kangaroo_tail_counter</x:v>
      </x:c>
      <x:c r="D975" s="35" t="str">
        <x:v>base_stun_ticks</x:v>
      </x:c>
      <x:c r="E975" s="38" t="str">
        <x:v>int</x:v>
      </x:c>
      <x:c r="F975" s="56" t="n">
        <x:f>'Actions'!AR21</x:f>
        <x:v>4</x:v>
      </x:c>
      <x:c r="G975" s="38" t="str"/>
      <x:c r="H975" s="35" t="str">
        <x:v>Actions</x:v>
      </x:c>
      <x:c r="I975" s="35" t="str">
        <x:v>AR21</x:v>
      </x:c>
      <x:c r="J975" s="85" t="b">
        <x:v>1</x:v>
      </x:c>
      <x:c r="K975" s="85" t="b">
        <x:v>1</x:v>
      </x:c>
      <x:c r="L975" s="56" t="str">
        <x:f>'Actions'!BE21</x:f>
        <x:v>OK</x:v>
      </x:c>
      <x:c r="M975" s="44" t="str">
        <x:v>Источник Actions.Base Stun Ticks</x:v>
      </x:c>
    </x:row>
    <x:row r="976" ht="36" customHeight="1">
      <x:c r="A976" s="118" t="n">
        <x:v>971</x:v>
      </x:c>
      <x:c r="B976" s="35" t="str">
        <x:v>action</x:v>
      </x:c>
      <x:c r="C976" s="35" t="str">
        <x:v>kangaroo_tail_counter</x:v>
      </x:c>
      <x:c r="D976" s="35" t="str">
        <x:v>base_knockback</x:v>
      </x:c>
      <x:c r="E976" s="38" t="str">
        <x:v>int</x:v>
      </x:c>
      <x:c r="F976" s="56" t="n">
        <x:f>'Actions'!AS21</x:f>
        <x:v>450</x:v>
      </x:c>
      <x:c r="G976" s="38" t="str"/>
      <x:c r="H976" s="35" t="str">
        <x:v>Actions</x:v>
      </x:c>
      <x:c r="I976" s="35" t="str">
        <x:v>AS21</x:v>
      </x:c>
      <x:c r="J976" s="85" t="b">
        <x:v>1</x:v>
      </x:c>
      <x:c r="K976" s="85" t="b">
        <x:v>1</x:v>
      </x:c>
      <x:c r="L976" s="56" t="str">
        <x:f>'Actions'!BE21</x:f>
        <x:v>OK</x:v>
      </x:c>
      <x:c r="M976" s="44" t="str">
        <x:v>Источник Actions.Base Knockback</x:v>
      </x:c>
    </x:row>
    <x:row r="977" ht="36" customHeight="1">
      <x:c r="A977" s="118" t="n">
        <x:v>972</x:v>
      </x:c>
      <x:c r="B977" s="35" t="str">
        <x:v>action</x:v>
      </x:c>
      <x:c r="C977" s="35" t="str">
        <x:v>kangaroo_tail_counter</x:v>
      </x:c>
      <x:c r="D977" s="35" t="str">
        <x:v>knockback_min</x:v>
      </x:c>
      <x:c r="E977" s="38" t="str">
        <x:v>int</x:v>
      </x:c>
      <x:c r="F977" s="56" t="n">
        <x:f>'Actions'!AT21</x:f>
        <x:v>100</x:v>
      </x:c>
      <x:c r="G977" s="38" t="str"/>
      <x:c r="H977" s="35" t="str">
        <x:v>Actions</x:v>
      </x:c>
      <x:c r="I977" s="35" t="str">
        <x:v>AT21</x:v>
      </x:c>
      <x:c r="J977" s="85" t="b">
        <x:v>1</x:v>
      </x:c>
      <x:c r="K977" s="85" t="b">
        <x:v>1</x:v>
      </x:c>
      <x:c r="L977" s="56" t="str">
        <x:f>'Actions'!BE21</x:f>
        <x:v>OK</x:v>
      </x:c>
      <x:c r="M977" s="44" t="str">
        <x:v>Источник Actions.Knockback Min</x:v>
      </x:c>
    </x:row>
    <x:row r="978" ht="36" customHeight="1">
      <x:c r="A978" s="118" t="n">
        <x:v>973</x:v>
      </x:c>
      <x:c r="B978" s="35" t="str">
        <x:v>action</x:v>
      </x:c>
      <x:c r="C978" s="35" t="str">
        <x:v>kangaroo_tail_counter</x:v>
      </x:c>
      <x:c r="D978" s="35" t="str">
        <x:v>knockback_max</x:v>
      </x:c>
      <x:c r="E978" s="38" t="str">
        <x:v>int</x:v>
      </x:c>
      <x:c r="F978" s="56" t="n">
        <x:f>'Actions'!AU21</x:f>
        <x:v>700</x:v>
      </x:c>
      <x:c r="G978" s="38" t="str"/>
      <x:c r="H978" s="35" t="str">
        <x:v>Actions</x:v>
      </x:c>
      <x:c r="I978" s="35" t="str">
        <x:v>AU21</x:v>
      </x:c>
      <x:c r="J978" s="85" t="b">
        <x:v>1</x:v>
      </x:c>
      <x:c r="K978" s="85" t="b">
        <x:v>1</x:v>
      </x:c>
      <x:c r="L978" s="56" t="str">
        <x:f>'Actions'!BE21</x:f>
        <x:v>OK</x:v>
      </x:c>
      <x:c r="M978" s="44" t="str">
        <x:v>Источник Actions.Knockback Max</x:v>
      </x:c>
    </x:row>
    <x:row r="979" ht="36" customHeight="1">
      <x:c r="A979" s="118" t="n">
        <x:v>974</x:v>
      </x:c>
      <x:c r="B979" s="35" t="str">
        <x:v>action</x:v>
      </x:c>
      <x:c r="C979" s="35" t="str">
        <x:v>kangaroo_tail_counter</x:v>
      </x:c>
      <x:c r="D979" s="35" t="str">
        <x:v>wall_damage_per_unit_fp</x:v>
      </x:c>
      <x:c r="E979" s="38" t="str">
        <x:v>int</x:v>
      </x:c>
      <x:c r="F979" s="56" t="n">
        <x:f>'Actions'!AV21</x:f>
        <x:v>0</x:v>
      </x:c>
      <x:c r="G979" s="38" t="str"/>
      <x:c r="H979" s="35" t="str">
        <x:v>Actions</x:v>
      </x:c>
      <x:c r="I979" s="35" t="str">
        <x:v>AV21</x:v>
      </x:c>
      <x:c r="J979" s="85" t="b">
        <x:v>1</x:v>
      </x:c>
      <x:c r="K979" s="85" t="b">
        <x:v>1</x:v>
      </x:c>
      <x:c r="L979" s="56" t="str">
        <x:f>'Actions'!BE21</x:f>
        <x:v>OK</x:v>
      </x:c>
      <x:c r="M979" s="44" t="str">
        <x:v>Источник Actions.Wall Damage / Unit FP</x:v>
      </x:c>
    </x:row>
    <x:row r="980" ht="36" customHeight="1">
      <x:c r="A980" s="118" t="n">
        <x:v>975</x:v>
      </x:c>
      <x:c r="B980" s="35" t="str">
        <x:v>action</x:v>
      </x:c>
      <x:c r="C980" s="35" t="str">
        <x:v>kangaroo_tail_counter</x:v>
      </x:c>
      <x:c r="D980" s="35" t="str">
        <x:v>wall_damage_min</x:v>
      </x:c>
      <x:c r="E980" s="38" t="str">
        <x:v>int</x:v>
      </x:c>
      <x:c r="F980" s="56" t="n">
        <x:f>'Actions'!AW21</x:f>
        <x:v>0</x:v>
      </x:c>
      <x:c r="G980" s="38" t="str"/>
      <x:c r="H980" s="35" t="str">
        <x:v>Actions</x:v>
      </x:c>
      <x:c r="I980" s="35" t="str">
        <x:v>AW21</x:v>
      </x:c>
      <x:c r="J980" s="85" t="b">
        <x:v>1</x:v>
      </x:c>
      <x:c r="K980" s="85" t="b">
        <x:v>1</x:v>
      </x:c>
      <x:c r="L980" s="56" t="str">
        <x:f>'Actions'!BE21</x:f>
        <x:v>OK</x:v>
      </x:c>
      <x:c r="M980" s="44" t="str">
        <x:v>Источник Actions.Wall Damage Min</x:v>
      </x:c>
    </x:row>
    <x:row r="981" ht="36" customHeight="1">
      <x:c r="A981" s="118" t="n">
        <x:v>976</x:v>
      </x:c>
      <x:c r="B981" s="35" t="str">
        <x:v>action</x:v>
      </x:c>
      <x:c r="C981" s="35" t="str">
        <x:v>kangaroo_tail_counter</x:v>
      </x:c>
      <x:c r="D981" s="35" t="str">
        <x:v>wall_damage_max</x:v>
      </x:c>
      <x:c r="E981" s="38" t="str">
        <x:v>int</x:v>
      </x:c>
      <x:c r="F981" s="56" t="n">
        <x:f>'Actions'!AX21</x:f>
        <x:v>0</x:v>
      </x:c>
      <x:c r="G981" s="38" t="str"/>
      <x:c r="H981" s="35" t="str">
        <x:v>Actions</x:v>
      </x:c>
      <x:c r="I981" s="35" t="str">
        <x:v>AX21</x:v>
      </x:c>
      <x:c r="J981" s="85" t="b">
        <x:v>1</x:v>
      </x:c>
      <x:c r="K981" s="85" t="b">
        <x:v>1</x:v>
      </x:c>
      <x:c r="L981" s="56" t="str">
        <x:f>'Actions'!BE21</x:f>
        <x:v>OK</x:v>
      </x:c>
      <x:c r="M981" s="44" t="str">
        <x:v>Источник Actions.Wall Damage Max</x:v>
      </x:c>
    </x:row>
    <x:row r="982" ht="36" customHeight="1">
      <x:c r="A982" s="118" t="n">
        <x:v>977</x:v>
      </x:c>
      <x:c r="B982" s="35" t="str">
        <x:v>action</x:v>
      </x:c>
      <x:c r="C982" s="35" t="str">
        <x:v>kangaroo_tail_counter</x:v>
      </x:c>
      <x:c r="D982" s="35" t="str">
        <x:v>max_consecutive_uses</x:v>
      </x:c>
      <x:c r="E982" s="38" t="str">
        <x:v>int</x:v>
      </x:c>
      <x:c r="F982" s="56" t="n">
        <x:f>'Actions'!AY21</x:f>
        <x:v>1</x:v>
      </x:c>
      <x:c r="G982" s="38" t="str"/>
      <x:c r="H982" s="35" t="str">
        <x:v>Actions</x:v>
      </x:c>
      <x:c r="I982" s="35" t="str">
        <x:v>AY21</x:v>
      </x:c>
      <x:c r="J982" s="85" t="b">
        <x:v>1</x:v>
      </x:c>
      <x:c r="K982" s="85" t="b">
        <x:v>1</x:v>
      </x:c>
      <x:c r="L982" s="56" t="str">
        <x:f>'Actions'!BE21</x:f>
        <x:v>OK</x:v>
      </x:c>
      <x:c r="M982" s="44" t="str">
        <x:v>Источник Actions.Max Consecutive Uses</x:v>
      </x:c>
    </x:row>
    <x:row r="983" ht="36" customHeight="1">
      <x:c r="A983" s="118" t="n">
        <x:v>978</x:v>
      </x:c>
      <x:c r="B983" s="35" t="str">
        <x:v>action</x:v>
      </x:c>
      <x:c r="C983" s="35" t="str">
        <x:v>kangaroo_tail_counter</x:v>
      </x:c>
      <x:c r="D983" s="35" t="str">
        <x:v>opportunity_cap_fp</x:v>
      </x:c>
      <x:c r="E983" s="38" t="str">
        <x:v>int</x:v>
      </x:c>
      <x:c r="F983" s="56" t="n">
        <x:f>'Actions'!AZ21</x:f>
        <x:v>2200</x:v>
      </x:c>
      <x:c r="G983" s="38" t="str"/>
      <x:c r="H983" s="35" t="str">
        <x:v>Actions</x:v>
      </x:c>
      <x:c r="I983" s="35" t="str">
        <x:v>AZ21</x:v>
      </x:c>
      <x:c r="J983" s="85" t="b">
        <x:v>1</x:v>
      </x:c>
      <x:c r="K983" s="85" t="b">
        <x:v>1</x:v>
      </x:c>
      <x:c r="L983" s="56" t="str">
        <x:f>'Actions'!BE21</x:f>
        <x:v>OK</x:v>
      </x:c>
      <x:c r="M983" s="44" t="str">
        <x:v>Источник Actions.Opportunity Cap FP</x:v>
      </x:c>
    </x:row>
    <x:row r="984" ht="36" customHeight="1">
      <x:c r="A984" s="118" t="n">
        <x:v>979</x:v>
      </x:c>
      <x:c r="B984" s="35" t="str">
        <x:v>action</x:v>
      </x:c>
      <x:c r="C984" s="35" t="str">
        <x:v>kangaroo_tail_counter</x:v>
      </x:c>
      <x:c r="D984" s="35" t="str">
        <x:v>hard_opportunity_misses</x:v>
      </x:c>
      <x:c r="E984" s="38" t="str">
        <x:v>int</x:v>
      </x:c>
      <x:c r="F984" s="56" t="n">
        <x:f>'Actions'!BA21</x:f>
        <x:v>0</x:v>
      </x:c>
      <x:c r="G984" s="38" t="str"/>
      <x:c r="H984" s="35" t="str">
        <x:v>Actions</x:v>
      </x:c>
      <x:c r="I984" s="35" t="str">
        <x:v>BA21</x:v>
      </x:c>
      <x:c r="J984" s="85" t="b">
        <x:v>1</x:v>
      </x:c>
      <x:c r="K984" s="85" t="b">
        <x:v>1</x:v>
      </x:c>
      <x:c r="L984" s="56" t="str">
        <x:f>'Actions'!BE21</x:f>
        <x:v>OK</x:v>
      </x:c>
      <x:c r="M984" s="44" t="str">
        <x:v>Источник Actions.Hard Opportunity Misses</x:v>
      </x:c>
    </x:row>
    <x:row r="985" ht="36" customHeight="1">
      <x:c r="A985" s="118" t="n">
        <x:v>980</x:v>
      </x:c>
      <x:c r="B985" s="35" t="str">
        <x:v>action</x:v>
      </x:c>
      <x:c r="C985" s="35" t="str">
        <x:v>kangaroo_tempo_barrage</x:v>
      </x:c>
      <x:c r="D985" s="35" t="str">
        <x:v>action_id</x:v>
      </x:c>
      <x:c r="E985" s="38" t="str">
        <x:v>string</x:v>
      </x:c>
      <x:c r="F985" s="56" t="str">
        <x:f>'Actions'!A22</x:f>
        <x:v>kangaroo_tempo_barrage</x:v>
      </x:c>
      <x:c r="G985" s="38" t="str"/>
      <x:c r="H985" s="35" t="str">
        <x:v>Actions</x:v>
      </x:c>
      <x:c r="I985" s="35" t="str">
        <x:v>A22</x:v>
      </x:c>
      <x:c r="J985" s="85" t="b">
        <x:v>1</x:v>
      </x:c>
      <x:c r="K985" s="85" t="b">
        <x:v>1</x:v>
      </x:c>
      <x:c r="L985" s="56" t="str">
        <x:f>'Actions'!BE22</x:f>
        <x:v>OK</x:v>
      </x:c>
      <x:c r="M985" s="44" t="str">
        <x:v>Источник Actions.Action ID</x:v>
      </x:c>
    </x:row>
    <x:row r="986" ht="36" customHeight="1">
      <x:c r="A986" s="118" t="n">
        <x:v>981</x:v>
      </x:c>
      <x:c r="B986" s="35" t="str">
        <x:v>action</x:v>
      </x:c>
      <x:c r="C986" s="35" t="str">
        <x:v>kangaroo_tempo_barrage</x:v>
      </x:c>
      <x:c r="D986" s="35" t="str">
        <x:v>animal_id</x:v>
      </x:c>
      <x:c r="E986" s="38" t="str">
        <x:v>string</x:v>
      </x:c>
      <x:c r="F986" s="56" t="str">
        <x:f>'Actions'!B22</x:f>
        <x:v>kangaroo</x:v>
      </x:c>
      <x:c r="G986" s="38" t="str"/>
      <x:c r="H986" s="35" t="str">
        <x:v>Actions</x:v>
      </x:c>
      <x:c r="I986" s="35" t="str">
        <x:v>B22</x:v>
      </x:c>
      <x:c r="J986" s="85" t="b">
        <x:v>1</x:v>
      </x:c>
      <x:c r="K986" s="85" t="b">
        <x:v>1</x:v>
      </x:c>
      <x:c r="L986" s="56" t="str">
        <x:f>'Actions'!BE22</x:f>
        <x:v>OK</x:v>
      </x:c>
      <x:c r="M986" s="44" t="str">
        <x:v>Источник Actions.Animal ID</x:v>
      </x:c>
    </x:row>
    <x:row r="987" ht="36" customHeight="1">
      <x:c r="A987" s="118" t="n">
        <x:v>982</x:v>
      </x:c>
      <x:c r="B987" s="35" t="str">
        <x:v>action</x:v>
      </x:c>
      <x:c r="C987" s="35" t="str">
        <x:v>kangaroo_tempo_barrage</x:v>
      </x:c>
      <x:c r="D987" s="35" t="str">
        <x:v>slot_type</x:v>
      </x:c>
      <x:c r="E987" s="38" t="str">
        <x:v>string</x:v>
      </x:c>
      <x:c r="F987" s="56" t="str">
        <x:f>'Actions'!D22</x:f>
        <x:v>Special</x:v>
      </x:c>
      <x:c r="G987" s="38" t="str"/>
      <x:c r="H987" s="35" t="str">
        <x:v>Actions</x:v>
      </x:c>
      <x:c r="I987" s="35" t="str">
        <x:v>D22</x:v>
      </x:c>
      <x:c r="J987" s="85" t="b">
        <x:v>1</x:v>
      </x:c>
      <x:c r="K987" s="85" t="b">
        <x:v>1</x:v>
      </x:c>
      <x:c r="L987" s="56" t="str">
        <x:f>'Actions'!BE22</x:f>
        <x:v>OK</x:v>
      </x:c>
      <x:c r="M987" s="44" t="str">
        <x:v>Источник Actions.Slot Type</x:v>
      </x:c>
    </x:row>
    <x:row r="988" ht="36" customHeight="1">
      <x:c r="A988" s="118" t="n">
        <x:v>983</x:v>
      </x:c>
      <x:c r="B988" s="35" t="str">
        <x:v>action</x:v>
      </x:c>
      <x:c r="C988" s="35" t="str">
        <x:v>kangaroo_tempo_barrage</x:v>
      </x:c>
      <x:c r="D988" s="35" t="str">
        <x:v>category</x:v>
      </x:c>
      <x:c r="E988" s="38" t="str">
        <x:v>string</x:v>
      </x:c>
      <x:c r="F988" s="56" t="str">
        <x:f>'Actions'!E22</x:f>
        <x:v>SignatureMultiHit</x:v>
      </x:c>
      <x:c r="G988" s="38" t="str"/>
      <x:c r="H988" s="35" t="str">
        <x:v>Actions</x:v>
      </x:c>
      <x:c r="I988" s="35" t="str">
        <x:v>E22</x:v>
      </x:c>
      <x:c r="J988" s="85" t="b">
        <x:v>1</x:v>
      </x:c>
      <x:c r="K988" s="85" t="b">
        <x:v>1</x:v>
      </x:c>
      <x:c r="L988" s="56" t="str">
        <x:f>'Actions'!BE22</x:f>
        <x:v>OK</x:v>
      </x:c>
      <x:c r="M988" s="44" t="str">
        <x:v>Источник Actions.Category</x:v>
      </x:c>
    </x:row>
    <x:row r="989" ht="36" customHeight="1">
      <x:c r="A989" s="118" t="n">
        <x:v>984</x:v>
      </x:c>
      <x:c r="B989" s="35" t="str">
        <x:v>action</x:v>
      </x:c>
      <x:c r="C989" s="35" t="str">
        <x:v>kangaroo_tempo_barrage</x:v>
      </x:c>
      <x:c r="D989" s="35" t="str">
        <x:v>tags</x:v>
      </x:c>
      <x:c r="E989" s="38" t="str">
        <x:v>string</x:v>
      </x:c>
      <x:c r="F989" s="56" t="str">
        <x:f>'Actions'!F22</x:f>
        <x:v>special|signature|multi_hit|finisher|rhythm</x:v>
      </x:c>
      <x:c r="G989" s="38" t="str"/>
      <x:c r="H989" s="35" t="str">
        <x:v>Actions</x:v>
      </x:c>
      <x:c r="I989" s="35" t="str">
        <x:v>F22</x:v>
      </x:c>
      <x:c r="J989" s="85" t="b">
        <x:v>1</x:v>
      </x:c>
      <x:c r="K989" s="85" t="b">
        <x:v>1</x:v>
      </x:c>
      <x:c r="L989" s="56" t="str">
        <x:f>'Actions'!BE22</x:f>
        <x:v>OK</x:v>
      </x:c>
      <x:c r="M989" s="44" t="str">
        <x:v>Источник Actions.Tags</x:v>
      </x:c>
    </x:row>
    <x:row r="990" ht="36" customHeight="1">
      <x:c r="A990" s="118" t="n">
        <x:v>985</x:v>
      </x:c>
      <x:c r="B990" s="35" t="str">
        <x:v>action</x:v>
      </x:c>
      <x:c r="C990" s="35" t="str">
        <x:v>kangaroo_tempo_barrage</x:v>
      </x:c>
      <x:c r="D990" s="35" t="str">
        <x:v>base_weight</x:v>
      </x:c>
      <x:c r="E990" s="38" t="str">
        <x:v>int</x:v>
      </x:c>
      <x:c r="F990" s="56" t="n">
        <x:f>'Actions'!G22</x:f>
        <x:v>420</x:v>
      </x:c>
      <x:c r="G990" s="38" t="str"/>
      <x:c r="H990" s="35" t="str">
        <x:v>Actions</x:v>
      </x:c>
      <x:c r="I990" s="35" t="str">
        <x:v>G22</x:v>
      </x:c>
      <x:c r="J990" s="85" t="b">
        <x:v>1</x:v>
      </x:c>
      <x:c r="K990" s="85" t="b">
        <x:v>1</x:v>
      </x:c>
      <x:c r="L990" s="56" t="str">
        <x:f>'Actions'!BE22</x:f>
        <x:v>OK</x:v>
      </x:c>
      <x:c r="M990" s="44" t="str">
        <x:v>Источник Actions.Base Weight</x:v>
      </x:c>
    </x:row>
    <x:row r="991" ht="36" customHeight="1">
      <x:c r="A991" s="118" t="n">
        <x:v>986</x:v>
      </x:c>
      <x:c r="B991" s="35" t="str">
        <x:v>action</x:v>
      </x:c>
      <x:c r="C991" s="35" t="str">
        <x:v>kangaroo_tempo_barrage</x:v>
      </x:c>
      <x:c r="D991" s="35" t="str">
        <x:v>preferred_range_min</x:v>
      </x:c>
      <x:c r="E991" s="38" t="str">
        <x:v>int</x:v>
      </x:c>
      <x:c r="F991" s="56" t="n">
        <x:f>'Actions'!H22</x:f>
        <x:v>200</x:v>
      </x:c>
      <x:c r="G991" s="38" t="str"/>
      <x:c r="H991" s="35" t="str">
        <x:v>Actions</x:v>
      </x:c>
      <x:c r="I991" s="35" t="str">
        <x:v>H22</x:v>
      </x:c>
      <x:c r="J991" s="85" t="b">
        <x:v>1</x:v>
      </x:c>
      <x:c r="K991" s="85" t="b">
        <x:v>1</x:v>
      </x:c>
      <x:c r="L991" s="56" t="str">
        <x:f>'Actions'!BE22</x:f>
        <x:v>OK</x:v>
      </x:c>
      <x:c r="M991" s="44" t="str">
        <x:v>Источник Actions.Preferred Range Min</x:v>
      </x:c>
    </x:row>
    <x:row r="992" ht="36" customHeight="1">
      <x:c r="A992" s="118" t="n">
        <x:v>987</x:v>
      </x:c>
      <x:c r="B992" s="35" t="str">
        <x:v>action</x:v>
      </x:c>
      <x:c r="C992" s="35" t="str">
        <x:v>kangaroo_tempo_barrage</x:v>
      </x:c>
      <x:c r="D992" s="35" t="str">
        <x:v>preferred_range_max</x:v>
      </x:c>
      <x:c r="E992" s="38" t="str">
        <x:v>int</x:v>
      </x:c>
      <x:c r="F992" s="56" t="n">
        <x:f>'Actions'!I22</x:f>
        <x:v>1600</x:v>
      </x:c>
      <x:c r="G992" s="38" t="str"/>
      <x:c r="H992" s="35" t="str">
        <x:v>Actions</x:v>
      </x:c>
      <x:c r="I992" s="35" t="str">
        <x:v>I22</x:v>
      </x:c>
      <x:c r="J992" s="85" t="b">
        <x:v>1</x:v>
      </x:c>
      <x:c r="K992" s="85" t="b">
        <x:v>1</x:v>
      </x:c>
      <x:c r="L992" s="56" t="str">
        <x:f>'Actions'!BE22</x:f>
        <x:v>OK</x:v>
      </x:c>
      <x:c r="M992" s="44" t="str">
        <x:v>Источник Actions.Preferred Range Max</x:v>
      </x:c>
    </x:row>
    <x:row r="993" ht="36" customHeight="1">
      <x:c r="A993" s="118" t="n">
        <x:v>988</x:v>
      </x:c>
      <x:c r="B993" s="35" t="str">
        <x:v>action</x:v>
      </x:c>
      <x:c r="C993" s="35" t="str">
        <x:v>kangaroo_tempo_barrage</x:v>
      </x:c>
      <x:c r="D993" s="35" t="str">
        <x:v>hit_range_min</x:v>
      </x:c>
      <x:c r="E993" s="38" t="str">
        <x:v>int</x:v>
      </x:c>
      <x:c r="F993" s="56" t="n">
        <x:f>'Actions'!J22</x:f>
        <x:v>0</x:v>
      </x:c>
      <x:c r="G993" s="38" t="str"/>
      <x:c r="H993" s="35" t="str">
        <x:v>Actions</x:v>
      </x:c>
      <x:c r="I993" s="35" t="str">
        <x:v>J22</x:v>
      </x:c>
      <x:c r="J993" s="85" t="b">
        <x:v>1</x:v>
      </x:c>
      <x:c r="K993" s="85" t="b">
        <x:v>1</x:v>
      </x:c>
      <x:c r="L993" s="56" t="str">
        <x:f>'Actions'!BE22</x:f>
        <x:v>OK</x:v>
      </x:c>
      <x:c r="M993" s="44" t="str">
        <x:v>Источник Actions.Hit Range Min</x:v>
      </x:c>
    </x:row>
    <x:row r="994" ht="36" customHeight="1">
      <x:c r="A994" s="118" t="n">
        <x:v>989</x:v>
      </x:c>
      <x:c r="B994" s="35" t="str">
        <x:v>action</x:v>
      </x:c>
      <x:c r="C994" s="35" t="str">
        <x:v>kangaroo_tempo_barrage</x:v>
      </x:c>
      <x:c r="D994" s="35" t="str">
        <x:v>hit_range_max</x:v>
      </x:c>
      <x:c r="E994" s="38" t="str">
        <x:v>int</x:v>
      </x:c>
      <x:c r="F994" s="56" t="n">
        <x:f>'Actions'!K22</x:f>
        <x:v>1600</x:v>
      </x:c>
      <x:c r="G994" s="38" t="str"/>
      <x:c r="H994" s="35" t="str">
        <x:v>Actions</x:v>
      </x:c>
      <x:c r="I994" s="35" t="str">
        <x:v>K22</x:v>
      </x:c>
      <x:c r="J994" s="85" t="b">
        <x:v>1</x:v>
      </x:c>
      <x:c r="K994" s="85" t="b">
        <x:v>1</x:v>
      </x:c>
      <x:c r="L994" s="56" t="str">
        <x:f>'Actions'!BE22</x:f>
        <x:v>OK</x:v>
      </x:c>
      <x:c r="M994" s="44" t="str">
        <x:v>Источник Actions.Hit Range Max</x:v>
      </x:c>
    </x:row>
    <x:row r="995" ht="36" customHeight="1">
      <x:c r="A995" s="118" t="n">
        <x:v>990</x:v>
      </x:c>
      <x:c r="B995" s="35" t="str">
        <x:v>action</x:v>
      </x:c>
      <x:c r="C995" s="35" t="str">
        <x:v>kangaroo_tempo_barrage</x:v>
      </x:c>
      <x:c r="D995" s="35" t="str">
        <x:v>energy_cost</x:v>
      </x:c>
      <x:c r="E995" s="38" t="str">
        <x:v>int</x:v>
      </x:c>
      <x:c r="F995" s="56" t="n">
        <x:f>'Actions'!L22</x:f>
        <x:v>300</x:v>
      </x:c>
      <x:c r="G995" s="38" t="str"/>
      <x:c r="H995" s="35" t="str">
        <x:v>Actions</x:v>
      </x:c>
      <x:c r="I995" s="35" t="str">
        <x:v>L22</x:v>
      </x:c>
      <x:c r="J995" s="85" t="b">
        <x:v>1</x:v>
      </x:c>
      <x:c r="K995" s="85" t="b">
        <x:v>1</x:v>
      </x:c>
      <x:c r="L995" s="56" t="str">
        <x:f>'Actions'!BE22</x:f>
        <x:v>OK</x:v>
      </x:c>
      <x:c r="M995" s="44" t="str">
        <x:v>Источник Actions.Energy Cost</x:v>
      </x:c>
    </x:row>
    <x:row r="996" ht="36" customHeight="1">
      <x:c r="A996" s="118" t="n">
        <x:v>991</x:v>
      </x:c>
      <x:c r="B996" s="35" t="str">
        <x:v>action</x:v>
      </x:c>
      <x:c r="C996" s="35" t="str">
        <x:v>kangaroo_tempo_barrage</x:v>
      </x:c>
      <x:c r="D996" s="35" t="str">
        <x:v>resource_cost</x:v>
      </x:c>
      <x:c r="E996" s="38" t="str">
        <x:v>int</x:v>
      </x:c>
      <x:c r="F996" s="56" t="n">
        <x:f>'Actions'!M22</x:f>
        <x:v>650</x:v>
      </x:c>
      <x:c r="G996" s="38" t="str"/>
      <x:c r="H996" s="35" t="str">
        <x:v>Actions</x:v>
      </x:c>
      <x:c r="I996" s="35" t="str">
        <x:v>M22</x:v>
      </x:c>
      <x:c r="J996" s="85" t="b">
        <x:v>1</x:v>
      </x:c>
      <x:c r="K996" s="85" t="b">
        <x:v>1</x:v>
      </x:c>
      <x:c r="L996" s="56" t="str">
        <x:f>'Actions'!BE22</x:f>
        <x:v>OK</x:v>
      </x:c>
      <x:c r="M996" s="44" t="str">
        <x:v>Источник Actions.Resource Cost</x:v>
      </x:c>
    </x:row>
    <x:row r="997" ht="36" customHeight="1">
      <x:c r="A997" s="118" t="n">
        <x:v>992</x:v>
      </x:c>
      <x:c r="B997" s="35" t="str">
        <x:v>action</x:v>
      </x:c>
      <x:c r="C997" s="35" t="str">
        <x:v>kangaroo_tempo_barrage</x:v>
      </x:c>
      <x:c r="D997" s="35" t="str">
        <x:v>base_damage</x:v>
      </x:c>
      <x:c r="E997" s="38" t="str">
        <x:v>int</x:v>
      </x:c>
      <x:c r="F997" s="56" t="n">
        <x:f>'Actions'!N22</x:f>
        <x:v>18</x:v>
      </x:c>
      <x:c r="G997" s="38" t="str"/>
      <x:c r="H997" s="35" t="str">
        <x:v>Actions</x:v>
      </x:c>
      <x:c r="I997" s="35" t="str">
        <x:v>N22</x:v>
      </x:c>
      <x:c r="J997" s="85" t="b">
        <x:v>1</x:v>
      </x:c>
      <x:c r="K997" s="85" t="b">
        <x:v>1</x:v>
      </x:c>
      <x:c r="L997" s="56" t="str">
        <x:f>'Actions'!BE22</x:f>
        <x:v>OK</x:v>
      </x:c>
      <x:c r="M997" s="44" t="str">
        <x:v>Источник Actions.Base Damage / hit</x:v>
      </x:c>
    </x:row>
    <x:row r="998" ht="36" customHeight="1">
      <x:c r="A998" s="118" t="n">
        <x:v>993</x:v>
      </x:c>
      <x:c r="B998" s="35" t="str">
        <x:v>action</x:v>
      </x:c>
      <x:c r="C998" s="35" t="str">
        <x:v>kangaroo_tempo_barrage</x:v>
      </x:c>
      <x:c r="D998" s="35" t="str">
        <x:v>power_ratio_fp</x:v>
      </x:c>
      <x:c r="E998" s="38" t="str">
        <x:v>int</x:v>
      </x:c>
      <x:c r="F998" s="56" t="n">
        <x:f>'Actions'!O22</x:f>
        <x:v>260</x:v>
      </x:c>
      <x:c r="G998" s="38" t="str"/>
      <x:c r="H998" s="35" t="str">
        <x:v>Actions</x:v>
      </x:c>
      <x:c r="I998" s="35" t="str">
        <x:v>O22</x:v>
      </x:c>
      <x:c r="J998" s="85" t="b">
        <x:v>1</x:v>
      </x:c>
      <x:c r="K998" s="85" t="b">
        <x:v>1</x:v>
      </x:c>
      <x:c r="L998" s="56" t="str">
        <x:f>'Actions'!BE22</x:f>
        <x:v>OK</x:v>
      </x:c>
      <x:c r="M998" s="44" t="str">
        <x:v>Источник Actions.Power Ratio FP</x:v>
      </x:c>
    </x:row>
    <x:row r="999" ht="36" customHeight="1">
      <x:c r="A999" s="118" t="n">
        <x:v>994</x:v>
      </x:c>
      <x:c r="B999" s="35" t="str">
        <x:v>action</x:v>
      </x:c>
      <x:c r="C999" s="35" t="str">
        <x:v>kangaroo_tempo_barrage</x:v>
      </x:c>
      <x:c r="D999" s="35" t="str">
        <x:v>min_damage</x:v>
      </x:c>
      <x:c r="E999" s="38" t="str">
        <x:v>int</x:v>
      </x:c>
      <x:c r="F999" s="56" t="n">
        <x:f>'Actions'!P22</x:f>
        <x:v>7</x:v>
      </x:c>
      <x:c r="G999" s="38" t="str"/>
      <x:c r="H999" s="35" t="str">
        <x:v>Actions</x:v>
      </x:c>
      <x:c r="I999" s="35" t="str">
        <x:v>P22</x:v>
      </x:c>
      <x:c r="J999" s="85" t="b">
        <x:v>1</x:v>
      </x:c>
      <x:c r="K999" s="85" t="b">
        <x:v>1</x:v>
      </x:c>
      <x:c r="L999" s="56" t="str">
        <x:f>'Actions'!BE22</x:f>
        <x:v>OK</x:v>
      </x:c>
      <x:c r="M999" s="44" t="str">
        <x:v>Источник Actions.Min Damage</x:v>
      </x:c>
    </x:row>
    <x:row r="1000" ht="36" customHeight="1">
      <x:c r="A1000" s="118" t="n">
        <x:v>995</x:v>
      </x:c>
      <x:c r="B1000" s="35" t="str">
        <x:v>action</x:v>
      </x:c>
      <x:c r="C1000" s="35" t="str">
        <x:v>kangaroo_tempo_barrage</x:v>
      </x:c>
      <x:c r="D1000" s="35" t="str">
        <x:v>chip_min</x:v>
      </x:c>
      <x:c r="E1000" s="38" t="str">
        <x:v>int</x:v>
      </x:c>
      <x:c r="F1000" s="56" t="n">
        <x:f>'Actions'!Q22</x:f>
        <x:v>2</x:v>
      </x:c>
      <x:c r="G1000" s="38" t="str"/>
      <x:c r="H1000" s="35" t="str">
        <x:v>Actions</x:v>
      </x:c>
      <x:c r="I1000" s="35" t="str">
        <x:v>Q22</x:v>
      </x:c>
      <x:c r="J1000" s="85" t="b">
        <x:v>1</x:v>
      </x:c>
      <x:c r="K1000" s="85" t="b">
        <x:v>1</x:v>
      </x:c>
      <x:c r="L1000" s="56" t="str">
        <x:f>'Actions'!BE22</x:f>
        <x:v>OK</x:v>
      </x:c>
      <x:c r="M1000" s="44" t="str">
        <x:v>Источник Actions.Chip Min</x:v>
      </x:c>
    </x:row>
    <x:row r="1001" ht="36" customHeight="1">
      <x:c r="A1001" s="118" t="n">
        <x:v>996</x:v>
      </x:c>
      <x:c r="B1001" s="35" t="str">
        <x:v>action</x:v>
      </x:c>
      <x:c r="C1001" s="35" t="str">
        <x:v>kangaroo_tempo_barrage</x:v>
      </x:c>
      <x:c r="D1001" s="35" t="str">
        <x:v>startup_base_ticks</x:v>
      </x:c>
      <x:c r="E1001" s="38" t="str">
        <x:v>int</x:v>
      </x:c>
      <x:c r="F1001" s="56" t="n">
        <x:f>'Actions'!R22</x:f>
        <x:v>4</x:v>
      </x:c>
      <x:c r="G1001" s="38" t="str"/>
      <x:c r="H1001" s="35" t="str">
        <x:v>Actions</x:v>
      </x:c>
      <x:c r="I1001" s="35" t="str">
        <x:v>R22</x:v>
      </x:c>
      <x:c r="J1001" s="85" t="b">
        <x:v>1</x:v>
      </x:c>
      <x:c r="K1001" s="85" t="b">
        <x:v>1</x:v>
      </x:c>
      <x:c r="L1001" s="56" t="str">
        <x:f>'Actions'!BE22</x:f>
        <x:v>OK</x:v>
      </x:c>
      <x:c r="M1001" s="44" t="str">
        <x:v>Источник Actions.Startup Base Ticks</x:v>
      </x:c>
    </x:row>
    <x:row r="1002" ht="36" customHeight="1">
      <x:c r="A1002" s="118" t="n">
        <x:v>997</x:v>
      </x:c>
      <x:c r="B1002" s="35" t="str">
        <x:v>action</x:v>
      </x:c>
      <x:c r="C1002" s="35" t="str">
        <x:v>kangaroo_tempo_barrage</x:v>
      </x:c>
      <x:c r="D1002" s="35" t="str">
        <x:v>startup_min_ticks</x:v>
      </x:c>
      <x:c r="E1002" s="38" t="str">
        <x:v>int</x:v>
      </x:c>
      <x:c r="F1002" s="56" t="n">
        <x:f>'Actions'!S22</x:f>
        <x:v>2</x:v>
      </x:c>
      <x:c r="G1002" s="38" t="str"/>
      <x:c r="H1002" s="35" t="str">
        <x:v>Actions</x:v>
      </x:c>
      <x:c r="I1002" s="35" t="str">
        <x:v>S22</x:v>
      </x:c>
      <x:c r="J1002" s="85" t="b">
        <x:v>1</x:v>
      </x:c>
      <x:c r="K1002" s="85" t="b">
        <x:v>1</x:v>
      </x:c>
      <x:c r="L1002" s="56" t="str">
        <x:f>'Actions'!BE22</x:f>
        <x:v>OK</x:v>
      </x:c>
      <x:c r="M1002" s="44" t="str">
        <x:v>Источник Actions.Startup Min Ticks</x:v>
      </x:c>
    </x:row>
    <x:row r="1003" ht="36" customHeight="1">
      <x:c r="A1003" s="118" t="n">
        <x:v>998</x:v>
      </x:c>
      <x:c r="B1003" s="35" t="str">
        <x:v>action</x:v>
      </x:c>
      <x:c r="C1003" s="35" t="str">
        <x:v>kangaroo_tempo_barrage</x:v>
      </x:c>
      <x:c r="D1003" s="35" t="str">
        <x:v>startup_max_ticks</x:v>
      </x:c>
      <x:c r="E1003" s="38" t="str">
        <x:v>int</x:v>
      </x:c>
      <x:c r="F1003" s="56" t="n">
        <x:f>'Actions'!T22</x:f>
        <x:v>7</x:v>
      </x:c>
      <x:c r="G1003" s="38" t="str"/>
      <x:c r="H1003" s="35" t="str">
        <x:v>Actions</x:v>
      </x:c>
      <x:c r="I1003" s="35" t="str">
        <x:v>T22</x:v>
      </x:c>
      <x:c r="J1003" s="85" t="b">
        <x:v>1</x:v>
      </x:c>
      <x:c r="K1003" s="85" t="b">
        <x:v>1</x:v>
      </x:c>
      <x:c r="L1003" s="56" t="str">
        <x:f>'Actions'!BE22</x:f>
        <x:v>OK</x:v>
      </x:c>
      <x:c r="M1003" s="44" t="str">
        <x:v>Источник Actions.Startup Max Ticks</x:v>
      </x:c>
    </x:row>
    <x:row r="1004" ht="36" customHeight="1">
      <x:c r="A1004" s="118" t="n">
        <x:v>999</x:v>
      </x:c>
      <x:c r="B1004" s="35" t="str">
        <x:v>action</x:v>
      </x:c>
      <x:c r="C1004" s="35" t="str">
        <x:v>kangaroo_tempo_barrage</x:v>
      </x:c>
      <x:c r="D1004" s="35" t="str">
        <x:v>active_ticks</x:v>
      </x:c>
      <x:c r="E1004" s="38" t="str">
        <x:v>int</x:v>
      </x:c>
      <x:c r="F1004" s="56" t="n">
        <x:f>'Actions'!U22</x:f>
        <x:v>14</x:v>
      </x:c>
      <x:c r="G1004" s="38" t="str"/>
      <x:c r="H1004" s="35" t="str">
        <x:v>Actions</x:v>
      </x:c>
      <x:c r="I1004" s="35" t="str">
        <x:v>U22</x:v>
      </x:c>
      <x:c r="J1004" s="85" t="b">
        <x:v>1</x:v>
      </x:c>
      <x:c r="K1004" s="85" t="b">
        <x:v>1</x:v>
      </x:c>
      <x:c r="L1004" s="56" t="str">
        <x:f>'Actions'!BE22</x:f>
        <x:v>OK</x:v>
      </x:c>
      <x:c r="M1004" s="44" t="str">
        <x:v>Источник Actions.Active Ticks</x:v>
      </x:c>
    </x:row>
    <x:row r="1005" ht="36" customHeight="1">
      <x:c r="A1005" s="118" t="n">
        <x:v>1000</x:v>
      </x:c>
      <x:c r="B1005" s="35" t="str">
        <x:v>action</x:v>
      </x:c>
      <x:c r="C1005" s="35" t="str">
        <x:v>kangaroo_tempo_barrage</x:v>
      </x:c>
      <x:c r="D1005" s="35" t="str">
        <x:v>hit_schedule</x:v>
      </x:c>
      <x:c r="E1005" s="38" t="str">
        <x:v>string</x:v>
      </x:c>
      <x:c r="F1005" s="56" t="str">
        <x:f>'Actions'!V22</x:f>
        <x:v>0|3|6|9|13</x:v>
      </x:c>
      <x:c r="G1005" s="38" t="str"/>
      <x:c r="H1005" s="35" t="str">
        <x:v>Actions</x:v>
      </x:c>
      <x:c r="I1005" s="35" t="str">
        <x:v>V22</x:v>
      </x:c>
      <x:c r="J1005" s="85" t="b">
        <x:v>1</x:v>
      </x:c>
      <x:c r="K1005" s="85" t="b">
        <x:v>1</x:v>
      </x:c>
      <x:c r="L1005" s="56" t="str">
        <x:f>'Actions'!BE22</x:f>
        <x:v>OK</x:v>
      </x:c>
      <x:c r="M1005" s="44" t="str">
        <x:v>Источник Actions.Hit Schedule</x:v>
      </x:c>
    </x:row>
    <x:row r="1006" ht="36" customHeight="1">
      <x:c r="A1006" s="118" t="n">
        <x:v>1001</x:v>
      </x:c>
      <x:c r="B1006" s="35" t="str">
        <x:v>action</x:v>
      </x:c>
      <x:c r="C1006" s="35" t="str">
        <x:v>kangaroo_tempo_barrage</x:v>
      </x:c>
      <x:c r="D1006" s="35" t="str">
        <x:v>hit_count</x:v>
      </x:c>
      <x:c r="E1006" s="38" t="str">
        <x:v>int</x:v>
      </x:c>
      <x:c r="F1006" s="56" t="n">
        <x:f>'Actions'!W22</x:f>
        <x:v>5</x:v>
      </x:c>
      <x:c r="G1006" s="38" t="str"/>
      <x:c r="H1006" s="35" t="str">
        <x:v>Actions</x:v>
      </x:c>
      <x:c r="I1006" s="35" t="str">
        <x:v>W22</x:v>
      </x:c>
      <x:c r="J1006" s="85" t="b">
        <x:v>1</x:v>
      </x:c>
      <x:c r="K1006" s="85" t="b">
        <x:v>1</x:v>
      </x:c>
      <x:c r="L1006" s="56" t="str">
        <x:f>'Actions'!BE22</x:f>
        <x:v>OK</x:v>
      </x:c>
      <x:c r="M1006" s="44" t="str">
        <x:v>Источник Actions.Hit Count</x:v>
      </x:c>
    </x:row>
    <x:row r="1007" ht="36" customHeight="1">
      <x:c r="A1007" s="118" t="n">
        <x:v>1002</x:v>
      </x:c>
      <x:c r="B1007" s="35" t="str">
        <x:v>action</x:v>
      </x:c>
      <x:c r="C1007" s="35" t="str">
        <x:v>kangaroo_tempo_barrage</x:v>
      </x:c>
      <x:c r="D1007" s="35" t="str">
        <x:v>recovery_base_ticks</x:v>
      </x:c>
      <x:c r="E1007" s="38" t="str">
        <x:v>int</x:v>
      </x:c>
      <x:c r="F1007" s="56" t="n">
        <x:f>'Actions'!X22</x:f>
        <x:v>20</x:v>
      </x:c>
      <x:c r="G1007" s="38" t="str"/>
      <x:c r="H1007" s="35" t="str">
        <x:v>Actions</x:v>
      </x:c>
      <x:c r="I1007" s="35" t="str">
        <x:v>X22</x:v>
      </x:c>
      <x:c r="J1007" s="85" t="b">
        <x:v>1</x:v>
      </x:c>
      <x:c r="K1007" s="85" t="b">
        <x:v>1</x:v>
      </x:c>
      <x:c r="L1007" s="56" t="str">
        <x:f>'Actions'!BE22</x:f>
        <x:v>OK</x:v>
      </x:c>
      <x:c r="M1007" s="44" t="str">
        <x:v>Источник Actions.Recovery Base Ticks</x:v>
      </x:c>
    </x:row>
    <x:row r="1008" ht="36" customHeight="1">
      <x:c r="A1008" s="118" t="n">
        <x:v>1003</x:v>
      </x:c>
      <x:c r="B1008" s="35" t="str">
        <x:v>action</x:v>
      </x:c>
      <x:c r="C1008" s="35" t="str">
        <x:v>kangaroo_tempo_barrage</x:v>
      </x:c>
      <x:c r="D1008" s="35" t="str">
        <x:v>recovery_min_ticks</x:v>
      </x:c>
      <x:c r="E1008" s="38" t="str">
        <x:v>int</x:v>
      </x:c>
      <x:c r="F1008" s="56" t="n">
        <x:f>'Actions'!Y22</x:f>
        <x:v>13</x:v>
      </x:c>
      <x:c r="G1008" s="38" t="str"/>
      <x:c r="H1008" s="35" t="str">
        <x:v>Actions</x:v>
      </x:c>
      <x:c r="I1008" s="35" t="str">
        <x:v>Y22</x:v>
      </x:c>
      <x:c r="J1008" s="85" t="b">
        <x:v>1</x:v>
      </x:c>
      <x:c r="K1008" s="85" t="b">
        <x:v>1</x:v>
      </x:c>
      <x:c r="L1008" s="56" t="str">
        <x:f>'Actions'!BE22</x:f>
        <x:v>OK</x:v>
      </x:c>
      <x:c r="M1008" s="44" t="str">
        <x:v>Источник Actions.Recovery Min Ticks</x:v>
      </x:c>
    </x:row>
    <x:row r="1009" ht="36" customHeight="1">
      <x:c r="A1009" s="118" t="n">
        <x:v>1004</x:v>
      </x:c>
      <x:c r="B1009" s="35" t="str">
        <x:v>action</x:v>
      </x:c>
      <x:c r="C1009" s="35" t="str">
        <x:v>kangaroo_tempo_barrage</x:v>
      </x:c>
      <x:c r="D1009" s="35" t="str">
        <x:v>recovery_max_ticks</x:v>
      </x:c>
      <x:c r="E1009" s="38" t="str">
        <x:v>int</x:v>
      </x:c>
      <x:c r="F1009" s="56" t="n">
        <x:f>'Actions'!Z22</x:f>
        <x:v>30</x:v>
      </x:c>
      <x:c r="G1009" s="38" t="str"/>
      <x:c r="H1009" s="35" t="str">
        <x:v>Actions</x:v>
      </x:c>
      <x:c r="I1009" s="35" t="str">
        <x:v>Z22</x:v>
      </x:c>
      <x:c r="J1009" s="85" t="b">
        <x:v>1</x:v>
      </x:c>
      <x:c r="K1009" s="85" t="b">
        <x:v>1</x:v>
      </x:c>
      <x:c r="L1009" s="56" t="str">
        <x:f>'Actions'!BE22</x:f>
        <x:v>OK</x:v>
      </x:c>
      <x:c r="M1009" s="44" t="str">
        <x:v>Источник Actions.Recovery Max Ticks</x:v>
      </x:c>
    </x:row>
    <x:row r="1010" ht="36" customHeight="1">
      <x:c r="A1010" s="118" t="n">
        <x:v>1005</x:v>
      </x:c>
      <x:c r="B1010" s="35" t="str">
        <x:v>action</x:v>
      </x:c>
      <x:c r="C1010" s="35" t="str">
        <x:v>kangaroo_tempo_barrage</x:v>
      </x:c>
      <x:c r="D1010" s="35" t="str">
        <x:v>cooldown_ticks</x:v>
      </x:c>
      <x:c r="E1010" s="38" t="str">
        <x:v>int</x:v>
      </x:c>
      <x:c r="F1010" s="56" t="n">
        <x:f>'Actions'!AA22</x:f>
        <x:v>90</x:v>
      </x:c>
      <x:c r="G1010" s="38" t="str"/>
      <x:c r="H1010" s="35" t="str">
        <x:v>Actions</x:v>
      </x:c>
      <x:c r="I1010" s="35" t="str">
        <x:v>AA22</x:v>
      </x:c>
      <x:c r="J1010" s="85" t="b">
        <x:v>1</x:v>
      </x:c>
      <x:c r="K1010" s="85" t="b">
        <x:v>1</x:v>
      </x:c>
      <x:c r="L1010" s="56" t="str">
        <x:f>'Actions'!BE22</x:f>
        <x:v>OK</x:v>
      </x:c>
      <x:c r="M1010" s="44" t="str">
        <x:v>Источник Actions.Cooldown Ticks</x:v>
      </x:c>
    </x:row>
    <x:row r="1011" ht="36" customHeight="1">
      <x:c r="A1011" s="118" t="n">
        <x:v>1006</x:v>
      </x:c>
      <x:c r="B1011" s="35" t="str">
        <x:v>action</x:v>
      </x:c>
      <x:c r="C1011" s="35" t="str">
        <x:v>kangaroo_tempo_barrage</x:v>
      </x:c>
      <x:c r="D1011" s="35" t="str">
        <x:v>action_priority</x:v>
      </x:c>
      <x:c r="E1011" s="38" t="str">
        <x:v>int</x:v>
      </x:c>
      <x:c r="F1011" s="56" t="n">
        <x:f>'Actions'!AB22</x:f>
        <x:v>57</x:v>
      </x:c>
      <x:c r="G1011" s="38" t="str"/>
      <x:c r="H1011" s="35" t="str">
        <x:v>Actions</x:v>
      </x:c>
      <x:c r="I1011" s="35" t="str">
        <x:v>AB22</x:v>
      </x:c>
      <x:c r="J1011" s="85" t="b">
        <x:v>1</x:v>
      </x:c>
      <x:c r="K1011" s="85" t="b">
        <x:v>1</x:v>
      </x:c>
      <x:c r="L1011" s="56" t="str">
        <x:f>'Actions'!BE22</x:f>
        <x:v>OK</x:v>
      </x:c>
      <x:c r="M1011" s="44" t="str">
        <x:v>Источник Actions.Action Priority</x:v>
      </x:c>
    </x:row>
    <x:row r="1012" ht="36" customHeight="1">
      <x:c r="A1012" s="118" t="n">
        <x:v>1007</x:v>
      </x:c>
      <x:c r="B1012" s="35" t="str">
        <x:v>action</x:v>
      </x:c>
      <x:c r="C1012" s="35" t="str">
        <x:v>kangaroo_tempo_barrage</x:v>
      </x:c>
      <x:c r="D1012" s="35" t="str">
        <x:v>clash_priority</x:v>
      </x:c>
      <x:c r="E1012" s="38" t="str">
        <x:v>int</x:v>
      </x:c>
      <x:c r="F1012" s="56" t="n">
        <x:f>'Actions'!AC22</x:f>
        <x:v>50</x:v>
      </x:c>
      <x:c r="G1012" s="38" t="str"/>
      <x:c r="H1012" s="35" t="str">
        <x:v>Actions</x:v>
      </x:c>
      <x:c r="I1012" s="35" t="str">
        <x:v>AC22</x:v>
      </x:c>
      <x:c r="J1012" s="85" t="b">
        <x:v>1</x:v>
      </x:c>
      <x:c r="K1012" s="85" t="b">
        <x:v>1</x:v>
      </x:c>
      <x:c r="L1012" s="56" t="str">
        <x:f>'Actions'!BE22</x:f>
        <x:v>OK</x:v>
      </x:c>
      <x:c r="M1012" s="44" t="str">
        <x:v>Источник Actions.Clash Priority</x:v>
      </x:c>
    </x:row>
    <x:row r="1013" ht="36" customHeight="1">
      <x:c r="A1013" s="118" t="n">
        <x:v>1008</x:v>
      </x:c>
      <x:c r="B1013" s="35" t="str">
        <x:v>action</x:v>
      </x:c>
      <x:c r="C1013" s="35" t="str">
        <x:v>kangaroo_tempo_barrage</x:v>
      </x:c>
      <x:c r="D1013" s="35" t="str">
        <x:v>grab_priority</x:v>
      </x:c>
      <x:c r="E1013" s="38" t="str">
        <x:v>int</x:v>
      </x:c>
      <x:c r="F1013" s="56" t="n">
        <x:f>'Actions'!AD22</x:f>
        <x:v>0</x:v>
      </x:c>
      <x:c r="G1013" s="38" t="str"/>
      <x:c r="H1013" s="35" t="str">
        <x:v>Actions</x:v>
      </x:c>
      <x:c r="I1013" s="35" t="str">
        <x:v>AD22</x:v>
      </x:c>
      <x:c r="J1013" s="85" t="b">
        <x:v>1</x:v>
      </x:c>
      <x:c r="K1013" s="85" t="b">
        <x:v>1</x:v>
      </x:c>
      <x:c r="L1013" s="56" t="str">
        <x:f>'Actions'!BE22</x:f>
        <x:v>OK</x:v>
      </x:c>
      <x:c r="M1013" s="44" t="str">
        <x:v>Источник Actions.Grab Priority</x:v>
      </x:c>
    </x:row>
    <x:row r="1014" ht="36" customHeight="1">
      <x:c r="A1014" s="118" t="n">
        <x:v>1009</x:v>
      </x:c>
      <x:c r="B1014" s="35" t="str">
        <x:v>action</x:v>
      </x:c>
      <x:c r="C1014" s="35" t="str">
        <x:v>kangaroo_tempo_barrage</x:v>
      </x:c>
      <x:c r="D1014" s="35" t="str">
        <x:v>resolution_priority</x:v>
      </x:c>
      <x:c r="E1014" s="38" t="str">
        <x:v>int</x:v>
      </x:c>
      <x:c r="F1014" s="56" t="n">
        <x:f>'Actions'!AE22</x:f>
        <x:v>57</x:v>
      </x:c>
      <x:c r="G1014" s="38" t="str"/>
      <x:c r="H1014" s="35" t="str">
        <x:v>Actions</x:v>
      </x:c>
      <x:c r="I1014" s="35" t="str">
        <x:v>AE22</x:v>
      </x:c>
      <x:c r="J1014" s="85" t="b">
        <x:v>1</x:v>
      </x:c>
      <x:c r="K1014" s="85" t="b">
        <x:v>1</x:v>
      </x:c>
      <x:c r="L1014" s="56" t="str">
        <x:f>'Actions'!BE22</x:f>
        <x:v>OK</x:v>
      </x:c>
      <x:c r="M1014" s="44" t="str">
        <x:v>Источник Actions.Resolution Priority</x:v>
      </x:c>
    </x:row>
    <x:row r="1015" ht="36" customHeight="1">
      <x:c r="A1015" s="118" t="n">
        <x:v>1010</x:v>
      </x:c>
      <x:c r="B1015" s="35" t="str">
        <x:v>action</x:v>
      </x:c>
      <x:c r="C1015" s="35" t="str">
        <x:v>kangaroo_tempo_barrage</x:v>
      </x:c>
      <x:c r="D1015" s="35" t="str">
        <x:v>interrupt_profile</x:v>
      </x:c>
      <x:c r="E1015" s="38" t="str">
        <x:v>string</x:v>
      </x:c>
      <x:c r="F1015" s="56" t="str">
        <x:f>'Actions'!AF22</x:f>
        <x:v>UninterruptibleImpact</x:v>
      </x:c>
      <x:c r="G1015" s="38" t="str"/>
      <x:c r="H1015" s="35" t="str">
        <x:v>Actions</x:v>
      </x:c>
      <x:c r="I1015" s="35" t="str">
        <x:v>AF22</x:v>
      </x:c>
      <x:c r="J1015" s="85" t="b">
        <x:v>1</x:v>
      </x:c>
      <x:c r="K1015" s="85" t="b">
        <x:v>1</x:v>
      </x:c>
      <x:c r="L1015" s="56" t="str">
        <x:f>'Actions'!BE22</x:f>
        <x:v>OK</x:v>
      </x:c>
      <x:c r="M1015" s="44" t="str">
        <x:v>Источник Actions.Interrupt Profile</x:v>
      </x:c>
    </x:row>
    <x:row r="1016" ht="36" customHeight="1">
      <x:c r="A1016" s="118" t="n">
        <x:v>1011</x:v>
      </x:c>
      <x:c r="B1016" s="35" t="str">
        <x:v>action</x:v>
      </x:c>
      <x:c r="C1016" s="35" t="str">
        <x:v>kangaroo_tempo_barrage</x:v>
      </x:c>
      <x:c r="D1016" s="35" t="str">
        <x:v>blockable</x:v>
      </x:c>
      <x:c r="E1016" s="38" t="str">
        <x:v>bool</x:v>
      </x:c>
      <x:c r="F1016" s="56" t="b">
        <x:f>'Actions'!AG22</x:f>
        <x:v>1</x:v>
      </x:c>
      <x:c r="G1016" s="38" t="str"/>
      <x:c r="H1016" s="35" t="str">
        <x:v>Actions</x:v>
      </x:c>
      <x:c r="I1016" s="35" t="str">
        <x:v>AG22</x:v>
      </x:c>
      <x:c r="J1016" s="85" t="b">
        <x:v>1</x:v>
      </x:c>
      <x:c r="K1016" s="85" t="b">
        <x:v>1</x:v>
      </x:c>
      <x:c r="L1016" s="56" t="str">
        <x:f>'Actions'!BE22</x:f>
        <x:v>OK</x:v>
      </x:c>
      <x:c r="M1016" s="44" t="str">
        <x:v>Источник Actions.Blockable</x:v>
      </x:c>
    </x:row>
    <x:row r="1017" ht="36" customHeight="1">
      <x:c r="A1017" s="118" t="n">
        <x:v>1012</x:v>
      </x:c>
      <x:c r="B1017" s="35" t="str">
        <x:v>action</x:v>
      </x:c>
      <x:c r="C1017" s="35" t="str">
        <x:v>kangaroo_tempo_barrage</x:v>
      </x:c>
      <x:c r="D1017" s="35" t="str">
        <x:v>dodgeable</x:v>
      </x:c>
      <x:c r="E1017" s="38" t="str">
        <x:v>bool</x:v>
      </x:c>
      <x:c r="F1017" s="56" t="b">
        <x:f>'Actions'!AH22</x:f>
        <x:v>1</x:v>
      </x:c>
      <x:c r="G1017" s="38" t="str"/>
      <x:c r="H1017" s="35" t="str">
        <x:v>Actions</x:v>
      </x:c>
      <x:c r="I1017" s="35" t="str">
        <x:v>AH22</x:v>
      </x:c>
      <x:c r="J1017" s="85" t="b">
        <x:v>1</x:v>
      </x:c>
      <x:c r="K1017" s="85" t="b">
        <x:v>1</x:v>
      </x:c>
      <x:c r="L1017" s="56" t="str">
        <x:f>'Actions'!BE22</x:f>
        <x:v>OK</x:v>
      </x:c>
      <x:c r="M1017" s="44" t="str">
        <x:v>Источник Actions.Dodgeable</x:v>
      </x:c>
    </x:row>
    <x:row r="1018" ht="36" customHeight="1">
      <x:c r="A1018" s="118" t="n">
        <x:v>1013</x:v>
      </x:c>
      <x:c r="B1018" s="35" t="str">
        <x:v>action</x:v>
      </x:c>
      <x:c r="C1018" s="35" t="str">
        <x:v>kangaroo_tempo_barrage</x:v>
      </x:c>
      <x:c r="D1018" s="35" t="str">
        <x:v>undodgeable</x:v>
      </x:c>
      <x:c r="E1018" s="38" t="str">
        <x:v>bool</x:v>
      </x:c>
      <x:c r="F1018" s="56" t="b">
        <x:f>'Actions'!AI22</x:f>
        <x:v>0</x:v>
      </x:c>
      <x:c r="G1018" s="38" t="str"/>
      <x:c r="H1018" s="35" t="str">
        <x:v>Actions</x:v>
      </x:c>
      <x:c r="I1018" s="35" t="str">
        <x:v>AI22</x:v>
      </x:c>
      <x:c r="J1018" s="85" t="b">
        <x:v>1</x:v>
      </x:c>
      <x:c r="K1018" s="85" t="b">
        <x:v>1</x:v>
      </x:c>
      <x:c r="L1018" s="56" t="str">
        <x:f>'Actions'!BE22</x:f>
        <x:v>OK</x:v>
      </x:c>
      <x:c r="M1018" s="44" t="str">
        <x:v>Источник Actions.Undodgeable</x:v>
      </x:c>
    </x:row>
    <x:row r="1019" ht="36" customHeight="1">
      <x:c r="A1019" s="118" t="n">
        <x:v>1014</x:v>
      </x:c>
      <x:c r="B1019" s="35" t="str">
        <x:v>action</x:v>
      </x:c>
      <x:c r="C1019" s="35" t="str">
        <x:v>kangaroo_tempo_barrage</x:v>
      </x:c>
      <x:c r="D1019" s="35" t="str">
        <x:v>wall_impact</x:v>
      </x:c>
      <x:c r="E1019" s="38" t="str">
        <x:v>bool</x:v>
      </x:c>
      <x:c r="F1019" s="56" t="b">
        <x:f>'Actions'!AJ22</x:f>
        <x:v>0</x:v>
      </x:c>
      <x:c r="G1019" s="38" t="str"/>
      <x:c r="H1019" s="35" t="str">
        <x:v>Actions</x:v>
      </x:c>
      <x:c r="I1019" s="35" t="str">
        <x:v>AJ22</x:v>
      </x:c>
      <x:c r="J1019" s="85" t="b">
        <x:v>1</x:v>
      </x:c>
      <x:c r="K1019" s="85" t="b">
        <x:v>1</x:v>
      </x:c>
      <x:c r="L1019" s="56" t="str">
        <x:f>'Actions'!BE22</x:f>
        <x:v>OK</x:v>
      </x:c>
      <x:c r="M1019" s="44" t="str">
        <x:v>Источник Actions.Wall Impact</x:v>
      </x:c>
    </x:row>
    <x:row r="1020" ht="36" customHeight="1">
      <x:c r="A1020" s="118" t="n">
        <x:v>1015</x:v>
      </x:c>
      <x:c r="B1020" s="35" t="str">
        <x:v>action</x:v>
      </x:c>
      <x:c r="C1020" s="35" t="str">
        <x:v>kangaroo_tempo_barrage</x:v>
      </x:c>
      <x:c r="D1020" s="35" t="str">
        <x:v>track_target</x:v>
      </x:c>
      <x:c r="E1020" s="38" t="str">
        <x:v>bool</x:v>
      </x:c>
      <x:c r="F1020" s="56" t="b">
        <x:f>'Actions'!AK22</x:f>
        <x:v>1</x:v>
      </x:c>
      <x:c r="G1020" s="38" t="str"/>
      <x:c r="H1020" s="35" t="str">
        <x:v>Actions</x:v>
      </x:c>
      <x:c r="I1020" s="35" t="str">
        <x:v>AK22</x:v>
      </x:c>
      <x:c r="J1020" s="85" t="b">
        <x:v>1</x:v>
      </x:c>
      <x:c r="K1020" s="85" t="b">
        <x:v>1</x:v>
      </x:c>
      <x:c r="L1020" s="56" t="str">
        <x:f>'Actions'!BE22</x:f>
        <x:v>OK</x:v>
      </x:c>
      <x:c r="M1020" s="44" t="str">
        <x:v>Источник Actions.Track Target</x:v>
      </x:c>
    </x:row>
    <x:row r="1021" ht="36" customHeight="1">
      <x:c r="A1021" s="118" t="n">
        <x:v>1016</x:v>
      </x:c>
      <x:c r="B1021" s="35" t="str">
        <x:v>action</x:v>
      </x:c>
      <x:c r="C1021" s="35" t="str">
        <x:v>kangaroo_tempo_barrage</x:v>
      </x:c>
      <x:c r="D1021" s="35" t="str">
        <x:v>block_base_chance_fp</x:v>
      </x:c>
      <x:c r="E1021" s="38" t="str">
        <x:v>int</x:v>
      </x:c>
      <x:c r="F1021" s="56" t="n">
        <x:f>'Actions'!AL22</x:f>
        <x:v>0</x:v>
      </x:c>
      <x:c r="G1021" s="38" t="str"/>
      <x:c r="H1021" s="35" t="str">
        <x:v>Actions</x:v>
      </x:c>
      <x:c r="I1021" s="35" t="str">
        <x:v>AL22</x:v>
      </x:c>
      <x:c r="J1021" s="85" t="b">
        <x:v>1</x:v>
      </x:c>
      <x:c r="K1021" s="85" t="b">
        <x:v>1</x:v>
      </x:c>
      <x:c r="L1021" s="56" t="str">
        <x:f>'Actions'!BE22</x:f>
        <x:v>OK</x:v>
      </x:c>
      <x:c r="M1021" s="44" t="str">
        <x:v>Источник Actions.Block Base Chance FP</x:v>
      </x:c>
    </x:row>
    <x:row r="1022" ht="36" customHeight="1">
      <x:c r="A1022" s="118" t="n">
        <x:v>1017</x:v>
      </x:c>
      <x:c r="B1022" s="35" t="str">
        <x:v>action</x:v>
      </x:c>
      <x:c r="C1022" s="35" t="str">
        <x:v>kangaroo_tempo_barrage</x:v>
      </x:c>
      <x:c r="D1022" s="35" t="str">
        <x:v>block_reduction_fp</x:v>
      </x:c>
      <x:c r="E1022" s="38" t="str">
        <x:v>int</x:v>
      </x:c>
      <x:c r="F1022" s="56" t="n">
        <x:f>'Actions'!AM22</x:f>
        <x:v>0</x:v>
      </x:c>
      <x:c r="G1022" s="38" t="str"/>
      <x:c r="H1022" s="35" t="str">
        <x:v>Actions</x:v>
      </x:c>
      <x:c r="I1022" s="35" t="str">
        <x:v>AM22</x:v>
      </x:c>
      <x:c r="J1022" s="85" t="b">
        <x:v>1</x:v>
      </x:c>
      <x:c r="K1022" s="85" t="b">
        <x:v>1</x:v>
      </x:c>
      <x:c r="L1022" s="56" t="str">
        <x:f>'Actions'!BE22</x:f>
        <x:v>OK</x:v>
      </x:c>
      <x:c r="M1022" s="44" t="str">
        <x:v>Источник Actions.Block Reduction FP</x:v>
      </x:c>
    </x:row>
    <x:row r="1023" ht="36" customHeight="1">
      <x:c r="A1023" s="118" t="n">
        <x:v>1018</x:v>
      </x:c>
      <x:c r="B1023" s="35" t="str">
        <x:v>action</x:v>
      </x:c>
      <x:c r="C1023" s="35" t="str">
        <x:v>kangaroo_tempo_barrage</x:v>
      </x:c>
      <x:c r="D1023" s="35" t="str">
        <x:v>dodge_base_chance_fp</x:v>
      </x:c>
      <x:c r="E1023" s="38" t="str">
        <x:v>int</x:v>
      </x:c>
      <x:c r="F1023" s="56" t="n">
        <x:f>'Actions'!AN22</x:f>
        <x:v>0</x:v>
      </x:c>
      <x:c r="G1023" s="38" t="str"/>
      <x:c r="H1023" s="35" t="str">
        <x:v>Actions</x:v>
      </x:c>
      <x:c r="I1023" s="35" t="str">
        <x:v>AN22</x:v>
      </x:c>
      <x:c r="J1023" s="85" t="b">
        <x:v>1</x:v>
      </x:c>
      <x:c r="K1023" s="85" t="b">
        <x:v>1</x:v>
      </x:c>
      <x:c r="L1023" s="56" t="str">
        <x:f>'Actions'!BE22</x:f>
        <x:v>OK</x:v>
      </x:c>
      <x:c r="M1023" s="44" t="str">
        <x:v>Источник Actions.Dodge Base Chance FP</x:v>
      </x:c>
    </x:row>
    <x:row r="1024" ht="36" customHeight="1">
      <x:c r="A1024" s="118" t="n">
        <x:v>1019</x:v>
      </x:c>
      <x:c r="B1024" s="35" t="str">
        <x:v>action</x:v>
      </x:c>
      <x:c r="C1024" s="35" t="str">
        <x:v>kangaroo_tempo_barrage</x:v>
      </x:c>
      <x:c r="D1024" s="35" t="str">
        <x:v>movement_mode</x:v>
      </x:c>
      <x:c r="E1024" s="38" t="str">
        <x:v>string</x:v>
      </x:c>
      <x:c r="F1024" s="56" t="str">
        <x:f>'Actions'!AO22</x:f>
        <x:v>Follow</x:v>
      </x:c>
      <x:c r="G1024" s="38" t="str"/>
      <x:c r="H1024" s="35" t="str">
        <x:v>Actions</x:v>
      </x:c>
      <x:c r="I1024" s="35" t="str">
        <x:v>AO22</x:v>
      </x:c>
      <x:c r="J1024" s="85" t="b">
        <x:v>1</x:v>
      </x:c>
      <x:c r="K1024" s="85" t="b">
        <x:v>1</x:v>
      </x:c>
      <x:c r="L1024" s="56" t="str">
        <x:f>'Actions'!BE22</x:f>
        <x:v>OK</x:v>
      </x:c>
      <x:c r="M1024" s="44" t="str">
        <x:v>Источник Actions.Movement Mode</x:v>
      </x:c>
    </x:row>
    <x:row r="1025" ht="36" customHeight="1">
      <x:c r="A1025" s="118" t="n">
        <x:v>1020</x:v>
      </x:c>
      <x:c r="B1025" s="35" t="str">
        <x:v>action</x:v>
      </x:c>
      <x:c r="C1025" s="35" t="str">
        <x:v>kangaroo_tempo_barrage</x:v>
      </x:c>
      <x:c r="D1025" s="35" t="str">
        <x:v>move_distance</x:v>
      </x:c>
      <x:c r="E1025" s="38" t="str">
        <x:v>int</x:v>
      </x:c>
      <x:c r="F1025" s="56" t="n">
        <x:f>'Actions'!AP22</x:f>
        <x:v>500</x:v>
      </x:c>
      <x:c r="G1025" s="38" t="str"/>
      <x:c r="H1025" s="35" t="str">
        <x:v>Actions</x:v>
      </x:c>
      <x:c r="I1025" s="35" t="str">
        <x:v>AP22</x:v>
      </x:c>
      <x:c r="J1025" s="85" t="b">
        <x:v>1</x:v>
      </x:c>
      <x:c r="K1025" s="85" t="b">
        <x:v>1</x:v>
      </x:c>
      <x:c r="L1025" s="56" t="str">
        <x:f>'Actions'!BE22</x:f>
        <x:v>OK</x:v>
      </x:c>
      <x:c r="M1025" s="44" t="str">
        <x:v>Источник Actions.Move Distance</x:v>
      </x:c>
    </x:row>
    <x:row r="1026" ht="36" customHeight="1">
      <x:c r="A1026" s="118" t="n">
        <x:v>1021</x:v>
      </x:c>
      <x:c r="B1026" s="35" t="str">
        <x:v>action</x:v>
      </x:c>
      <x:c r="C1026" s="35" t="str">
        <x:v>kangaroo_tempo_barrage</x:v>
      </x:c>
      <x:c r="D1026" s="35" t="str">
        <x:v>base_stagger</x:v>
      </x:c>
      <x:c r="E1026" s="38" t="str">
        <x:v>int</x:v>
      </x:c>
      <x:c r="F1026" s="56" t="n">
        <x:f>'Actions'!AQ22</x:f>
        <x:v>35</x:v>
      </x:c>
      <x:c r="G1026" s="38" t="str"/>
      <x:c r="H1026" s="35" t="str">
        <x:v>Actions</x:v>
      </x:c>
      <x:c r="I1026" s="35" t="str">
        <x:v>AQ22</x:v>
      </x:c>
      <x:c r="J1026" s="85" t="b">
        <x:v>1</x:v>
      </x:c>
      <x:c r="K1026" s="85" t="b">
        <x:v>1</x:v>
      </x:c>
      <x:c r="L1026" s="56" t="str">
        <x:f>'Actions'!BE22</x:f>
        <x:v>OK</x:v>
      </x:c>
      <x:c r="M1026" s="44" t="str">
        <x:v>Источник Actions.Base Stagger</x:v>
      </x:c>
    </x:row>
    <x:row r="1027" ht="36" customHeight="1">
      <x:c r="A1027" s="118" t="n">
        <x:v>1022</x:v>
      </x:c>
      <x:c r="B1027" s="35" t="str">
        <x:v>action</x:v>
      </x:c>
      <x:c r="C1027" s="35" t="str">
        <x:v>kangaroo_tempo_barrage</x:v>
      </x:c>
      <x:c r="D1027" s="35" t="str">
        <x:v>base_stun_ticks</x:v>
      </x:c>
      <x:c r="E1027" s="38" t="str">
        <x:v>int</x:v>
      </x:c>
      <x:c r="F1027" s="56" t="n">
        <x:f>'Actions'!AR22</x:f>
        <x:v>2</x:v>
      </x:c>
      <x:c r="G1027" s="38" t="str"/>
      <x:c r="H1027" s="35" t="str">
        <x:v>Actions</x:v>
      </x:c>
      <x:c r="I1027" s="35" t="str">
        <x:v>AR22</x:v>
      </x:c>
      <x:c r="J1027" s="85" t="b">
        <x:v>1</x:v>
      </x:c>
      <x:c r="K1027" s="85" t="b">
        <x:v>1</x:v>
      </x:c>
      <x:c r="L1027" s="56" t="str">
        <x:f>'Actions'!BE22</x:f>
        <x:v>OK</x:v>
      </x:c>
      <x:c r="M1027" s="44" t="str">
        <x:v>Источник Actions.Base Stun Ticks</x:v>
      </x:c>
    </x:row>
    <x:row r="1028" ht="36" customHeight="1">
      <x:c r="A1028" s="118" t="n">
        <x:v>1023</x:v>
      </x:c>
      <x:c r="B1028" s="35" t="str">
        <x:v>action</x:v>
      </x:c>
      <x:c r="C1028" s="35" t="str">
        <x:v>kangaroo_tempo_barrage</x:v>
      </x:c>
      <x:c r="D1028" s="35" t="str">
        <x:v>base_knockback</x:v>
      </x:c>
      <x:c r="E1028" s="38" t="str">
        <x:v>int</x:v>
      </x:c>
      <x:c r="F1028" s="56" t="n">
        <x:f>'Actions'!AS22</x:f>
        <x:v>120</x:v>
      </x:c>
      <x:c r="G1028" s="38" t="str"/>
      <x:c r="H1028" s="35" t="str">
        <x:v>Actions</x:v>
      </x:c>
      <x:c r="I1028" s="35" t="str">
        <x:v>AS22</x:v>
      </x:c>
      <x:c r="J1028" s="85" t="b">
        <x:v>1</x:v>
      </x:c>
      <x:c r="K1028" s="85" t="b">
        <x:v>1</x:v>
      </x:c>
      <x:c r="L1028" s="56" t="str">
        <x:f>'Actions'!BE22</x:f>
        <x:v>OK</x:v>
      </x:c>
      <x:c r="M1028" s="44" t="str">
        <x:v>Источник Actions.Base Knockback</x:v>
      </x:c>
    </x:row>
    <x:row r="1029" ht="36" customHeight="1">
      <x:c r="A1029" s="118" t="n">
        <x:v>1024</x:v>
      </x:c>
      <x:c r="B1029" s="35" t="str">
        <x:v>action</x:v>
      </x:c>
      <x:c r="C1029" s="35" t="str">
        <x:v>kangaroo_tempo_barrage</x:v>
      </x:c>
      <x:c r="D1029" s="35" t="str">
        <x:v>knockback_min</x:v>
      </x:c>
      <x:c r="E1029" s="38" t="str">
        <x:v>int</x:v>
      </x:c>
      <x:c r="F1029" s="56" t="n">
        <x:f>'Actions'!AT22</x:f>
        <x:v>0</x:v>
      </x:c>
      <x:c r="G1029" s="38" t="str"/>
      <x:c r="H1029" s="35" t="str">
        <x:v>Actions</x:v>
      </x:c>
      <x:c r="I1029" s="35" t="str">
        <x:v>AT22</x:v>
      </x:c>
      <x:c r="J1029" s="85" t="b">
        <x:v>1</x:v>
      </x:c>
      <x:c r="K1029" s="85" t="b">
        <x:v>1</x:v>
      </x:c>
      <x:c r="L1029" s="56" t="str">
        <x:f>'Actions'!BE22</x:f>
        <x:v>OK</x:v>
      </x:c>
      <x:c r="M1029" s="44" t="str">
        <x:v>Источник Actions.Knockback Min</x:v>
      </x:c>
    </x:row>
    <x:row r="1030" ht="36" customHeight="1">
      <x:c r="A1030" s="118" t="n">
        <x:v>1025</x:v>
      </x:c>
      <x:c r="B1030" s="35" t="str">
        <x:v>action</x:v>
      </x:c>
      <x:c r="C1030" s="35" t="str">
        <x:v>kangaroo_tempo_barrage</x:v>
      </x:c>
      <x:c r="D1030" s="35" t="str">
        <x:v>knockback_max</x:v>
      </x:c>
      <x:c r="E1030" s="38" t="str">
        <x:v>int</x:v>
      </x:c>
      <x:c r="F1030" s="56" t="n">
        <x:f>'Actions'!AU22</x:f>
        <x:v>220</x:v>
      </x:c>
      <x:c r="G1030" s="38" t="str"/>
      <x:c r="H1030" s="35" t="str">
        <x:v>Actions</x:v>
      </x:c>
      <x:c r="I1030" s="35" t="str">
        <x:v>AU22</x:v>
      </x:c>
      <x:c r="J1030" s="85" t="b">
        <x:v>1</x:v>
      </x:c>
      <x:c r="K1030" s="85" t="b">
        <x:v>1</x:v>
      </x:c>
      <x:c r="L1030" s="56" t="str">
        <x:f>'Actions'!BE22</x:f>
        <x:v>OK</x:v>
      </x:c>
      <x:c r="M1030" s="44" t="str">
        <x:v>Источник Actions.Knockback Max</x:v>
      </x:c>
    </x:row>
    <x:row r="1031" ht="36" customHeight="1">
      <x:c r="A1031" s="118" t="n">
        <x:v>1026</x:v>
      </x:c>
      <x:c r="B1031" s="35" t="str">
        <x:v>action</x:v>
      </x:c>
      <x:c r="C1031" s="35" t="str">
        <x:v>kangaroo_tempo_barrage</x:v>
      </x:c>
      <x:c r="D1031" s="35" t="str">
        <x:v>wall_damage_per_unit_fp</x:v>
      </x:c>
      <x:c r="E1031" s="38" t="str">
        <x:v>int</x:v>
      </x:c>
      <x:c r="F1031" s="56" t="n">
        <x:f>'Actions'!AV22</x:f>
        <x:v>0</x:v>
      </x:c>
      <x:c r="G1031" s="38" t="str"/>
      <x:c r="H1031" s="35" t="str">
        <x:v>Actions</x:v>
      </x:c>
      <x:c r="I1031" s="35" t="str">
        <x:v>AV22</x:v>
      </x:c>
      <x:c r="J1031" s="85" t="b">
        <x:v>1</x:v>
      </x:c>
      <x:c r="K1031" s="85" t="b">
        <x:v>1</x:v>
      </x:c>
      <x:c r="L1031" s="56" t="str">
        <x:f>'Actions'!BE22</x:f>
        <x:v>OK</x:v>
      </x:c>
      <x:c r="M1031" s="44" t="str">
        <x:v>Источник Actions.Wall Damage / Unit FP</x:v>
      </x:c>
    </x:row>
    <x:row r="1032" ht="36" customHeight="1">
      <x:c r="A1032" s="118" t="n">
        <x:v>1027</x:v>
      </x:c>
      <x:c r="B1032" s="35" t="str">
        <x:v>action</x:v>
      </x:c>
      <x:c r="C1032" s="35" t="str">
        <x:v>kangaroo_tempo_barrage</x:v>
      </x:c>
      <x:c r="D1032" s="35" t="str">
        <x:v>wall_damage_min</x:v>
      </x:c>
      <x:c r="E1032" s="38" t="str">
        <x:v>int</x:v>
      </x:c>
      <x:c r="F1032" s="56" t="n">
        <x:f>'Actions'!AW22</x:f>
        <x:v>0</x:v>
      </x:c>
      <x:c r="G1032" s="38" t="str"/>
      <x:c r="H1032" s="35" t="str">
        <x:v>Actions</x:v>
      </x:c>
      <x:c r="I1032" s="35" t="str">
        <x:v>AW22</x:v>
      </x:c>
      <x:c r="J1032" s="85" t="b">
        <x:v>1</x:v>
      </x:c>
      <x:c r="K1032" s="85" t="b">
        <x:v>1</x:v>
      </x:c>
      <x:c r="L1032" s="56" t="str">
        <x:f>'Actions'!BE22</x:f>
        <x:v>OK</x:v>
      </x:c>
      <x:c r="M1032" s="44" t="str">
        <x:v>Источник Actions.Wall Damage Min</x:v>
      </x:c>
    </x:row>
    <x:row r="1033" ht="36" customHeight="1">
      <x:c r="A1033" s="118" t="n">
        <x:v>1028</x:v>
      </x:c>
      <x:c r="B1033" s="35" t="str">
        <x:v>action</x:v>
      </x:c>
      <x:c r="C1033" s="35" t="str">
        <x:v>kangaroo_tempo_barrage</x:v>
      </x:c>
      <x:c r="D1033" s="35" t="str">
        <x:v>wall_damage_max</x:v>
      </x:c>
      <x:c r="E1033" s="38" t="str">
        <x:v>int</x:v>
      </x:c>
      <x:c r="F1033" s="56" t="n">
        <x:f>'Actions'!AX22</x:f>
        <x:v>0</x:v>
      </x:c>
      <x:c r="G1033" s="38" t="str"/>
      <x:c r="H1033" s="35" t="str">
        <x:v>Actions</x:v>
      </x:c>
      <x:c r="I1033" s="35" t="str">
        <x:v>AX22</x:v>
      </x:c>
      <x:c r="J1033" s="85" t="b">
        <x:v>1</x:v>
      </x:c>
      <x:c r="K1033" s="85" t="b">
        <x:v>1</x:v>
      </x:c>
      <x:c r="L1033" s="56" t="str">
        <x:f>'Actions'!BE22</x:f>
        <x:v>OK</x:v>
      </x:c>
      <x:c r="M1033" s="44" t="str">
        <x:v>Источник Actions.Wall Damage Max</x:v>
      </x:c>
    </x:row>
    <x:row r="1034" ht="36" customHeight="1">
      <x:c r="A1034" s="118" t="n">
        <x:v>1029</x:v>
      </x:c>
      <x:c r="B1034" s="35" t="str">
        <x:v>action</x:v>
      </x:c>
      <x:c r="C1034" s="35" t="str">
        <x:v>kangaroo_tempo_barrage</x:v>
      </x:c>
      <x:c r="D1034" s="35" t="str">
        <x:v>max_consecutive_uses</x:v>
      </x:c>
      <x:c r="E1034" s="38" t="str">
        <x:v>int</x:v>
      </x:c>
      <x:c r="F1034" s="56" t="n">
        <x:f>'Actions'!AY22</x:f>
        <x:v>1</x:v>
      </x:c>
      <x:c r="G1034" s="38" t="str"/>
      <x:c r="H1034" s="35" t="str">
        <x:v>Actions</x:v>
      </x:c>
      <x:c r="I1034" s="35" t="str">
        <x:v>AY22</x:v>
      </x:c>
      <x:c r="J1034" s="85" t="b">
        <x:v>1</x:v>
      </x:c>
      <x:c r="K1034" s="85" t="b">
        <x:v>1</x:v>
      </x:c>
      <x:c r="L1034" s="56" t="str">
        <x:f>'Actions'!BE22</x:f>
        <x:v>OK</x:v>
      </x:c>
      <x:c r="M1034" s="44" t="str">
        <x:v>Источник Actions.Max Consecutive Uses</x:v>
      </x:c>
    </x:row>
    <x:row r="1035" ht="36" customHeight="1">
      <x:c r="A1035" s="118" t="n">
        <x:v>1030</x:v>
      </x:c>
      <x:c r="B1035" s="35" t="str">
        <x:v>action</x:v>
      </x:c>
      <x:c r="C1035" s="35" t="str">
        <x:v>kangaroo_tempo_barrage</x:v>
      </x:c>
      <x:c r="D1035" s="35" t="str">
        <x:v>opportunity_cap_fp</x:v>
      </x:c>
      <x:c r="E1035" s="38" t="str">
        <x:v>int</x:v>
      </x:c>
      <x:c r="F1035" s="56" t="n">
        <x:f>'Actions'!AZ22</x:f>
        <x:v>2500</x:v>
      </x:c>
      <x:c r="G1035" s="38" t="str"/>
      <x:c r="H1035" s="35" t="str">
        <x:v>Actions</x:v>
      </x:c>
      <x:c r="I1035" s="35" t="str">
        <x:v>AZ22</x:v>
      </x:c>
      <x:c r="J1035" s="85" t="b">
        <x:v>1</x:v>
      </x:c>
      <x:c r="K1035" s="85" t="b">
        <x:v>1</x:v>
      </x:c>
      <x:c r="L1035" s="56" t="str">
        <x:f>'Actions'!BE22</x:f>
        <x:v>OK</x:v>
      </x:c>
      <x:c r="M1035" s="44" t="str">
        <x:v>Источник Actions.Opportunity Cap FP</x:v>
      </x:c>
    </x:row>
    <x:row r="1036" ht="36" customHeight="1">
      <x:c r="A1036" s="118" t="n">
        <x:v>1031</x:v>
      </x:c>
      <x:c r="B1036" s="35" t="str">
        <x:v>action</x:v>
      </x:c>
      <x:c r="C1036" s="35" t="str">
        <x:v>kangaroo_tempo_barrage</x:v>
      </x:c>
      <x:c r="D1036" s="35" t="str">
        <x:v>hard_opportunity_misses</x:v>
      </x:c>
      <x:c r="E1036" s="38" t="str">
        <x:v>int</x:v>
      </x:c>
      <x:c r="F1036" s="56" t="n">
        <x:f>'Actions'!BA22</x:f>
        <x:v>4</x:v>
      </x:c>
      <x:c r="G1036" s="38" t="str"/>
      <x:c r="H1036" s="35" t="str">
        <x:v>Actions</x:v>
      </x:c>
      <x:c r="I1036" s="35" t="str">
        <x:v>BA22</x:v>
      </x:c>
      <x:c r="J1036" s="85" t="b">
        <x:v>1</x:v>
      </x:c>
      <x:c r="K1036" s="85" t="b">
        <x:v>1</x:v>
      </x:c>
      <x:c r="L1036" s="56" t="str">
        <x:f>'Actions'!BE22</x:f>
        <x:v>OK</x:v>
      </x:c>
      <x:c r="M1036" s="44" t="str">
        <x:v>Источник Actions.Hard Opportunity Misses</x:v>
      </x:c>
    </x:row>
    <x:row r="1037" ht="36" customHeight="1">
      <x:c r="A1037" s="118" t="n">
        <x:v>1032</x:v>
      </x:c>
      <x:c r="B1037" s="35" t="str">
        <x:v>action</x:v>
      </x:c>
      <x:c r="C1037" s="35" t="str">
        <x:v>gorilla_hammer_fist</x:v>
      </x:c>
      <x:c r="D1037" s="35" t="str">
        <x:v>action_id</x:v>
      </x:c>
      <x:c r="E1037" s="38" t="str">
        <x:v>string</x:v>
      </x:c>
      <x:c r="F1037" s="56" t="str">
        <x:f>'Actions'!A23</x:f>
        <x:v>gorilla_hammer_fist</x:v>
      </x:c>
      <x:c r="G1037" s="38" t="str"/>
      <x:c r="H1037" s="35" t="str">
        <x:v>Actions</x:v>
      </x:c>
      <x:c r="I1037" s="35" t="str">
        <x:v>A23</x:v>
      </x:c>
      <x:c r="J1037" s="85" t="b">
        <x:v>1</x:v>
      </x:c>
      <x:c r="K1037" s="85" t="b">
        <x:v>1</x:v>
      </x:c>
      <x:c r="L1037" s="56" t="str">
        <x:f>'Actions'!BE23</x:f>
        <x:v>OK</x:v>
      </x:c>
      <x:c r="M1037" s="44" t="str">
        <x:v>Источник Actions.Action ID</x:v>
      </x:c>
    </x:row>
    <x:row r="1038" ht="36" customHeight="1">
      <x:c r="A1038" s="118" t="n">
        <x:v>1033</x:v>
      </x:c>
      <x:c r="B1038" s="35" t="str">
        <x:v>action</x:v>
      </x:c>
      <x:c r="C1038" s="35" t="str">
        <x:v>gorilla_hammer_fist</x:v>
      </x:c>
      <x:c r="D1038" s="35" t="str">
        <x:v>animal_id</x:v>
      </x:c>
      <x:c r="E1038" s="38" t="str">
        <x:v>string</x:v>
      </x:c>
      <x:c r="F1038" s="56" t="str">
        <x:f>'Actions'!B23</x:f>
        <x:v>gorilla</x:v>
      </x:c>
      <x:c r="G1038" s="38" t="str"/>
      <x:c r="H1038" s="35" t="str">
        <x:v>Actions</x:v>
      </x:c>
      <x:c r="I1038" s="35" t="str">
        <x:v>B23</x:v>
      </x:c>
      <x:c r="J1038" s="85" t="b">
        <x:v>1</x:v>
      </x:c>
      <x:c r="K1038" s="85" t="b">
        <x:v>1</x:v>
      </x:c>
      <x:c r="L1038" s="56" t="str">
        <x:f>'Actions'!BE23</x:f>
        <x:v>OK</x:v>
      </x:c>
      <x:c r="M1038" s="44" t="str">
        <x:v>Источник Actions.Animal ID</x:v>
      </x:c>
    </x:row>
    <x:row r="1039" ht="36" customHeight="1">
      <x:c r="A1039" s="118" t="n">
        <x:v>1034</x:v>
      </x:c>
      <x:c r="B1039" s="35" t="str">
        <x:v>action</x:v>
      </x:c>
      <x:c r="C1039" s="35" t="str">
        <x:v>gorilla_hammer_fist</x:v>
      </x:c>
      <x:c r="D1039" s="35" t="str">
        <x:v>slot_type</x:v>
      </x:c>
      <x:c r="E1039" s="38" t="str">
        <x:v>string</x:v>
      </x:c>
      <x:c r="F1039" s="56" t="str">
        <x:f>'Actions'!D23</x:f>
        <x:v>Basic</x:v>
      </x:c>
      <x:c r="G1039" s="38" t="str"/>
      <x:c r="H1039" s="35" t="str">
        <x:v>Actions</x:v>
      </x:c>
      <x:c r="I1039" s="35" t="str">
        <x:v>D23</x:v>
      </x:c>
      <x:c r="J1039" s="85" t="b">
        <x:v>1</x:v>
      </x:c>
      <x:c r="K1039" s="85" t="b">
        <x:v>1</x:v>
      </x:c>
      <x:c r="L1039" s="56" t="str">
        <x:f>'Actions'!BE23</x:f>
        <x:v>OK</x:v>
      </x:c>
      <x:c r="M1039" s="44" t="str">
        <x:v>Источник Actions.Slot Type</x:v>
      </x:c>
    </x:row>
    <x:row r="1040" ht="36" customHeight="1">
      <x:c r="A1040" s="118" t="n">
        <x:v>1035</x:v>
      </x:c>
      <x:c r="B1040" s="35" t="str">
        <x:v>action</x:v>
      </x:c>
      <x:c r="C1040" s="35" t="str">
        <x:v>gorilla_hammer_fist</x:v>
      </x:c>
      <x:c r="D1040" s="35" t="str">
        <x:v>category</x:v>
      </x:c>
      <x:c r="E1040" s="38" t="str">
        <x:v>string</x:v>
      </x:c>
      <x:c r="F1040" s="56" t="str">
        <x:f>'Actions'!E23</x:f>
        <x:v>MediumStrike</x:v>
      </x:c>
      <x:c r="G1040" s="38" t="str"/>
      <x:c r="H1040" s="35" t="str">
        <x:v>Actions</x:v>
      </x:c>
      <x:c r="I1040" s="35" t="str">
        <x:v>E23</x:v>
      </x:c>
      <x:c r="J1040" s="85" t="b">
        <x:v>1</x:v>
      </x:c>
      <x:c r="K1040" s="85" t="b">
        <x:v>1</x:v>
      </x:c>
      <x:c r="L1040" s="56" t="str">
        <x:f>'Actions'!BE23</x:f>
        <x:v>OK</x:v>
      </x:c>
      <x:c r="M1040" s="44" t="str">
        <x:v>Источник Actions.Category</x:v>
      </x:c>
    </x:row>
    <x:row r="1041" ht="36" customHeight="1">
      <x:c r="A1041" s="118" t="n">
        <x:v>1036</x:v>
      </x:c>
      <x:c r="B1041" s="35" t="str">
        <x:v>action</x:v>
      </x:c>
      <x:c r="C1041" s="35" t="str">
        <x:v>gorilla_hammer_fist</x:v>
      </x:c>
      <x:c r="D1041" s="35" t="str">
        <x:v>tags</x:v>
      </x:c>
      <x:c r="E1041" s="38" t="str">
        <x:v>string</x:v>
      </x:c>
      <x:c r="F1041" s="56" t="str">
        <x:f>'Actions'!F23</x:f>
        <x:v>strike|medium|pressure|fallback</x:v>
      </x:c>
      <x:c r="G1041" s="38" t="str"/>
      <x:c r="H1041" s="35" t="str">
        <x:v>Actions</x:v>
      </x:c>
      <x:c r="I1041" s="35" t="str">
        <x:v>F23</x:v>
      </x:c>
      <x:c r="J1041" s="85" t="b">
        <x:v>1</x:v>
      </x:c>
      <x:c r="K1041" s="85" t="b">
        <x:v>1</x:v>
      </x:c>
      <x:c r="L1041" s="56" t="str">
        <x:f>'Actions'!BE23</x:f>
        <x:v>OK</x:v>
      </x:c>
      <x:c r="M1041" s="44" t="str">
        <x:v>Источник Actions.Tags</x:v>
      </x:c>
    </x:row>
    <x:row r="1042" ht="36" customHeight="1">
      <x:c r="A1042" s="118" t="n">
        <x:v>1037</x:v>
      </x:c>
      <x:c r="B1042" s="35" t="str">
        <x:v>action</x:v>
      </x:c>
      <x:c r="C1042" s="35" t="str">
        <x:v>gorilla_hammer_fist</x:v>
      </x:c>
      <x:c r="D1042" s="35" t="str">
        <x:v>base_weight</x:v>
      </x:c>
      <x:c r="E1042" s="38" t="str">
        <x:v>int</x:v>
      </x:c>
      <x:c r="F1042" s="56" t="n">
        <x:f>'Actions'!G23</x:f>
        <x:v>1000</x:v>
      </x:c>
      <x:c r="G1042" s="38" t="str"/>
      <x:c r="H1042" s="35" t="str">
        <x:v>Actions</x:v>
      </x:c>
      <x:c r="I1042" s="35" t="str">
        <x:v>G23</x:v>
      </x:c>
      <x:c r="J1042" s="85" t="b">
        <x:v>1</x:v>
      </x:c>
      <x:c r="K1042" s="85" t="b">
        <x:v>1</x:v>
      </x:c>
      <x:c r="L1042" s="56" t="str">
        <x:f>'Actions'!BE23</x:f>
        <x:v>OK</x:v>
      </x:c>
      <x:c r="M1042" s="44" t="str">
        <x:v>Источник Actions.Base Weight</x:v>
      </x:c>
    </x:row>
    <x:row r="1043" ht="36" customHeight="1">
      <x:c r="A1043" s="118" t="n">
        <x:v>1038</x:v>
      </x:c>
      <x:c r="B1043" s="35" t="str">
        <x:v>action</x:v>
      </x:c>
      <x:c r="C1043" s="35" t="str">
        <x:v>gorilla_hammer_fist</x:v>
      </x:c>
      <x:c r="D1043" s="35" t="str">
        <x:v>preferred_range_min</x:v>
      </x:c>
      <x:c r="E1043" s="38" t="str">
        <x:v>int</x:v>
      </x:c>
      <x:c r="F1043" s="56" t="n">
        <x:f>'Actions'!H23</x:f>
        <x:v>100</x:v>
      </x:c>
      <x:c r="G1043" s="38" t="str"/>
      <x:c r="H1043" s="35" t="str">
        <x:v>Actions</x:v>
      </x:c>
      <x:c r="I1043" s="35" t="str">
        <x:v>H23</x:v>
      </x:c>
      <x:c r="J1043" s="85" t="b">
        <x:v>1</x:v>
      </x:c>
      <x:c r="K1043" s="85" t="b">
        <x:v>1</x:v>
      </x:c>
      <x:c r="L1043" s="56" t="str">
        <x:f>'Actions'!BE23</x:f>
        <x:v>OK</x:v>
      </x:c>
      <x:c r="M1043" s="44" t="str">
        <x:v>Источник Actions.Preferred Range Min</x:v>
      </x:c>
    </x:row>
    <x:row r="1044" ht="36" customHeight="1">
      <x:c r="A1044" s="118" t="n">
        <x:v>1039</x:v>
      </x:c>
      <x:c r="B1044" s="35" t="str">
        <x:v>action</x:v>
      </x:c>
      <x:c r="C1044" s="35" t="str">
        <x:v>gorilla_hammer_fist</x:v>
      </x:c>
      <x:c r="D1044" s="35" t="str">
        <x:v>preferred_range_max</x:v>
      </x:c>
      <x:c r="E1044" s="38" t="str">
        <x:v>int</x:v>
      </x:c>
      <x:c r="F1044" s="56" t="n">
        <x:f>'Actions'!I23</x:f>
        <x:v>950</x:v>
      </x:c>
      <x:c r="G1044" s="38" t="str"/>
      <x:c r="H1044" s="35" t="str">
        <x:v>Actions</x:v>
      </x:c>
      <x:c r="I1044" s="35" t="str">
        <x:v>I23</x:v>
      </x:c>
      <x:c r="J1044" s="85" t="b">
        <x:v>1</x:v>
      </x:c>
      <x:c r="K1044" s="85" t="b">
        <x:v>1</x:v>
      </x:c>
      <x:c r="L1044" s="56" t="str">
        <x:f>'Actions'!BE23</x:f>
        <x:v>OK</x:v>
      </x:c>
      <x:c r="M1044" s="44" t="str">
        <x:v>Источник Actions.Preferred Range Max</x:v>
      </x:c>
    </x:row>
    <x:row r="1045" ht="36" customHeight="1">
      <x:c r="A1045" s="118" t="n">
        <x:v>1040</x:v>
      </x:c>
      <x:c r="B1045" s="35" t="str">
        <x:v>action</x:v>
      </x:c>
      <x:c r="C1045" s="35" t="str">
        <x:v>gorilla_hammer_fist</x:v>
      </x:c>
      <x:c r="D1045" s="35" t="str">
        <x:v>hit_range_min</x:v>
      </x:c>
      <x:c r="E1045" s="38" t="str">
        <x:v>int</x:v>
      </x:c>
      <x:c r="F1045" s="56" t="n">
        <x:f>'Actions'!J23</x:f>
        <x:v>0</x:v>
      </x:c>
      <x:c r="G1045" s="38" t="str"/>
      <x:c r="H1045" s="35" t="str">
        <x:v>Actions</x:v>
      </x:c>
      <x:c r="I1045" s="35" t="str">
        <x:v>J23</x:v>
      </x:c>
      <x:c r="J1045" s="85" t="b">
        <x:v>1</x:v>
      </x:c>
      <x:c r="K1045" s="85" t="b">
        <x:v>1</x:v>
      </x:c>
      <x:c r="L1045" s="56" t="str">
        <x:f>'Actions'!BE23</x:f>
        <x:v>OK</x:v>
      </x:c>
      <x:c r="M1045" s="44" t="str">
        <x:v>Источник Actions.Hit Range Min</x:v>
      </x:c>
    </x:row>
    <x:row r="1046" ht="36" customHeight="1">
      <x:c r="A1046" s="118" t="n">
        <x:v>1041</x:v>
      </x:c>
      <x:c r="B1046" s="35" t="str">
        <x:v>action</x:v>
      </x:c>
      <x:c r="C1046" s="35" t="str">
        <x:v>gorilla_hammer_fist</x:v>
      </x:c>
      <x:c r="D1046" s="35" t="str">
        <x:v>hit_range_max</x:v>
      </x:c>
      <x:c r="E1046" s="38" t="str">
        <x:v>int</x:v>
      </x:c>
      <x:c r="F1046" s="56" t="n">
        <x:f>'Actions'!K23</x:f>
        <x:v>1050</x:v>
      </x:c>
      <x:c r="G1046" s="38" t="str"/>
      <x:c r="H1046" s="35" t="str">
        <x:v>Actions</x:v>
      </x:c>
      <x:c r="I1046" s="35" t="str">
        <x:v>K23</x:v>
      </x:c>
      <x:c r="J1046" s="85" t="b">
        <x:v>1</x:v>
      </x:c>
      <x:c r="K1046" s="85" t="b">
        <x:v>1</x:v>
      </x:c>
      <x:c r="L1046" s="56" t="str">
        <x:f>'Actions'!BE23</x:f>
        <x:v>OK</x:v>
      </x:c>
      <x:c r="M1046" s="44" t="str">
        <x:v>Источник Actions.Hit Range Max</x:v>
      </x:c>
    </x:row>
    <x:row r="1047" ht="36" customHeight="1">
      <x:c r="A1047" s="118" t="n">
        <x:v>1042</x:v>
      </x:c>
      <x:c r="B1047" s="35" t="str">
        <x:v>action</x:v>
      </x:c>
      <x:c r="C1047" s="35" t="str">
        <x:v>gorilla_hammer_fist</x:v>
      </x:c>
      <x:c r="D1047" s="35" t="str">
        <x:v>energy_cost</x:v>
      </x:c>
      <x:c r="E1047" s="38" t="str">
        <x:v>int</x:v>
      </x:c>
      <x:c r="F1047" s="56" t="n">
        <x:f>'Actions'!L23</x:f>
        <x:v>0</x:v>
      </x:c>
      <x:c r="G1047" s="38" t="str"/>
      <x:c r="H1047" s="35" t="str">
        <x:v>Actions</x:v>
      </x:c>
      <x:c r="I1047" s="35" t="str">
        <x:v>L23</x:v>
      </x:c>
      <x:c r="J1047" s="85" t="b">
        <x:v>1</x:v>
      </x:c>
      <x:c r="K1047" s="85" t="b">
        <x:v>1</x:v>
      </x:c>
      <x:c r="L1047" s="56" t="str">
        <x:f>'Actions'!BE23</x:f>
        <x:v>OK</x:v>
      </x:c>
      <x:c r="M1047" s="44" t="str">
        <x:v>Источник Actions.Energy Cost</x:v>
      </x:c>
    </x:row>
    <x:row r="1048" ht="36" customHeight="1">
      <x:c r="A1048" s="118" t="n">
        <x:v>1043</x:v>
      </x:c>
      <x:c r="B1048" s="35" t="str">
        <x:v>action</x:v>
      </x:c>
      <x:c r="C1048" s="35" t="str">
        <x:v>gorilla_hammer_fist</x:v>
      </x:c>
      <x:c r="D1048" s="35" t="str">
        <x:v>resource_cost</x:v>
      </x:c>
      <x:c r="E1048" s="38" t="str">
        <x:v>int</x:v>
      </x:c>
      <x:c r="F1048" s="56" t="n">
        <x:f>'Actions'!M23</x:f>
        <x:v>0</x:v>
      </x:c>
      <x:c r="G1048" s="38" t="str"/>
      <x:c r="H1048" s="35" t="str">
        <x:v>Actions</x:v>
      </x:c>
      <x:c r="I1048" s="35" t="str">
        <x:v>M23</x:v>
      </x:c>
      <x:c r="J1048" s="85" t="b">
        <x:v>1</x:v>
      </x:c>
      <x:c r="K1048" s="85" t="b">
        <x:v>1</x:v>
      </x:c>
      <x:c r="L1048" s="56" t="str">
        <x:f>'Actions'!BE23</x:f>
        <x:v>OK</x:v>
      </x:c>
      <x:c r="M1048" s="44" t="str">
        <x:v>Источник Actions.Resource Cost</x:v>
      </x:c>
    </x:row>
    <x:row r="1049" ht="36" customHeight="1">
      <x:c r="A1049" s="118" t="n">
        <x:v>1044</x:v>
      </x:c>
      <x:c r="B1049" s="35" t="str">
        <x:v>action</x:v>
      </x:c>
      <x:c r="C1049" s="35" t="str">
        <x:v>gorilla_hammer_fist</x:v>
      </x:c>
      <x:c r="D1049" s="35" t="str">
        <x:v>base_damage</x:v>
      </x:c>
      <x:c r="E1049" s="38" t="str">
        <x:v>int</x:v>
      </x:c>
      <x:c r="F1049" s="56" t="n">
        <x:f>'Actions'!N23</x:f>
        <x:v>35</x:v>
      </x:c>
      <x:c r="G1049" s="38" t="str"/>
      <x:c r="H1049" s="35" t="str">
        <x:v>Actions</x:v>
      </x:c>
      <x:c r="I1049" s="35" t="str">
        <x:v>N23</x:v>
      </x:c>
      <x:c r="J1049" s="85" t="b">
        <x:v>1</x:v>
      </x:c>
      <x:c r="K1049" s="85" t="b">
        <x:v>1</x:v>
      </x:c>
      <x:c r="L1049" s="56" t="str">
        <x:f>'Actions'!BE23</x:f>
        <x:v>OK</x:v>
      </x:c>
      <x:c r="M1049" s="44" t="str">
        <x:v>Источник Actions.Base Damage / hit</x:v>
      </x:c>
    </x:row>
    <x:row r="1050" ht="36" customHeight="1">
      <x:c r="A1050" s="118" t="n">
        <x:v>1045</x:v>
      </x:c>
      <x:c r="B1050" s="35" t="str">
        <x:v>action</x:v>
      </x:c>
      <x:c r="C1050" s="35" t="str">
        <x:v>gorilla_hammer_fist</x:v>
      </x:c>
      <x:c r="D1050" s="35" t="str">
        <x:v>power_ratio_fp</x:v>
      </x:c>
      <x:c r="E1050" s="38" t="str">
        <x:v>int</x:v>
      </x:c>
      <x:c r="F1050" s="56" t="n">
        <x:f>'Actions'!O23</x:f>
        <x:v>500</x:v>
      </x:c>
      <x:c r="G1050" s="38" t="str"/>
      <x:c r="H1050" s="35" t="str">
        <x:v>Actions</x:v>
      </x:c>
      <x:c r="I1050" s="35" t="str">
        <x:v>O23</x:v>
      </x:c>
      <x:c r="J1050" s="85" t="b">
        <x:v>1</x:v>
      </x:c>
      <x:c r="K1050" s="85" t="b">
        <x:v>1</x:v>
      </x:c>
      <x:c r="L1050" s="56" t="str">
        <x:f>'Actions'!BE23</x:f>
        <x:v>OK</x:v>
      </x:c>
      <x:c r="M1050" s="44" t="str">
        <x:v>Источник Actions.Power Ratio FP</x:v>
      </x:c>
    </x:row>
    <x:row r="1051" ht="36" customHeight="1">
      <x:c r="A1051" s="118" t="n">
        <x:v>1046</x:v>
      </x:c>
      <x:c r="B1051" s="35" t="str">
        <x:v>action</x:v>
      </x:c>
      <x:c r="C1051" s="35" t="str">
        <x:v>gorilla_hammer_fist</x:v>
      </x:c>
      <x:c r="D1051" s="35" t="str">
        <x:v>min_damage</x:v>
      </x:c>
      <x:c r="E1051" s="38" t="str">
        <x:v>int</x:v>
      </x:c>
      <x:c r="F1051" s="56" t="n">
        <x:f>'Actions'!P23</x:f>
        <x:v>13</x:v>
      </x:c>
      <x:c r="G1051" s="38" t="str"/>
      <x:c r="H1051" s="35" t="str">
        <x:v>Actions</x:v>
      </x:c>
      <x:c r="I1051" s="35" t="str">
        <x:v>P23</x:v>
      </x:c>
      <x:c r="J1051" s="85" t="b">
        <x:v>1</x:v>
      </x:c>
      <x:c r="K1051" s="85" t="b">
        <x:v>1</x:v>
      </x:c>
      <x:c r="L1051" s="56" t="str">
        <x:f>'Actions'!BE23</x:f>
        <x:v>OK</x:v>
      </x:c>
      <x:c r="M1051" s="44" t="str">
        <x:v>Источник Actions.Min Damage</x:v>
      </x:c>
    </x:row>
    <x:row r="1052" ht="36" customHeight="1">
      <x:c r="A1052" s="118" t="n">
        <x:v>1047</x:v>
      </x:c>
      <x:c r="B1052" s="35" t="str">
        <x:v>action</x:v>
      </x:c>
      <x:c r="C1052" s="35" t="str">
        <x:v>gorilla_hammer_fist</x:v>
      </x:c>
      <x:c r="D1052" s="35" t="str">
        <x:v>chip_min</x:v>
      </x:c>
      <x:c r="E1052" s="38" t="str">
        <x:v>int</x:v>
      </x:c>
      <x:c r="F1052" s="56" t="n">
        <x:f>'Actions'!Q23</x:f>
        <x:v>4</x:v>
      </x:c>
      <x:c r="G1052" s="38" t="str"/>
      <x:c r="H1052" s="35" t="str">
        <x:v>Actions</x:v>
      </x:c>
      <x:c r="I1052" s="35" t="str">
        <x:v>Q23</x:v>
      </x:c>
      <x:c r="J1052" s="85" t="b">
        <x:v>1</x:v>
      </x:c>
      <x:c r="K1052" s="85" t="b">
        <x:v>1</x:v>
      </x:c>
      <x:c r="L1052" s="56" t="str">
        <x:f>'Actions'!BE23</x:f>
        <x:v>OK</x:v>
      </x:c>
      <x:c r="M1052" s="44" t="str">
        <x:v>Источник Actions.Chip Min</x:v>
      </x:c>
    </x:row>
    <x:row r="1053" ht="36" customHeight="1">
      <x:c r="A1053" s="118" t="n">
        <x:v>1048</x:v>
      </x:c>
      <x:c r="B1053" s="35" t="str">
        <x:v>action</x:v>
      </x:c>
      <x:c r="C1053" s="35" t="str">
        <x:v>gorilla_hammer_fist</x:v>
      </x:c>
      <x:c r="D1053" s="35" t="str">
        <x:v>startup_base_ticks</x:v>
      </x:c>
      <x:c r="E1053" s="38" t="str">
        <x:v>int</x:v>
      </x:c>
      <x:c r="F1053" s="56" t="n">
        <x:f>'Actions'!R23</x:f>
        <x:v>4</x:v>
      </x:c>
      <x:c r="G1053" s="38" t="str"/>
      <x:c r="H1053" s="35" t="str">
        <x:v>Actions</x:v>
      </x:c>
      <x:c r="I1053" s="35" t="str">
        <x:v>R23</x:v>
      </x:c>
      <x:c r="J1053" s="85" t="b">
        <x:v>1</x:v>
      </x:c>
      <x:c r="K1053" s="85" t="b">
        <x:v>1</x:v>
      </x:c>
      <x:c r="L1053" s="56" t="str">
        <x:f>'Actions'!BE23</x:f>
        <x:v>OK</x:v>
      </x:c>
      <x:c r="M1053" s="44" t="str">
        <x:v>Источник Actions.Startup Base Ticks</x:v>
      </x:c>
    </x:row>
    <x:row r="1054" ht="36" customHeight="1">
      <x:c r="A1054" s="118" t="n">
        <x:v>1049</x:v>
      </x:c>
      <x:c r="B1054" s="35" t="str">
        <x:v>action</x:v>
      </x:c>
      <x:c r="C1054" s="35" t="str">
        <x:v>gorilla_hammer_fist</x:v>
      </x:c>
      <x:c r="D1054" s="35" t="str">
        <x:v>startup_min_ticks</x:v>
      </x:c>
      <x:c r="E1054" s="38" t="str">
        <x:v>int</x:v>
      </x:c>
      <x:c r="F1054" s="56" t="n">
        <x:f>'Actions'!S23</x:f>
        <x:v>2</x:v>
      </x:c>
      <x:c r="G1054" s="38" t="str"/>
      <x:c r="H1054" s="35" t="str">
        <x:v>Actions</x:v>
      </x:c>
      <x:c r="I1054" s="35" t="str">
        <x:v>S23</x:v>
      </x:c>
      <x:c r="J1054" s="85" t="b">
        <x:v>1</x:v>
      </x:c>
      <x:c r="K1054" s="85" t="b">
        <x:v>1</x:v>
      </x:c>
      <x:c r="L1054" s="56" t="str">
        <x:f>'Actions'!BE23</x:f>
        <x:v>OK</x:v>
      </x:c>
      <x:c r="M1054" s="44" t="str">
        <x:v>Источник Actions.Startup Min Ticks</x:v>
      </x:c>
    </x:row>
    <x:row r="1055" ht="36" customHeight="1">
      <x:c r="A1055" s="118" t="n">
        <x:v>1050</x:v>
      </x:c>
      <x:c r="B1055" s="35" t="str">
        <x:v>action</x:v>
      </x:c>
      <x:c r="C1055" s="35" t="str">
        <x:v>gorilla_hammer_fist</x:v>
      </x:c>
      <x:c r="D1055" s="35" t="str">
        <x:v>startup_max_ticks</x:v>
      </x:c>
      <x:c r="E1055" s="38" t="str">
        <x:v>int</x:v>
      </x:c>
      <x:c r="F1055" s="56" t="n">
        <x:f>'Actions'!T23</x:f>
        <x:v>6</x:v>
      </x:c>
      <x:c r="G1055" s="38" t="str"/>
      <x:c r="H1055" s="35" t="str">
        <x:v>Actions</x:v>
      </x:c>
      <x:c r="I1055" s="35" t="str">
        <x:v>T23</x:v>
      </x:c>
      <x:c r="J1055" s="85" t="b">
        <x:v>1</x:v>
      </x:c>
      <x:c r="K1055" s="85" t="b">
        <x:v>1</x:v>
      </x:c>
      <x:c r="L1055" s="56" t="str">
        <x:f>'Actions'!BE23</x:f>
        <x:v>OK</x:v>
      </x:c>
      <x:c r="M1055" s="44" t="str">
        <x:v>Источник Actions.Startup Max Ticks</x:v>
      </x:c>
    </x:row>
    <x:row r="1056" ht="36" customHeight="1">
      <x:c r="A1056" s="118" t="n">
        <x:v>1051</x:v>
      </x:c>
      <x:c r="B1056" s="35" t="str">
        <x:v>action</x:v>
      </x:c>
      <x:c r="C1056" s="35" t="str">
        <x:v>gorilla_hammer_fist</x:v>
      </x:c>
      <x:c r="D1056" s="35" t="str">
        <x:v>active_ticks</x:v>
      </x:c>
      <x:c r="E1056" s="38" t="str">
        <x:v>int</x:v>
      </x:c>
      <x:c r="F1056" s="56" t="n">
        <x:f>'Actions'!U23</x:f>
        <x:v>1</x:v>
      </x:c>
      <x:c r="G1056" s="38" t="str"/>
      <x:c r="H1056" s="35" t="str">
        <x:v>Actions</x:v>
      </x:c>
      <x:c r="I1056" s="35" t="str">
        <x:v>U23</x:v>
      </x:c>
      <x:c r="J1056" s="85" t="b">
        <x:v>1</x:v>
      </x:c>
      <x:c r="K1056" s="85" t="b">
        <x:v>1</x:v>
      </x:c>
      <x:c r="L1056" s="56" t="str">
        <x:f>'Actions'!BE23</x:f>
        <x:v>OK</x:v>
      </x:c>
      <x:c r="M1056" s="44" t="str">
        <x:v>Источник Actions.Active Ticks</x:v>
      </x:c>
    </x:row>
    <x:row r="1057" ht="36" customHeight="1">
      <x:c r="A1057" s="118" t="n">
        <x:v>1052</x:v>
      </x:c>
      <x:c r="B1057" s="35" t="str">
        <x:v>action</x:v>
      </x:c>
      <x:c r="C1057" s="35" t="str">
        <x:v>gorilla_hammer_fist</x:v>
      </x:c>
      <x:c r="D1057" s="35" t="str">
        <x:v>hit_schedule</x:v>
      </x:c>
      <x:c r="E1057" s="38" t="str">
        <x:v>string</x:v>
      </x:c>
      <x:c r="F1057" s="56" t="str">
        <x:f>'Actions'!V23</x:f>
        <x:v>0</x:v>
      </x:c>
      <x:c r="G1057" s="38" t="str"/>
      <x:c r="H1057" s="35" t="str">
        <x:v>Actions</x:v>
      </x:c>
      <x:c r="I1057" s="35" t="str">
        <x:v>V23</x:v>
      </x:c>
      <x:c r="J1057" s="85" t="b">
        <x:v>1</x:v>
      </x:c>
      <x:c r="K1057" s="85" t="b">
        <x:v>1</x:v>
      </x:c>
      <x:c r="L1057" s="56" t="str">
        <x:f>'Actions'!BE23</x:f>
        <x:v>OK</x:v>
      </x:c>
      <x:c r="M1057" s="44" t="str">
        <x:v>Источник Actions.Hit Schedule</x:v>
      </x:c>
    </x:row>
    <x:row r="1058" ht="36" customHeight="1">
      <x:c r="A1058" s="118" t="n">
        <x:v>1053</x:v>
      </x:c>
      <x:c r="B1058" s="35" t="str">
        <x:v>action</x:v>
      </x:c>
      <x:c r="C1058" s="35" t="str">
        <x:v>gorilla_hammer_fist</x:v>
      </x:c>
      <x:c r="D1058" s="35" t="str">
        <x:v>hit_count</x:v>
      </x:c>
      <x:c r="E1058" s="38" t="str">
        <x:v>int</x:v>
      </x:c>
      <x:c r="F1058" s="56" t="n">
        <x:f>'Actions'!W23</x:f>
        <x:v>1</x:v>
      </x:c>
      <x:c r="G1058" s="38" t="str"/>
      <x:c r="H1058" s="35" t="str">
        <x:v>Actions</x:v>
      </x:c>
      <x:c r="I1058" s="35" t="str">
        <x:v>W23</x:v>
      </x:c>
      <x:c r="J1058" s="85" t="b">
        <x:v>1</x:v>
      </x:c>
      <x:c r="K1058" s="85" t="b">
        <x:v>1</x:v>
      </x:c>
      <x:c r="L1058" s="56" t="str">
        <x:f>'Actions'!BE23</x:f>
        <x:v>OK</x:v>
      </x:c>
      <x:c r="M1058" s="44" t="str">
        <x:v>Источник Actions.Hit Count</x:v>
      </x:c>
    </x:row>
    <x:row r="1059" ht="36" customHeight="1">
      <x:c r="A1059" s="118" t="n">
        <x:v>1054</x:v>
      </x:c>
      <x:c r="B1059" s="35" t="str">
        <x:v>action</x:v>
      </x:c>
      <x:c r="C1059" s="35" t="str">
        <x:v>gorilla_hammer_fist</x:v>
      </x:c>
      <x:c r="D1059" s="35" t="str">
        <x:v>recovery_base_ticks</x:v>
      </x:c>
      <x:c r="E1059" s="38" t="str">
        <x:v>int</x:v>
      </x:c>
      <x:c r="F1059" s="56" t="n">
        <x:f>'Actions'!X23</x:f>
        <x:v>6</x:v>
      </x:c>
      <x:c r="G1059" s="38" t="str"/>
      <x:c r="H1059" s="35" t="str">
        <x:v>Actions</x:v>
      </x:c>
      <x:c r="I1059" s="35" t="str">
        <x:v>X23</x:v>
      </x:c>
      <x:c r="J1059" s="85" t="b">
        <x:v>1</x:v>
      </x:c>
      <x:c r="K1059" s="85" t="b">
        <x:v>1</x:v>
      </x:c>
      <x:c r="L1059" s="56" t="str">
        <x:f>'Actions'!BE23</x:f>
        <x:v>OK</x:v>
      </x:c>
      <x:c r="M1059" s="44" t="str">
        <x:v>Источник Actions.Recovery Base Ticks</x:v>
      </x:c>
    </x:row>
    <x:row r="1060" ht="36" customHeight="1">
      <x:c r="A1060" s="118" t="n">
        <x:v>1055</x:v>
      </x:c>
      <x:c r="B1060" s="35" t="str">
        <x:v>action</x:v>
      </x:c>
      <x:c r="C1060" s="35" t="str">
        <x:v>gorilla_hammer_fist</x:v>
      </x:c>
      <x:c r="D1060" s="35" t="str">
        <x:v>recovery_min_ticks</x:v>
      </x:c>
      <x:c r="E1060" s="38" t="str">
        <x:v>int</x:v>
      </x:c>
      <x:c r="F1060" s="56" t="n">
        <x:f>'Actions'!Y23</x:f>
        <x:v>4</x:v>
      </x:c>
      <x:c r="G1060" s="38" t="str"/>
      <x:c r="H1060" s="35" t="str">
        <x:v>Actions</x:v>
      </x:c>
      <x:c r="I1060" s="35" t="str">
        <x:v>Y23</x:v>
      </x:c>
      <x:c r="J1060" s="85" t="b">
        <x:v>1</x:v>
      </x:c>
      <x:c r="K1060" s="85" t="b">
        <x:v>1</x:v>
      </x:c>
      <x:c r="L1060" s="56" t="str">
        <x:f>'Actions'!BE23</x:f>
        <x:v>OK</x:v>
      </x:c>
      <x:c r="M1060" s="44" t="str">
        <x:v>Источник Actions.Recovery Min Ticks</x:v>
      </x:c>
    </x:row>
    <x:row r="1061" ht="36" customHeight="1">
      <x:c r="A1061" s="118" t="n">
        <x:v>1056</x:v>
      </x:c>
      <x:c r="B1061" s="35" t="str">
        <x:v>action</x:v>
      </x:c>
      <x:c r="C1061" s="35" t="str">
        <x:v>gorilla_hammer_fist</x:v>
      </x:c>
      <x:c r="D1061" s="35" t="str">
        <x:v>recovery_max_ticks</x:v>
      </x:c>
      <x:c r="E1061" s="38" t="str">
        <x:v>int</x:v>
      </x:c>
      <x:c r="F1061" s="56" t="n">
        <x:f>'Actions'!Z23</x:f>
        <x:v>9</x:v>
      </x:c>
      <x:c r="G1061" s="38" t="str"/>
      <x:c r="H1061" s="35" t="str">
        <x:v>Actions</x:v>
      </x:c>
      <x:c r="I1061" s="35" t="str">
        <x:v>Z23</x:v>
      </x:c>
      <x:c r="J1061" s="85" t="b">
        <x:v>1</x:v>
      </x:c>
      <x:c r="K1061" s="85" t="b">
        <x:v>1</x:v>
      </x:c>
      <x:c r="L1061" s="56" t="str">
        <x:f>'Actions'!BE23</x:f>
        <x:v>OK</x:v>
      </x:c>
      <x:c r="M1061" s="44" t="str">
        <x:v>Источник Actions.Recovery Max Ticks</x:v>
      </x:c>
    </x:row>
    <x:row r="1062" ht="36" customHeight="1">
      <x:c r="A1062" s="118" t="n">
        <x:v>1057</x:v>
      </x:c>
      <x:c r="B1062" s="35" t="str">
        <x:v>action</x:v>
      </x:c>
      <x:c r="C1062" s="35" t="str">
        <x:v>gorilla_hammer_fist</x:v>
      </x:c>
      <x:c r="D1062" s="35" t="str">
        <x:v>cooldown_ticks</x:v>
      </x:c>
      <x:c r="E1062" s="38" t="str">
        <x:v>int</x:v>
      </x:c>
      <x:c r="F1062" s="56" t="n">
        <x:f>'Actions'!AA23</x:f>
        <x:v>0</x:v>
      </x:c>
      <x:c r="G1062" s="38" t="str"/>
      <x:c r="H1062" s="35" t="str">
        <x:v>Actions</x:v>
      </x:c>
      <x:c r="I1062" s="35" t="str">
        <x:v>AA23</x:v>
      </x:c>
      <x:c r="J1062" s="85" t="b">
        <x:v>1</x:v>
      </x:c>
      <x:c r="K1062" s="85" t="b">
        <x:v>1</x:v>
      </x:c>
      <x:c r="L1062" s="56" t="str">
        <x:f>'Actions'!BE23</x:f>
        <x:v>OK</x:v>
      </x:c>
      <x:c r="M1062" s="44" t="str">
        <x:v>Источник Actions.Cooldown Ticks</x:v>
      </x:c>
    </x:row>
    <x:row r="1063" ht="36" customHeight="1">
      <x:c r="A1063" s="118" t="n">
        <x:v>1058</x:v>
      </x:c>
      <x:c r="B1063" s="35" t="str">
        <x:v>action</x:v>
      </x:c>
      <x:c r="C1063" s="35" t="str">
        <x:v>gorilla_hammer_fist</x:v>
      </x:c>
      <x:c r="D1063" s="35" t="str">
        <x:v>action_priority</x:v>
      </x:c>
      <x:c r="E1063" s="38" t="str">
        <x:v>int</x:v>
      </x:c>
      <x:c r="F1063" s="56" t="n">
        <x:f>'Actions'!AB23</x:f>
        <x:v>28</x:v>
      </x:c>
      <x:c r="G1063" s="38" t="str"/>
      <x:c r="H1063" s="35" t="str">
        <x:v>Actions</x:v>
      </x:c>
      <x:c r="I1063" s="35" t="str">
        <x:v>AB23</x:v>
      </x:c>
      <x:c r="J1063" s="85" t="b">
        <x:v>1</x:v>
      </x:c>
      <x:c r="K1063" s="85" t="b">
        <x:v>1</x:v>
      </x:c>
      <x:c r="L1063" s="56" t="str">
        <x:f>'Actions'!BE23</x:f>
        <x:v>OK</x:v>
      </x:c>
      <x:c r="M1063" s="44" t="str">
        <x:v>Источник Actions.Action Priority</x:v>
      </x:c>
    </x:row>
    <x:row r="1064" ht="36" customHeight="1">
      <x:c r="A1064" s="118" t="n">
        <x:v>1059</x:v>
      </x:c>
      <x:c r="B1064" s="35" t="str">
        <x:v>action</x:v>
      </x:c>
      <x:c r="C1064" s="35" t="str">
        <x:v>gorilla_hammer_fist</x:v>
      </x:c>
      <x:c r="D1064" s="35" t="str">
        <x:v>clash_priority</x:v>
      </x:c>
      <x:c r="E1064" s="38" t="str">
        <x:v>int</x:v>
      </x:c>
      <x:c r="F1064" s="56" t="n">
        <x:f>'Actions'!AC23</x:f>
        <x:v>30</x:v>
      </x:c>
      <x:c r="G1064" s="38" t="str"/>
      <x:c r="H1064" s="35" t="str">
        <x:v>Actions</x:v>
      </x:c>
      <x:c r="I1064" s="35" t="str">
        <x:v>AC23</x:v>
      </x:c>
      <x:c r="J1064" s="85" t="b">
        <x:v>1</x:v>
      </x:c>
      <x:c r="K1064" s="85" t="b">
        <x:v>1</x:v>
      </x:c>
      <x:c r="L1064" s="56" t="str">
        <x:f>'Actions'!BE23</x:f>
        <x:v>OK</x:v>
      </x:c>
      <x:c r="M1064" s="44" t="str">
        <x:v>Источник Actions.Clash Priority</x:v>
      </x:c>
    </x:row>
    <x:row r="1065" ht="36" customHeight="1">
      <x:c r="A1065" s="118" t="n">
        <x:v>1060</x:v>
      </x:c>
      <x:c r="B1065" s="35" t="str">
        <x:v>action</x:v>
      </x:c>
      <x:c r="C1065" s="35" t="str">
        <x:v>gorilla_hammer_fist</x:v>
      </x:c>
      <x:c r="D1065" s="35" t="str">
        <x:v>grab_priority</x:v>
      </x:c>
      <x:c r="E1065" s="38" t="str">
        <x:v>int</x:v>
      </x:c>
      <x:c r="F1065" s="56" t="n">
        <x:f>'Actions'!AD23</x:f>
        <x:v>0</x:v>
      </x:c>
      <x:c r="G1065" s="38" t="str"/>
      <x:c r="H1065" s="35" t="str">
        <x:v>Actions</x:v>
      </x:c>
      <x:c r="I1065" s="35" t="str">
        <x:v>AD23</x:v>
      </x:c>
      <x:c r="J1065" s="85" t="b">
        <x:v>1</x:v>
      </x:c>
      <x:c r="K1065" s="85" t="b">
        <x:v>1</x:v>
      </x:c>
      <x:c r="L1065" s="56" t="str">
        <x:f>'Actions'!BE23</x:f>
        <x:v>OK</x:v>
      </x:c>
      <x:c r="M1065" s="44" t="str">
        <x:v>Источник Actions.Grab Priority</x:v>
      </x:c>
    </x:row>
    <x:row r="1066" ht="36" customHeight="1">
      <x:c r="A1066" s="118" t="n">
        <x:v>1061</x:v>
      </x:c>
      <x:c r="B1066" s="35" t="str">
        <x:v>action</x:v>
      </x:c>
      <x:c r="C1066" s="35" t="str">
        <x:v>gorilla_hammer_fist</x:v>
      </x:c>
      <x:c r="D1066" s="35" t="str">
        <x:v>resolution_priority</x:v>
      </x:c>
      <x:c r="E1066" s="38" t="str">
        <x:v>int</x:v>
      </x:c>
      <x:c r="F1066" s="56" t="n">
        <x:f>'Actions'!AE23</x:f>
        <x:v>28</x:v>
      </x:c>
      <x:c r="G1066" s="38" t="str"/>
      <x:c r="H1066" s="35" t="str">
        <x:v>Actions</x:v>
      </x:c>
      <x:c r="I1066" s="35" t="str">
        <x:v>AE23</x:v>
      </x:c>
      <x:c r="J1066" s="85" t="b">
        <x:v>1</x:v>
      </x:c>
      <x:c r="K1066" s="85" t="b">
        <x:v>1</x:v>
      </x:c>
      <x:c r="L1066" s="56" t="str">
        <x:f>'Actions'!BE23</x:f>
        <x:v>OK</x:v>
      </x:c>
      <x:c r="M1066" s="44" t="str">
        <x:v>Источник Actions.Resolution Priority</x:v>
      </x:c>
    </x:row>
    <x:row r="1067" ht="36" customHeight="1">
      <x:c r="A1067" s="118" t="n">
        <x:v>1062</x:v>
      </x:c>
      <x:c r="B1067" s="35" t="str">
        <x:v>action</x:v>
      </x:c>
      <x:c r="C1067" s="35" t="str">
        <x:v>gorilla_hammer_fist</x:v>
      </x:c>
      <x:c r="D1067" s="35" t="str">
        <x:v>interrupt_profile</x:v>
      </x:c>
      <x:c r="E1067" s="38" t="str">
        <x:v>string</x:v>
      </x:c>
      <x:c r="F1067" s="56" t="str">
        <x:f>'Actions'!AF23</x:f>
        <x:v>Committed</x:v>
      </x:c>
      <x:c r="G1067" s="38" t="str"/>
      <x:c r="H1067" s="35" t="str">
        <x:v>Actions</x:v>
      </x:c>
      <x:c r="I1067" s="35" t="str">
        <x:v>AF23</x:v>
      </x:c>
      <x:c r="J1067" s="85" t="b">
        <x:v>1</x:v>
      </x:c>
      <x:c r="K1067" s="85" t="b">
        <x:v>1</x:v>
      </x:c>
      <x:c r="L1067" s="56" t="str">
        <x:f>'Actions'!BE23</x:f>
        <x:v>OK</x:v>
      </x:c>
      <x:c r="M1067" s="44" t="str">
        <x:v>Источник Actions.Interrupt Profile</x:v>
      </x:c>
    </x:row>
    <x:row r="1068" ht="36" customHeight="1">
      <x:c r="A1068" s="118" t="n">
        <x:v>1063</x:v>
      </x:c>
      <x:c r="B1068" s="35" t="str">
        <x:v>action</x:v>
      </x:c>
      <x:c r="C1068" s="35" t="str">
        <x:v>gorilla_hammer_fist</x:v>
      </x:c>
      <x:c r="D1068" s="35" t="str">
        <x:v>blockable</x:v>
      </x:c>
      <x:c r="E1068" s="38" t="str">
        <x:v>bool</x:v>
      </x:c>
      <x:c r="F1068" s="56" t="b">
        <x:f>'Actions'!AG23</x:f>
        <x:v>1</x:v>
      </x:c>
      <x:c r="G1068" s="38" t="str"/>
      <x:c r="H1068" s="35" t="str">
        <x:v>Actions</x:v>
      </x:c>
      <x:c r="I1068" s="35" t="str">
        <x:v>AG23</x:v>
      </x:c>
      <x:c r="J1068" s="85" t="b">
        <x:v>1</x:v>
      </x:c>
      <x:c r="K1068" s="85" t="b">
        <x:v>1</x:v>
      </x:c>
      <x:c r="L1068" s="56" t="str">
        <x:f>'Actions'!BE23</x:f>
        <x:v>OK</x:v>
      </x:c>
      <x:c r="M1068" s="44" t="str">
        <x:v>Источник Actions.Blockable</x:v>
      </x:c>
    </x:row>
    <x:row r="1069" ht="36" customHeight="1">
      <x:c r="A1069" s="118" t="n">
        <x:v>1064</x:v>
      </x:c>
      <x:c r="B1069" s="35" t="str">
        <x:v>action</x:v>
      </x:c>
      <x:c r="C1069" s="35" t="str">
        <x:v>gorilla_hammer_fist</x:v>
      </x:c>
      <x:c r="D1069" s="35" t="str">
        <x:v>dodgeable</x:v>
      </x:c>
      <x:c r="E1069" s="38" t="str">
        <x:v>bool</x:v>
      </x:c>
      <x:c r="F1069" s="56" t="b">
        <x:f>'Actions'!AH23</x:f>
        <x:v>1</x:v>
      </x:c>
      <x:c r="G1069" s="38" t="str"/>
      <x:c r="H1069" s="35" t="str">
        <x:v>Actions</x:v>
      </x:c>
      <x:c r="I1069" s="35" t="str">
        <x:v>AH23</x:v>
      </x:c>
      <x:c r="J1069" s="85" t="b">
        <x:v>1</x:v>
      </x:c>
      <x:c r="K1069" s="85" t="b">
        <x:v>1</x:v>
      </x:c>
      <x:c r="L1069" s="56" t="str">
        <x:f>'Actions'!BE23</x:f>
        <x:v>OK</x:v>
      </x:c>
      <x:c r="M1069" s="44" t="str">
        <x:v>Источник Actions.Dodgeable</x:v>
      </x:c>
    </x:row>
    <x:row r="1070" ht="36" customHeight="1">
      <x:c r="A1070" s="118" t="n">
        <x:v>1065</x:v>
      </x:c>
      <x:c r="B1070" s="35" t="str">
        <x:v>action</x:v>
      </x:c>
      <x:c r="C1070" s="35" t="str">
        <x:v>gorilla_hammer_fist</x:v>
      </x:c>
      <x:c r="D1070" s="35" t="str">
        <x:v>undodgeable</x:v>
      </x:c>
      <x:c r="E1070" s="38" t="str">
        <x:v>bool</x:v>
      </x:c>
      <x:c r="F1070" s="56" t="b">
        <x:f>'Actions'!AI23</x:f>
        <x:v>0</x:v>
      </x:c>
      <x:c r="G1070" s="38" t="str"/>
      <x:c r="H1070" s="35" t="str">
        <x:v>Actions</x:v>
      </x:c>
      <x:c r="I1070" s="35" t="str">
        <x:v>AI23</x:v>
      </x:c>
      <x:c r="J1070" s="85" t="b">
        <x:v>1</x:v>
      </x:c>
      <x:c r="K1070" s="85" t="b">
        <x:v>1</x:v>
      </x:c>
      <x:c r="L1070" s="56" t="str">
        <x:f>'Actions'!BE23</x:f>
        <x:v>OK</x:v>
      </x:c>
      <x:c r="M1070" s="44" t="str">
        <x:v>Источник Actions.Undodgeable</x:v>
      </x:c>
    </x:row>
    <x:row r="1071" ht="36" customHeight="1">
      <x:c r="A1071" s="118" t="n">
        <x:v>1066</x:v>
      </x:c>
      <x:c r="B1071" s="35" t="str">
        <x:v>action</x:v>
      </x:c>
      <x:c r="C1071" s="35" t="str">
        <x:v>gorilla_hammer_fist</x:v>
      </x:c>
      <x:c r="D1071" s="35" t="str">
        <x:v>wall_impact</x:v>
      </x:c>
      <x:c r="E1071" s="38" t="str">
        <x:v>bool</x:v>
      </x:c>
      <x:c r="F1071" s="56" t="b">
        <x:f>'Actions'!AJ23</x:f>
        <x:v>0</x:v>
      </x:c>
      <x:c r="G1071" s="38" t="str"/>
      <x:c r="H1071" s="35" t="str">
        <x:v>Actions</x:v>
      </x:c>
      <x:c r="I1071" s="35" t="str">
        <x:v>AJ23</x:v>
      </x:c>
      <x:c r="J1071" s="85" t="b">
        <x:v>1</x:v>
      </x:c>
      <x:c r="K1071" s="85" t="b">
        <x:v>1</x:v>
      </x:c>
      <x:c r="L1071" s="56" t="str">
        <x:f>'Actions'!BE23</x:f>
        <x:v>OK</x:v>
      </x:c>
      <x:c r="M1071" s="44" t="str">
        <x:v>Источник Actions.Wall Impact</x:v>
      </x:c>
    </x:row>
    <x:row r="1072" ht="36" customHeight="1">
      <x:c r="A1072" s="118" t="n">
        <x:v>1067</x:v>
      </x:c>
      <x:c r="B1072" s="35" t="str">
        <x:v>action</x:v>
      </x:c>
      <x:c r="C1072" s="35" t="str">
        <x:v>gorilla_hammer_fist</x:v>
      </x:c>
      <x:c r="D1072" s="35" t="str">
        <x:v>track_target</x:v>
      </x:c>
      <x:c r="E1072" s="38" t="str">
        <x:v>bool</x:v>
      </x:c>
      <x:c r="F1072" s="56" t="b">
        <x:f>'Actions'!AK23</x:f>
        <x:v>0</x:v>
      </x:c>
      <x:c r="G1072" s="38" t="str"/>
      <x:c r="H1072" s="35" t="str">
        <x:v>Actions</x:v>
      </x:c>
      <x:c r="I1072" s="35" t="str">
        <x:v>AK23</x:v>
      </x:c>
      <x:c r="J1072" s="85" t="b">
        <x:v>1</x:v>
      </x:c>
      <x:c r="K1072" s="85" t="b">
        <x:v>1</x:v>
      </x:c>
      <x:c r="L1072" s="56" t="str">
        <x:f>'Actions'!BE23</x:f>
        <x:v>OK</x:v>
      </x:c>
      <x:c r="M1072" s="44" t="str">
        <x:v>Источник Actions.Track Target</x:v>
      </x:c>
    </x:row>
    <x:row r="1073" ht="36" customHeight="1">
      <x:c r="A1073" s="118" t="n">
        <x:v>1068</x:v>
      </x:c>
      <x:c r="B1073" s="35" t="str">
        <x:v>action</x:v>
      </x:c>
      <x:c r="C1073" s="35" t="str">
        <x:v>gorilla_hammer_fist</x:v>
      </x:c>
      <x:c r="D1073" s="35" t="str">
        <x:v>block_base_chance_fp</x:v>
      </x:c>
      <x:c r="E1073" s="38" t="str">
        <x:v>int</x:v>
      </x:c>
      <x:c r="F1073" s="56" t="n">
        <x:f>'Actions'!AL23</x:f>
        <x:v>0</x:v>
      </x:c>
      <x:c r="G1073" s="38" t="str"/>
      <x:c r="H1073" s="35" t="str">
        <x:v>Actions</x:v>
      </x:c>
      <x:c r="I1073" s="35" t="str">
        <x:v>AL23</x:v>
      </x:c>
      <x:c r="J1073" s="85" t="b">
        <x:v>1</x:v>
      </x:c>
      <x:c r="K1073" s="85" t="b">
        <x:v>1</x:v>
      </x:c>
      <x:c r="L1073" s="56" t="str">
        <x:f>'Actions'!BE23</x:f>
        <x:v>OK</x:v>
      </x:c>
      <x:c r="M1073" s="44" t="str">
        <x:v>Источник Actions.Block Base Chance FP</x:v>
      </x:c>
    </x:row>
    <x:row r="1074" ht="36" customHeight="1">
      <x:c r="A1074" s="118" t="n">
        <x:v>1069</x:v>
      </x:c>
      <x:c r="B1074" s="35" t="str">
        <x:v>action</x:v>
      </x:c>
      <x:c r="C1074" s="35" t="str">
        <x:v>gorilla_hammer_fist</x:v>
      </x:c>
      <x:c r="D1074" s="35" t="str">
        <x:v>block_reduction_fp</x:v>
      </x:c>
      <x:c r="E1074" s="38" t="str">
        <x:v>int</x:v>
      </x:c>
      <x:c r="F1074" s="56" t="n">
        <x:f>'Actions'!AM23</x:f>
        <x:v>0</x:v>
      </x:c>
      <x:c r="G1074" s="38" t="str"/>
      <x:c r="H1074" s="35" t="str">
        <x:v>Actions</x:v>
      </x:c>
      <x:c r="I1074" s="35" t="str">
        <x:v>AM23</x:v>
      </x:c>
      <x:c r="J1074" s="85" t="b">
        <x:v>1</x:v>
      </x:c>
      <x:c r="K1074" s="85" t="b">
        <x:v>1</x:v>
      </x:c>
      <x:c r="L1074" s="56" t="str">
        <x:f>'Actions'!BE23</x:f>
        <x:v>OK</x:v>
      </x:c>
      <x:c r="M1074" s="44" t="str">
        <x:v>Источник Actions.Block Reduction FP</x:v>
      </x:c>
    </x:row>
    <x:row r="1075" ht="36" customHeight="1">
      <x:c r="A1075" s="118" t="n">
        <x:v>1070</x:v>
      </x:c>
      <x:c r="B1075" s="35" t="str">
        <x:v>action</x:v>
      </x:c>
      <x:c r="C1075" s="35" t="str">
        <x:v>gorilla_hammer_fist</x:v>
      </x:c>
      <x:c r="D1075" s="35" t="str">
        <x:v>dodge_base_chance_fp</x:v>
      </x:c>
      <x:c r="E1075" s="38" t="str">
        <x:v>int</x:v>
      </x:c>
      <x:c r="F1075" s="56" t="n">
        <x:f>'Actions'!AN23</x:f>
        <x:v>0</x:v>
      </x:c>
      <x:c r="G1075" s="38" t="str"/>
      <x:c r="H1075" s="35" t="str">
        <x:v>Actions</x:v>
      </x:c>
      <x:c r="I1075" s="35" t="str">
        <x:v>AN23</x:v>
      </x:c>
      <x:c r="J1075" s="85" t="b">
        <x:v>1</x:v>
      </x:c>
      <x:c r="K1075" s="85" t="b">
        <x:v>1</x:v>
      </x:c>
      <x:c r="L1075" s="56" t="str">
        <x:f>'Actions'!BE23</x:f>
        <x:v>OK</x:v>
      </x:c>
      <x:c r="M1075" s="44" t="str">
        <x:v>Источник Actions.Dodge Base Chance FP</x:v>
      </x:c>
    </x:row>
    <x:row r="1076" ht="36" customHeight="1">
      <x:c r="A1076" s="118" t="n">
        <x:v>1071</x:v>
      </x:c>
      <x:c r="B1076" s="35" t="str">
        <x:v>action</x:v>
      </x:c>
      <x:c r="C1076" s="35" t="str">
        <x:v>gorilla_hammer_fist</x:v>
      </x:c>
      <x:c r="D1076" s="35" t="str">
        <x:v>movement_mode</x:v>
      </x:c>
      <x:c r="E1076" s="38" t="str">
        <x:v>string</x:v>
      </x:c>
      <x:c r="F1076" s="56" t="str">
        <x:f>'Actions'!AO23</x:f>
        <x:v>None</x:v>
      </x:c>
      <x:c r="G1076" s="38" t="str"/>
      <x:c r="H1076" s="35" t="str">
        <x:v>Actions</x:v>
      </x:c>
      <x:c r="I1076" s="35" t="str">
        <x:v>AO23</x:v>
      </x:c>
      <x:c r="J1076" s="85" t="b">
        <x:v>1</x:v>
      </x:c>
      <x:c r="K1076" s="85" t="b">
        <x:v>1</x:v>
      </x:c>
      <x:c r="L1076" s="56" t="str">
        <x:f>'Actions'!BE23</x:f>
        <x:v>OK</x:v>
      </x:c>
      <x:c r="M1076" s="44" t="str">
        <x:v>Источник Actions.Movement Mode</x:v>
      </x:c>
    </x:row>
    <x:row r="1077" ht="36" customHeight="1">
      <x:c r="A1077" s="118" t="n">
        <x:v>1072</x:v>
      </x:c>
      <x:c r="B1077" s="35" t="str">
        <x:v>action</x:v>
      </x:c>
      <x:c r="C1077" s="35" t="str">
        <x:v>gorilla_hammer_fist</x:v>
      </x:c>
      <x:c r="D1077" s="35" t="str">
        <x:v>move_distance</x:v>
      </x:c>
      <x:c r="E1077" s="38" t="str">
        <x:v>int</x:v>
      </x:c>
      <x:c r="F1077" s="56" t="n">
        <x:f>'Actions'!AP23</x:f>
        <x:v>0</x:v>
      </x:c>
      <x:c r="G1077" s="38" t="str"/>
      <x:c r="H1077" s="35" t="str">
        <x:v>Actions</x:v>
      </x:c>
      <x:c r="I1077" s="35" t="str">
        <x:v>AP23</x:v>
      </x:c>
      <x:c r="J1077" s="85" t="b">
        <x:v>1</x:v>
      </x:c>
      <x:c r="K1077" s="85" t="b">
        <x:v>1</x:v>
      </x:c>
      <x:c r="L1077" s="56" t="str">
        <x:f>'Actions'!BE23</x:f>
        <x:v>OK</x:v>
      </x:c>
      <x:c r="M1077" s="44" t="str">
        <x:v>Источник Actions.Move Distance</x:v>
      </x:c>
    </x:row>
    <x:row r="1078" ht="36" customHeight="1">
      <x:c r="A1078" s="118" t="n">
        <x:v>1073</x:v>
      </x:c>
      <x:c r="B1078" s="35" t="str">
        <x:v>action</x:v>
      </x:c>
      <x:c r="C1078" s="35" t="str">
        <x:v>gorilla_hammer_fist</x:v>
      </x:c>
      <x:c r="D1078" s="35" t="str">
        <x:v>base_stagger</x:v>
      </x:c>
      <x:c r="E1078" s="38" t="str">
        <x:v>int</x:v>
      </x:c>
      <x:c r="F1078" s="56" t="n">
        <x:f>'Actions'!AQ23</x:f>
        <x:v>35</x:v>
      </x:c>
      <x:c r="G1078" s="38" t="str"/>
      <x:c r="H1078" s="35" t="str">
        <x:v>Actions</x:v>
      </x:c>
      <x:c r="I1078" s="35" t="str">
        <x:v>AQ23</x:v>
      </x:c>
      <x:c r="J1078" s="85" t="b">
        <x:v>1</x:v>
      </x:c>
      <x:c r="K1078" s="85" t="b">
        <x:v>1</x:v>
      </x:c>
      <x:c r="L1078" s="56" t="str">
        <x:f>'Actions'!BE23</x:f>
        <x:v>OK</x:v>
      </x:c>
      <x:c r="M1078" s="44" t="str">
        <x:v>Источник Actions.Base Stagger</x:v>
      </x:c>
    </x:row>
    <x:row r="1079" ht="36" customHeight="1">
      <x:c r="A1079" s="118" t="n">
        <x:v>1074</x:v>
      </x:c>
      <x:c r="B1079" s="35" t="str">
        <x:v>action</x:v>
      </x:c>
      <x:c r="C1079" s="35" t="str">
        <x:v>gorilla_hammer_fist</x:v>
      </x:c>
      <x:c r="D1079" s="35" t="str">
        <x:v>base_stun_ticks</x:v>
      </x:c>
      <x:c r="E1079" s="38" t="str">
        <x:v>int</x:v>
      </x:c>
      <x:c r="F1079" s="56" t="n">
        <x:f>'Actions'!AR23</x:f>
        <x:v>0</x:v>
      </x:c>
      <x:c r="G1079" s="38" t="str"/>
      <x:c r="H1079" s="35" t="str">
        <x:v>Actions</x:v>
      </x:c>
      <x:c r="I1079" s="35" t="str">
        <x:v>AR23</x:v>
      </x:c>
      <x:c r="J1079" s="85" t="b">
        <x:v>1</x:v>
      </x:c>
      <x:c r="K1079" s="85" t="b">
        <x:v>1</x:v>
      </x:c>
      <x:c r="L1079" s="56" t="str">
        <x:f>'Actions'!BE23</x:f>
        <x:v>OK</x:v>
      </x:c>
      <x:c r="M1079" s="44" t="str">
        <x:v>Источник Actions.Base Stun Ticks</x:v>
      </x:c>
    </x:row>
    <x:row r="1080" ht="36" customHeight="1">
      <x:c r="A1080" s="118" t="n">
        <x:v>1075</x:v>
      </x:c>
      <x:c r="B1080" s="35" t="str">
        <x:v>action</x:v>
      </x:c>
      <x:c r="C1080" s="35" t="str">
        <x:v>gorilla_hammer_fist</x:v>
      </x:c>
      <x:c r="D1080" s="35" t="str">
        <x:v>base_knockback</x:v>
      </x:c>
      <x:c r="E1080" s="38" t="str">
        <x:v>int</x:v>
      </x:c>
      <x:c r="F1080" s="56" t="n">
        <x:f>'Actions'!AS23</x:f>
        <x:v>0</x:v>
      </x:c>
      <x:c r="G1080" s="38" t="str"/>
      <x:c r="H1080" s="35" t="str">
        <x:v>Actions</x:v>
      </x:c>
      <x:c r="I1080" s="35" t="str">
        <x:v>AS23</x:v>
      </x:c>
      <x:c r="J1080" s="85" t="b">
        <x:v>1</x:v>
      </x:c>
      <x:c r="K1080" s="85" t="b">
        <x:v>1</x:v>
      </x:c>
      <x:c r="L1080" s="56" t="str">
        <x:f>'Actions'!BE23</x:f>
        <x:v>OK</x:v>
      </x:c>
      <x:c r="M1080" s="44" t="str">
        <x:v>Источник Actions.Base Knockback</x:v>
      </x:c>
    </x:row>
    <x:row r="1081" ht="36" customHeight="1">
      <x:c r="A1081" s="118" t="n">
        <x:v>1076</x:v>
      </x:c>
      <x:c r="B1081" s="35" t="str">
        <x:v>action</x:v>
      </x:c>
      <x:c r="C1081" s="35" t="str">
        <x:v>gorilla_hammer_fist</x:v>
      </x:c>
      <x:c r="D1081" s="35" t="str">
        <x:v>knockback_min</x:v>
      </x:c>
      <x:c r="E1081" s="38" t="str">
        <x:v>int</x:v>
      </x:c>
      <x:c r="F1081" s="56" t="n">
        <x:f>'Actions'!AT23</x:f>
        <x:v>0</x:v>
      </x:c>
      <x:c r="G1081" s="38" t="str"/>
      <x:c r="H1081" s="35" t="str">
        <x:v>Actions</x:v>
      </x:c>
      <x:c r="I1081" s="35" t="str">
        <x:v>AT23</x:v>
      </x:c>
      <x:c r="J1081" s="85" t="b">
        <x:v>1</x:v>
      </x:c>
      <x:c r="K1081" s="85" t="b">
        <x:v>1</x:v>
      </x:c>
      <x:c r="L1081" s="56" t="str">
        <x:f>'Actions'!BE23</x:f>
        <x:v>OK</x:v>
      </x:c>
      <x:c r="M1081" s="44" t="str">
        <x:v>Источник Actions.Knockback Min</x:v>
      </x:c>
    </x:row>
    <x:row r="1082" ht="36" customHeight="1">
      <x:c r="A1082" s="118" t="n">
        <x:v>1077</x:v>
      </x:c>
      <x:c r="B1082" s="35" t="str">
        <x:v>action</x:v>
      </x:c>
      <x:c r="C1082" s="35" t="str">
        <x:v>gorilla_hammer_fist</x:v>
      </x:c>
      <x:c r="D1082" s="35" t="str">
        <x:v>knockback_max</x:v>
      </x:c>
      <x:c r="E1082" s="38" t="str">
        <x:v>int</x:v>
      </x:c>
      <x:c r="F1082" s="56" t="n">
        <x:f>'Actions'!AU23</x:f>
        <x:v>0</x:v>
      </x:c>
      <x:c r="G1082" s="38" t="str"/>
      <x:c r="H1082" s="35" t="str">
        <x:v>Actions</x:v>
      </x:c>
      <x:c r="I1082" s="35" t="str">
        <x:v>AU23</x:v>
      </x:c>
      <x:c r="J1082" s="85" t="b">
        <x:v>1</x:v>
      </x:c>
      <x:c r="K1082" s="85" t="b">
        <x:v>1</x:v>
      </x:c>
      <x:c r="L1082" s="56" t="str">
        <x:f>'Actions'!BE23</x:f>
        <x:v>OK</x:v>
      </x:c>
      <x:c r="M1082" s="44" t="str">
        <x:v>Источник Actions.Knockback Max</x:v>
      </x:c>
    </x:row>
    <x:row r="1083" ht="36" customHeight="1">
      <x:c r="A1083" s="118" t="n">
        <x:v>1078</x:v>
      </x:c>
      <x:c r="B1083" s="35" t="str">
        <x:v>action</x:v>
      </x:c>
      <x:c r="C1083" s="35" t="str">
        <x:v>gorilla_hammer_fist</x:v>
      </x:c>
      <x:c r="D1083" s="35" t="str">
        <x:v>wall_damage_per_unit_fp</x:v>
      </x:c>
      <x:c r="E1083" s="38" t="str">
        <x:v>int</x:v>
      </x:c>
      <x:c r="F1083" s="56" t="n">
        <x:f>'Actions'!AV23</x:f>
        <x:v>0</x:v>
      </x:c>
      <x:c r="G1083" s="38" t="str"/>
      <x:c r="H1083" s="35" t="str">
        <x:v>Actions</x:v>
      </x:c>
      <x:c r="I1083" s="35" t="str">
        <x:v>AV23</x:v>
      </x:c>
      <x:c r="J1083" s="85" t="b">
        <x:v>1</x:v>
      </x:c>
      <x:c r="K1083" s="85" t="b">
        <x:v>1</x:v>
      </x:c>
      <x:c r="L1083" s="56" t="str">
        <x:f>'Actions'!BE23</x:f>
        <x:v>OK</x:v>
      </x:c>
      <x:c r="M1083" s="44" t="str">
        <x:v>Источник Actions.Wall Damage / Unit FP</x:v>
      </x:c>
    </x:row>
    <x:row r="1084" ht="36" customHeight="1">
      <x:c r="A1084" s="118" t="n">
        <x:v>1079</x:v>
      </x:c>
      <x:c r="B1084" s="35" t="str">
        <x:v>action</x:v>
      </x:c>
      <x:c r="C1084" s="35" t="str">
        <x:v>gorilla_hammer_fist</x:v>
      </x:c>
      <x:c r="D1084" s="35" t="str">
        <x:v>wall_damage_min</x:v>
      </x:c>
      <x:c r="E1084" s="38" t="str">
        <x:v>int</x:v>
      </x:c>
      <x:c r="F1084" s="56" t="n">
        <x:f>'Actions'!AW23</x:f>
        <x:v>0</x:v>
      </x:c>
      <x:c r="G1084" s="38" t="str"/>
      <x:c r="H1084" s="35" t="str">
        <x:v>Actions</x:v>
      </x:c>
      <x:c r="I1084" s="35" t="str">
        <x:v>AW23</x:v>
      </x:c>
      <x:c r="J1084" s="85" t="b">
        <x:v>1</x:v>
      </x:c>
      <x:c r="K1084" s="85" t="b">
        <x:v>1</x:v>
      </x:c>
      <x:c r="L1084" s="56" t="str">
        <x:f>'Actions'!BE23</x:f>
        <x:v>OK</x:v>
      </x:c>
      <x:c r="M1084" s="44" t="str">
        <x:v>Источник Actions.Wall Damage Min</x:v>
      </x:c>
    </x:row>
    <x:row r="1085" ht="36" customHeight="1">
      <x:c r="A1085" s="118" t="n">
        <x:v>1080</x:v>
      </x:c>
      <x:c r="B1085" s="35" t="str">
        <x:v>action</x:v>
      </x:c>
      <x:c r="C1085" s="35" t="str">
        <x:v>gorilla_hammer_fist</x:v>
      </x:c>
      <x:c r="D1085" s="35" t="str">
        <x:v>wall_damage_max</x:v>
      </x:c>
      <x:c r="E1085" s="38" t="str">
        <x:v>int</x:v>
      </x:c>
      <x:c r="F1085" s="56" t="n">
        <x:f>'Actions'!AX23</x:f>
        <x:v>0</x:v>
      </x:c>
      <x:c r="G1085" s="38" t="str"/>
      <x:c r="H1085" s="35" t="str">
        <x:v>Actions</x:v>
      </x:c>
      <x:c r="I1085" s="35" t="str">
        <x:v>AX23</x:v>
      </x:c>
      <x:c r="J1085" s="85" t="b">
        <x:v>1</x:v>
      </x:c>
      <x:c r="K1085" s="85" t="b">
        <x:v>1</x:v>
      </x:c>
      <x:c r="L1085" s="56" t="str">
        <x:f>'Actions'!BE23</x:f>
        <x:v>OK</x:v>
      </x:c>
      <x:c r="M1085" s="44" t="str">
        <x:v>Источник Actions.Wall Damage Max</x:v>
      </x:c>
    </x:row>
    <x:row r="1086" ht="36" customHeight="1">
      <x:c r="A1086" s="118" t="n">
        <x:v>1081</x:v>
      </x:c>
      <x:c r="B1086" s="35" t="str">
        <x:v>action</x:v>
      </x:c>
      <x:c r="C1086" s="35" t="str">
        <x:v>gorilla_hammer_fist</x:v>
      </x:c>
      <x:c r="D1086" s="35" t="str">
        <x:v>max_consecutive_uses</x:v>
      </x:c>
      <x:c r="E1086" s="38" t="str">
        <x:v>int</x:v>
      </x:c>
      <x:c r="F1086" s="56" t="n">
        <x:f>'Actions'!AY23</x:f>
        <x:v>2</x:v>
      </x:c>
      <x:c r="G1086" s="38" t="str"/>
      <x:c r="H1086" s="35" t="str">
        <x:v>Actions</x:v>
      </x:c>
      <x:c r="I1086" s="35" t="str">
        <x:v>AY23</x:v>
      </x:c>
      <x:c r="J1086" s="85" t="b">
        <x:v>1</x:v>
      </x:c>
      <x:c r="K1086" s="85" t="b">
        <x:v>1</x:v>
      </x:c>
      <x:c r="L1086" s="56" t="str">
        <x:f>'Actions'!BE23</x:f>
        <x:v>OK</x:v>
      </x:c>
      <x:c r="M1086" s="44" t="str">
        <x:v>Источник Actions.Max Consecutive Uses</x:v>
      </x:c>
    </x:row>
    <x:row r="1087" ht="36" customHeight="1">
      <x:c r="A1087" s="118" t="n">
        <x:v>1082</x:v>
      </x:c>
      <x:c r="B1087" s="35" t="str">
        <x:v>action</x:v>
      </x:c>
      <x:c r="C1087" s="35" t="str">
        <x:v>gorilla_hammer_fist</x:v>
      </x:c>
      <x:c r="D1087" s="35" t="str">
        <x:v>opportunity_cap_fp</x:v>
      </x:c>
      <x:c r="E1087" s="38" t="str">
        <x:v>int</x:v>
      </x:c>
      <x:c r="F1087" s="56" t="n">
        <x:f>'Actions'!AZ23</x:f>
        <x:v>1000</x:v>
      </x:c>
      <x:c r="G1087" s="38" t="str"/>
      <x:c r="H1087" s="35" t="str">
        <x:v>Actions</x:v>
      </x:c>
      <x:c r="I1087" s="35" t="str">
        <x:v>AZ23</x:v>
      </x:c>
      <x:c r="J1087" s="85" t="b">
        <x:v>1</x:v>
      </x:c>
      <x:c r="K1087" s="85" t="b">
        <x:v>1</x:v>
      </x:c>
      <x:c r="L1087" s="56" t="str">
        <x:f>'Actions'!BE23</x:f>
        <x:v>OK</x:v>
      </x:c>
      <x:c r="M1087" s="44" t="str">
        <x:v>Источник Actions.Opportunity Cap FP</x:v>
      </x:c>
    </x:row>
    <x:row r="1088" ht="36" customHeight="1">
      <x:c r="A1088" s="118" t="n">
        <x:v>1083</x:v>
      </x:c>
      <x:c r="B1088" s="35" t="str">
        <x:v>action</x:v>
      </x:c>
      <x:c r="C1088" s="35" t="str">
        <x:v>gorilla_hammer_fist</x:v>
      </x:c>
      <x:c r="D1088" s="35" t="str">
        <x:v>hard_opportunity_misses</x:v>
      </x:c>
      <x:c r="E1088" s="38" t="str">
        <x:v>int</x:v>
      </x:c>
      <x:c r="F1088" s="56" t="n">
        <x:f>'Actions'!BA23</x:f>
        <x:v>0</x:v>
      </x:c>
      <x:c r="G1088" s="38" t="str"/>
      <x:c r="H1088" s="35" t="str">
        <x:v>Actions</x:v>
      </x:c>
      <x:c r="I1088" s="35" t="str">
        <x:v>BA23</x:v>
      </x:c>
      <x:c r="J1088" s="85" t="b">
        <x:v>1</x:v>
      </x:c>
      <x:c r="K1088" s="85" t="b">
        <x:v>1</x:v>
      </x:c>
      <x:c r="L1088" s="56" t="str">
        <x:f>'Actions'!BE23</x:f>
        <x:v>OK</x:v>
      </x:c>
      <x:c r="M1088" s="44" t="str">
        <x:v>Источник Actions.Hard Opportunity Misses</x:v>
      </x:c>
    </x:row>
    <x:row r="1089" ht="36" customHeight="1">
      <x:c r="A1089" s="118" t="n">
        <x:v>1084</x:v>
      </x:c>
      <x:c r="B1089" s="35" t="str">
        <x:v>action</x:v>
      </x:c>
      <x:c r="C1089" s="35" t="str">
        <x:v>gorilla_driving_shove</x:v>
      </x:c>
      <x:c r="D1089" s="35" t="str">
        <x:v>action_id</x:v>
      </x:c>
      <x:c r="E1089" s="38" t="str">
        <x:v>string</x:v>
      </x:c>
      <x:c r="F1089" s="56" t="str">
        <x:f>'Actions'!A24</x:f>
        <x:v>gorilla_driving_shove</x:v>
      </x:c>
      <x:c r="G1089" s="38" t="str"/>
      <x:c r="H1089" s="35" t="str">
        <x:v>Actions</x:v>
      </x:c>
      <x:c r="I1089" s="35" t="str">
        <x:v>A24</x:v>
      </x:c>
      <x:c r="J1089" s="85" t="b">
        <x:v>1</x:v>
      </x:c>
      <x:c r="K1089" s="85" t="b">
        <x:v>1</x:v>
      </x:c>
      <x:c r="L1089" s="56" t="str">
        <x:f>'Actions'!BE24</x:f>
        <x:v>OK</x:v>
      </x:c>
      <x:c r="M1089" s="44" t="str">
        <x:v>Источник Actions.Action ID</x:v>
      </x:c>
    </x:row>
    <x:row r="1090" ht="36" customHeight="1">
      <x:c r="A1090" s="118" t="n">
        <x:v>1085</x:v>
      </x:c>
      <x:c r="B1090" s="35" t="str">
        <x:v>action</x:v>
      </x:c>
      <x:c r="C1090" s="35" t="str">
        <x:v>gorilla_driving_shove</x:v>
      </x:c>
      <x:c r="D1090" s="35" t="str">
        <x:v>animal_id</x:v>
      </x:c>
      <x:c r="E1090" s="38" t="str">
        <x:v>string</x:v>
      </x:c>
      <x:c r="F1090" s="56" t="str">
        <x:f>'Actions'!B24</x:f>
        <x:v>gorilla</x:v>
      </x:c>
      <x:c r="G1090" s="38" t="str"/>
      <x:c r="H1090" s="35" t="str">
        <x:v>Actions</x:v>
      </x:c>
      <x:c r="I1090" s="35" t="str">
        <x:v>B24</x:v>
      </x:c>
      <x:c r="J1090" s="85" t="b">
        <x:v>1</x:v>
      </x:c>
      <x:c r="K1090" s="85" t="b">
        <x:v>1</x:v>
      </x:c>
      <x:c r="L1090" s="56" t="str">
        <x:f>'Actions'!BE24</x:f>
        <x:v>OK</x:v>
      </x:c>
      <x:c r="M1090" s="44" t="str">
        <x:v>Источник Actions.Animal ID</x:v>
      </x:c>
    </x:row>
    <x:row r="1091" ht="36" customHeight="1">
      <x:c r="A1091" s="118" t="n">
        <x:v>1086</x:v>
      </x:c>
      <x:c r="B1091" s="35" t="str">
        <x:v>action</x:v>
      </x:c>
      <x:c r="C1091" s="35" t="str">
        <x:v>gorilla_driving_shove</x:v>
      </x:c>
      <x:c r="D1091" s="35" t="str">
        <x:v>slot_type</x:v>
      </x:c>
      <x:c r="E1091" s="38" t="str">
        <x:v>string</x:v>
      </x:c>
      <x:c r="F1091" s="56" t="str">
        <x:f>'Actions'!D24</x:f>
        <x:v>Basic</x:v>
      </x:c>
      <x:c r="G1091" s="38" t="str"/>
      <x:c r="H1091" s="35" t="str">
        <x:v>Actions</x:v>
      </x:c>
      <x:c r="I1091" s="35" t="str">
        <x:v>D24</x:v>
      </x:c>
      <x:c r="J1091" s="85" t="b">
        <x:v>1</x:v>
      </x:c>
      <x:c r="K1091" s="85" t="b">
        <x:v>1</x:v>
      </x:c>
      <x:c r="L1091" s="56" t="str">
        <x:f>'Actions'!BE24</x:f>
        <x:v>OK</x:v>
      </x:c>
      <x:c r="M1091" s="44" t="str">
        <x:v>Источник Actions.Slot Type</x:v>
      </x:c>
    </x:row>
    <x:row r="1092" ht="36" customHeight="1">
      <x:c r="A1092" s="118" t="n">
        <x:v>1087</x:v>
      </x:c>
      <x:c r="B1092" s="35" t="str">
        <x:v>action</x:v>
      </x:c>
      <x:c r="C1092" s="35" t="str">
        <x:v>gorilla_driving_shove</x:v>
      </x:c>
      <x:c r="D1092" s="35" t="str">
        <x:v>category</x:v>
      </x:c>
      <x:c r="E1092" s="38" t="str">
        <x:v>string</x:v>
      </x:c>
      <x:c r="F1092" s="56" t="str">
        <x:f>'Actions'!E24</x:f>
        <x:v>ShoveStrike</x:v>
      </x:c>
      <x:c r="G1092" s="38" t="str"/>
      <x:c r="H1092" s="35" t="str">
        <x:v>Actions</x:v>
      </x:c>
      <x:c r="I1092" s="35" t="str">
        <x:v>E24</x:v>
      </x:c>
      <x:c r="J1092" s="85" t="b">
        <x:v>1</x:v>
      </x:c>
      <x:c r="K1092" s="85" t="b">
        <x:v>1</x:v>
      </x:c>
      <x:c r="L1092" s="56" t="str">
        <x:f>'Actions'!BE24</x:f>
        <x:v>OK</x:v>
      </x:c>
      <x:c r="M1092" s="44" t="str">
        <x:v>Источник Actions.Category</x:v>
      </x:c>
    </x:row>
    <x:row r="1093" ht="36" customHeight="1">
      <x:c r="A1093" s="118" t="n">
        <x:v>1088</x:v>
      </x:c>
      <x:c r="B1093" s="35" t="str">
        <x:v>action</x:v>
      </x:c>
      <x:c r="C1093" s="35" t="str">
        <x:v>gorilla_driving_shove</x:v>
      </x:c>
      <x:c r="D1093" s="35" t="str">
        <x:v>tags</x:v>
      </x:c>
      <x:c r="E1093" s="38" t="str">
        <x:v>string</x:v>
      </x:c>
      <x:c r="F1093" s="56" t="str">
        <x:f>'Actions'!F24</x:f>
        <x:v>strike|knockback|grip_generator|position</x:v>
      </x:c>
      <x:c r="G1093" s="38" t="str"/>
      <x:c r="H1093" s="35" t="str">
        <x:v>Actions</x:v>
      </x:c>
      <x:c r="I1093" s="35" t="str">
        <x:v>F24</x:v>
      </x:c>
      <x:c r="J1093" s="85" t="b">
        <x:v>1</x:v>
      </x:c>
      <x:c r="K1093" s="85" t="b">
        <x:v>1</x:v>
      </x:c>
      <x:c r="L1093" s="56" t="str">
        <x:f>'Actions'!BE24</x:f>
        <x:v>OK</x:v>
      </x:c>
      <x:c r="M1093" s="44" t="str">
        <x:v>Источник Actions.Tags</x:v>
      </x:c>
    </x:row>
    <x:row r="1094" ht="36" customHeight="1">
      <x:c r="A1094" s="118" t="n">
        <x:v>1089</x:v>
      </x:c>
      <x:c r="B1094" s="35" t="str">
        <x:v>action</x:v>
      </x:c>
      <x:c r="C1094" s="35" t="str">
        <x:v>gorilla_driving_shove</x:v>
      </x:c>
      <x:c r="D1094" s="35" t="str">
        <x:v>base_weight</x:v>
      </x:c>
      <x:c r="E1094" s="38" t="str">
        <x:v>int</x:v>
      </x:c>
      <x:c r="F1094" s="56" t="n">
        <x:f>'Actions'!G24</x:f>
        <x:v>820</x:v>
      </x:c>
      <x:c r="G1094" s="38" t="str"/>
      <x:c r="H1094" s="35" t="str">
        <x:v>Actions</x:v>
      </x:c>
      <x:c r="I1094" s="35" t="str">
        <x:v>G24</x:v>
      </x:c>
      <x:c r="J1094" s="85" t="b">
        <x:v>1</x:v>
      </x:c>
      <x:c r="K1094" s="85" t="b">
        <x:v>1</x:v>
      </x:c>
      <x:c r="L1094" s="56" t="str">
        <x:f>'Actions'!BE24</x:f>
        <x:v>OK</x:v>
      </x:c>
      <x:c r="M1094" s="44" t="str">
        <x:v>Источник Actions.Base Weight</x:v>
      </x:c>
    </x:row>
    <x:row r="1095" ht="36" customHeight="1">
      <x:c r="A1095" s="118" t="n">
        <x:v>1090</x:v>
      </x:c>
      <x:c r="B1095" s="35" t="str">
        <x:v>action</x:v>
      </x:c>
      <x:c r="C1095" s="35" t="str">
        <x:v>gorilla_driving_shove</x:v>
      </x:c>
      <x:c r="D1095" s="35" t="str">
        <x:v>preferred_range_min</x:v>
      </x:c>
      <x:c r="E1095" s="38" t="str">
        <x:v>int</x:v>
      </x:c>
      <x:c r="F1095" s="56" t="n">
        <x:f>'Actions'!H24</x:f>
        <x:v>100</x:v>
      </x:c>
      <x:c r="G1095" s="38" t="str"/>
      <x:c r="H1095" s="35" t="str">
        <x:v>Actions</x:v>
      </x:c>
      <x:c r="I1095" s="35" t="str">
        <x:v>H24</x:v>
      </x:c>
      <x:c r="J1095" s="85" t="b">
        <x:v>1</x:v>
      </x:c>
      <x:c r="K1095" s="85" t="b">
        <x:v>1</x:v>
      </x:c>
      <x:c r="L1095" s="56" t="str">
        <x:f>'Actions'!BE24</x:f>
        <x:v>OK</x:v>
      </x:c>
      <x:c r="M1095" s="44" t="str">
        <x:v>Источник Actions.Preferred Range Min</x:v>
      </x:c>
    </x:row>
    <x:row r="1096" ht="36" customHeight="1">
      <x:c r="A1096" s="118" t="n">
        <x:v>1091</x:v>
      </x:c>
      <x:c r="B1096" s="35" t="str">
        <x:v>action</x:v>
      </x:c>
      <x:c r="C1096" s="35" t="str">
        <x:v>gorilla_driving_shove</x:v>
      </x:c>
      <x:c r="D1096" s="35" t="str">
        <x:v>preferred_range_max</x:v>
      </x:c>
      <x:c r="E1096" s="38" t="str">
        <x:v>int</x:v>
      </x:c>
      <x:c r="F1096" s="56" t="n">
        <x:f>'Actions'!I24</x:f>
        <x:v>800</x:v>
      </x:c>
      <x:c r="G1096" s="38" t="str"/>
      <x:c r="H1096" s="35" t="str">
        <x:v>Actions</x:v>
      </x:c>
      <x:c r="I1096" s="35" t="str">
        <x:v>I24</x:v>
      </x:c>
      <x:c r="J1096" s="85" t="b">
        <x:v>1</x:v>
      </x:c>
      <x:c r="K1096" s="85" t="b">
        <x:v>1</x:v>
      </x:c>
      <x:c r="L1096" s="56" t="str">
        <x:f>'Actions'!BE24</x:f>
        <x:v>OK</x:v>
      </x:c>
      <x:c r="M1096" s="44" t="str">
        <x:v>Источник Actions.Preferred Range Max</x:v>
      </x:c>
    </x:row>
    <x:row r="1097" ht="36" customHeight="1">
      <x:c r="A1097" s="118" t="n">
        <x:v>1092</x:v>
      </x:c>
      <x:c r="B1097" s="35" t="str">
        <x:v>action</x:v>
      </x:c>
      <x:c r="C1097" s="35" t="str">
        <x:v>gorilla_driving_shove</x:v>
      </x:c>
      <x:c r="D1097" s="35" t="str">
        <x:v>hit_range_min</x:v>
      </x:c>
      <x:c r="E1097" s="38" t="str">
        <x:v>int</x:v>
      </x:c>
      <x:c r="F1097" s="56" t="n">
        <x:f>'Actions'!J24</x:f>
        <x:v>0</x:v>
      </x:c>
      <x:c r="G1097" s="38" t="str"/>
      <x:c r="H1097" s="35" t="str">
        <x:v>Actions</x:v>
      </x:c>
      <x:c r="I1097" s="35" t="str">
        <x:v>J24</x:v>
      </x:c>
      <x:c r="J1097" s="85" t="b">
        <x:v>1</x:v>
      </x:c>
      <x:c r="K1097" s="85" t="b">
        <x:v>1</x:v>
      </x:c>
      <x:c r="L1097" s="56" t="str">
        <x:f>'Actions'!BE24</x:f>
        <x:v>OK</x:v>
      </x:c>
      <x:c r="M1097" s="44" t="str">
        <x:v>Источник Actions.Hit Range Min</x:v>
      </x:c>
    </x:row>
    <x:row r="1098" ht="36" customHeight="1">
      <x:c r="A1098" s="118" t="n">
        <x:v>1093</x:v>
      </x:c>
      <x:c r="B1098" s="35" t="str">
        <x:v>action</x:v>
      </x:c>
      <x:c r="C1098" s="35" t="str">
        <x:v>gorilla_driving_shove</x:v>
      </x:c>
      <x:c r="D1098" s="35" t="str">
        <x:v>hit_range_max</x:v>
      </x:c>
      <x:c r="E1098" s="38" t="str">
        <x:v>int</x:v>
      </x:c>
      <x:c r="F1098" s="56" t="n">
        <x:f>'Actions'!K24</x:f>
        <x:v>900</x:v>
      </x:c>
      <x:c r="G1098" s="38" t="str"/>
      <x:c r="H1098" s="35" t="str">
        <x:v>Actions</x:v>
      </x:c>
      <x:c r="I1098" s="35" t="str">
        <x:v>K24</x:v>
      </x:c>
      <x:c r="J1098" s="85" t="b">
        <x:v>1</x:v>
      </x:c>
      <x:c r="K1098" s="85" t="b">
        <x:v>1</x:v>
      </x:c>
      <x:c r="L1098" s="56" t="str">
        <x:f>'Actions'!BE24</x:f>
        <x:v>OK</x:v>
      </x:c>
      <x:c r="M1098" s="44" t="str">
        <x:v>Источник Actions.Hit Range Max</x:v>
      </x:c>
    </x:row>
    <x:row r="1099" ht="36" customHeight="1">
      <x:c r="A1099" s="118" t="n">
        <x:v>1094</x:v>
      </x:c>
      <x:c r="B1099" s="35" t="str">
        <x:v>action</x:v>
      </x:c>
      <x:c r="C1099" s="35" t="str">
        <x:v>gorilla_driving_shove</x:v>
      </x:c>
      <x:c r="D1099" s="35" t="str">
        <x:v>energy_cost</x:v>
      </x:c>
      <x:c r="E1099" s="38" t="str">
        <x:v>int</x:v>
      </x:c>
      <x:c r="F1099" s="56" t="n">
        <x:f>'Actions'!L24</x:f>
        <x:v>110</x:v>
      </x:c>
      <x:c r="G1099" s="38" t="str"/>
      <x:c r="H1099" s="35" t="str">
        <x:v>Actions</x:v>
      </x:c>
      <x:c r="I1099" s="35" t="str">
        <x:v>L24</x:v>
      </x:c>
      <x:c r="J1099" s="85" t="b">
        <x:v>1</x:v>
      </x:c>
      <x:c r="K1099" s="85" t="b">
        <x:v>1</x:v>
      </x:c>
      <x:c r="L1099" s="56" t="str">
        <x:f>'Actions'!BE24</x:f>
        <x:v>OK</x:v>
      </x:c>
      <x:c r="M1099" s="44" t="str">
        <x:v>Источник Actions.Energy Cost</x:v>
      </x:c>
    </x:row>
    <x:row r="1100" ht="36" customHeight="1">
      <x:c r="A1100" s="118" t="n">
        <x:v>1095</x:v>
      </x:c>
      <x:c r="B1100" s="35" t="str">
        <x:v>action</x:v>
      </x:c>
      <x:c r="C1100" s="35" t="str">
        <x:v>gorilla_driving_shove</x:v>
      </x:c>
      <x:c r="D1100" s="35" t="str">
        <x:v>resource_cost</x:v>
      </x:c>
      <x:c r="E1100" s="38" t="str">
        <x:v>int</x:v>
      </x:c>
      <x:c r="F1100" s="56" t="n">
        <x:f>'Actions'!M24</x:f>
        <x:v>0</x:v>
      </x:c>
      <x:c r="G1100" s="38" t="str"/>
      <x:c r="H1100" s="35" t="str">
        <x:v>Actions</x:v>
      </x:c>
      <x:c r="I1100" s="35" t="str">
        <x:v>M24</x:v>
      </x:c>
      <x:c r="J1100" s="85" t="b">
        <x:v>1</x:v>
      </x:c>
      <x:c r="K1100" s="85" t="b">
        <x:v>1</x:v>
      </x:c>
      <x:c r="L1100" s="56" t="str">
        <x:f>'Actions'!BE24</x:f>
        <x:v>OK</x:v>
      </x:c>
      <x:c r="M1100" s="44" t="str">
        <x:v>Источник Actions.Resource Cost</x:v>
      </x:c>
    </x:row>
    <x:row r="1101" ht="36" customHeight="1">
      <x:c r="A1101" s="118" t="n">
        <x:v>1096</x:v>
      </x:c>
      <x:c r="B1101" s="35" t="str">
        <x:v>action</x:v>
      </x:c>
      <x:c r="C1101" s="35" t="str">
        <x:v>gorilla_driving_shove</x:v>
      </x:c>
      <x:c r="D1101" s="35" t="str">
        <x:v>base_damage</x:v>
      </x:c>
      <x:c r="E1101" s="38" t="str">
        <x:v>int</x:v>
      </x:c>
      <x:c r="F1101" s="56" t="n">
        <x:f>'Actions'!N24</x:f>
        <x:v>20</x:v>
      </x:c>
      <x:c r="G1101" s="38" t="str"/>
      <x:c r="H1101" s="35" t="str">
        <x:v>Actions</x:v>
      </x:c>
      <x:c r="I1101" s="35" t="str">
        <x:v>N24</x:v>
      </x:c>
      <x:c r="J1101" s="85" t="b">
        <x:v>1</x:v>
      </x:c>
      <x:c r="K1101" s="85" t="b">
        <x:v>1</x:v>
      </x:c>
      <x:c r="L1101" s="56" t="str">
        <x:f>'Actions'!BE24</x:f>
        <x:v>OK</x:v>
      </x:c>
      <x:c r="M1101" s="44" t="str">
        <x:v>Источник Actions.Base Damage / hit</x:v>
      </x:c>
    </x:row>
    <x:row r="1102" ht="36" customHeight="1">
      <x:c r="A1102" s="118" t="n">
        <x:v>1097</x:v>
      </x:c>
      <x:c r="B1102" s="35" t="str">
        <x:v>action</x:v>
      </x:c>
      <x:c r="C1102" s="35" t="str">
        <x:v>gorilla_driving_shove</x:v>
      </x:c>
      <x:c r="D1102" s="35" t="str">
        <x:v>power_ratio_fp</x:v>
      </x:c>
      <x:c r="E1102" s="38" t="str">
        <x:v>int</x:v>
      </x:c>
      <x:c r="F1102" s="56" t="n">
        <x:f>'Actions'!O24</x:f>
        <x:v>250</x:v>
      </x:c>
      <x:c r="G1102" s="38" t="str"/>
      <x:c r="H1102" s="35" t="str">
        <x:v>Actions</x:v>
      </x:c>
      <x:c r="I1102" s="35" t="str">
        <x:v>O24</x:v>
      </x:c>
      <x:c r="J1102" s="85" t="b">
        <x:v>1</x:v>
      </x:c>
      <x:c r="K1102" s="85" t="b">
        <x:v>1</x:v>
      </x:c>
      <x:c r="L1102" s="56" t="str">
        <x:f>'Actions'!BE24</x:f>
        <x:v>OK</x:v>
      </x:c>
      <x:c r="M1102" s="44" t="str">
        <x:v>Источник Actions.Power Ratio FP</x:v>
      </x:c>
    </x:row>
    <x:row r="1103" ht="36" customHeight="1">
      <x:c r="A1103" s="118" t="n">
        <x:v>1098</x:v>
      </x:c>
      <x:c r="B1103" s="35" t="str">
        <x:v>action</x:v>
      </x:c>
      <x:c r="C1103" s="35" t="str">
        <x:v>gorilla_driving_shove</x:v>
      </x:c>
      <x:c r="D1103" s="35" t="str">
        <x:v>min_damage</x:v>
      </x:c>
      <x:c r="E1103" s="38" t="str">
        <x:v>int</x:v>
      </x:c>
      <x:c r="F1103" s="56" t="n">
        <x:f>'Actions'!P24</x:f>
        <x:v>8</x:v>
      </x:c>
      <x:c r="G1103" s="38" t="str"/>
      <x:c r="H1103" s="35" t="str">
        <x:v>Actions</x:v>
      </x:c>
      <x:c r="I1103" s="35" t="str">
        <x:v>P24</x:v>
      </x:c>
      <x:c r="J1103" s="85" t="b">
        <x:v>1</x:v>
      </x:c>
      <x:c r="K1103" s="85" t="b">
        <x:v>1</x:v>
      </x:c>
      <x:c r="L1103" s="56" t="str">
        <x:f>'Actions'!BE24</x:f>
        <x:v>OK</x:v>
      </x:c>
      <x:c r="M1103" s="44" t="str">
        <x:v>Источник Actions.Min Damage</x:v>
      </x:c>
    </x:row>
    <x:row r="1104" ht="36" customHeight="1">
      <x:c r="A1104" s="118" t="n">
        <x:v>1099</x:v>
      </x:c>
      <x:c r="B1104" s="35" t="str">
        <x:v>action</x:v>
      </x:c>
      <x:c r="C1104" s="35" t="str">
        <x:v>gorilla_driving_shove</x:v>
      </x:c>
      <x:c r="D1104" s="35" t="str">
        <x:v>chip_min</x:v>
      </x:c>
      <x:c r="E1104" s="38" t="str">
        <x:v>int</x:v>
      </x:c>
      <x:c r="F1104" s="56" t="n">
        <x:f>'Actions'!Q24</x:f>
        <x:v>3</x:v>
      </x:c>
      <x:c r="G1104" s="38" t="str"/>
      <x:c r="H1104" s="35" t="str">
        <x:v>Actions</x:v>
      </x:c>
      <x:c r="I1104" s="35" t="str">
        <x:v>Q24</x:v>
      </x:c>
      <x:c r="J1104" s="85" t="b">
        <x:v>1</x:v>
      </x:c>
      <x:c r="K1104" s="85" t="b">
        <x:v>1</x:v>
      </x:c>
      <x:c r="L1104" s="56" t="str">
        <x:f>'Actions'!BE24</x:f>
        <x:v>OK</x:v>
      </x:c>
      <x:c r="M1104" s="44" t="str">
        <x:v>Источник Actions.Chip Min</x:v>
      </x:c>
    </x:row>
    <x:row r="1105" ht="36" customHeight="1">
      <x:c r="A1105" s="118" t="n">
        <x:v>1100</x:v>
      </x:c>
      <x:c r="B1105" s="35" t="str">
        <x:v>action</x:v>
      </x:c>
      <x:c r="C1105" s="35" t="str">
        <x:v>gorilla_driving_shove</x:v>
      </x:c>
      <x:c r="D1105" s="35" t="str">
        <x:v>startup_base_ticks</x:v>
      </x:c>
      <x:c r="E1105" s="38" t="str">
        <x:v>int</x:v>
      </x:c>
      <x:c r="F1105" s="56" t="n">
        <x:f>'Actions'!R24</x:f>
        <x:v>4</x:v>
      </x:c>
      <x:c r="G1105" s="38" t="str"/>
      <x:c r="H1105" s="35" t="str">
        <x:v>Actions</x:v>
      </x:c>
      <x:c r="I1105" s="35" t="str">
        <x:v>R24</x:v>
      </x:c>
      <x:c r="J1105" s="85" t="b">
        <x:v>1</x:v>
      </x:c>
      <x:c r="K1105" s="85" t="b">
        <x:v>1</x:v>
      </x:c>
      <x:c r="L1105" s="56" t="str">
        <x:f>'Actions'!BE24</x:f>
        <x:v>OK</x:v>
      </x:c>
      <x:c r="M1105" s="44" t="str">
        <x:v>Источник Actions.Startup Base Ticks</x:v>
      </x:c>
    </x:row>
    <x:row r="1106" ht="36" customHeight="1">
      <x:c r="A1106" s="118" t="n">
        <x:v>1101</x:v>
      </x:c>
      <x:c r="B1106" s="35" t="str">
        <x:v>action</x:v>
      </x:c>
      <x:c r="C1106" s="35" t="str">
        <x:v>gorilla_driving_shove</x:v>
      </x:c>
      <x:c r="D1106" s="35" t="str">
        <x:v>startup_min_ticks</x:v>
      </x:c>
      <x:c r="E1106" s="38" t="str">
        <x:v>int</x:v>
      </x:c>
      <x:c r="F1106" s="56" t="n">
        <x:f>'Actions'!S24</x:f>
        <x:v>2</x:v>
      </x:c>
      <x:c r="G1106" s="38" t="str"/>
      <x:c r="H1106" s="35" t="str">
        <x:v>Actions</x:v>
      </x:c>
      <x:c r="I1106" s="35" t="str">
        <x:v>S24</x:v>
      </x:c>
      <x:c r="J1106" s="85" t="b">
        <x:v>1</x:v>
      </x:c>
      <x:c r="K1106" s="85" t="b">
        <x:v>1</x:v>
      </x:c>
      <x:c r="L1106" s="56" t="str">
        <x:f>'Actions'!BE24</x:f>
        <x:v>OK</x:v>
      </x:c>
      <x:c r="M1106" s="44" t="str">
        <x:v>Источник Actions.Startup Min Ticks</x:v>
      </x:c>
    </x:row>
    <x:row r="1107" ht="36" customHeight="1">
      <x:c r="A1107" s="118" t="n">
        <x:v>1102</x:v>
      </x:c>
      <x:c r="B1107" s="35" t="str">
        <x:v>action</x:v>
      </x:c>
      <x:c r="C1107" s="35" t="str">
        <x:v>gorilla_driving_shove</x:v>
      </x:c>
      <x:c r="D1107" s="35" t="str">
        <x:v>startup_max_ticks</x:v>
      </x:c>
      <x:c r="E1107" s="38" t="str">
        <x:v>int</x:v>
      </x:c>
      <x:c r="F1107" s="56" t="n">
        <x:f>'Actions'!T24</x:f>
        <x:v>6</x:v>
      </x:c>
      <x:c r="G1107" s="38" t="str"/>
      <x:c r="H1107" s="35" t="str">
        <x:v>Actions</x:v>
      </x:c>
      <x:c r="I1107" s="35" t="str">
        <x:v>T24</x:v>
      </x:c>
      <x:c r="J1107" s="85" t="b">
        <x:v>1</x:v>
      </x:c>
      <x:c r="K1107" s="85" t="b">
        <x:v>1</x:v>
      </x:c>
      <x:c r="L1107" s="56" t="str">
        <x:f>'Actions'!BE24</x:f>
        <x:v>OK</x:v>
      </x:c>
      <x:c r="M1107" s="44" t="str">
        <x:v>Источник Actions.Startup Max Ticks</x:v>
      </x:c>
    </x:row>
    <x:row r="1108" ht="36" customHeight="1">
      <x:c r="A1108" s="118" t="n">
        <x:v>1103</x:v>
      </x:c>
      <x:c r="B1108" s="35" t="str">
        <x:v>action</x:v>
      </x:c>
      <x:c r="C1108" s="35" t="str">
        <x:v>gorilla_driving_shove</x:v>
      </x:c>
      <x:c r="D1108" s="35" t="str">
        <x:v>active_ticks</x:v>
      </x:c>
      <x:c r="E1108" s="38" t="str">
        <x:v>int</x:v>
      </x:c>
      <x:c r="F1108" s="56" t="n">
        <x:f>'Actions'!U24</x:f>
        <x:v>1</x:v>
      </x:c>
      <x:c r="G1108" s="38" t="str"/>
      <x:c r="H1108" s="35" t="str">
        <x:v>Actions</x:v>
      </x:c>
      <x:c r="I1108" s="35" t="str">
        <x:v>U24</x:v>
      </x:c>
      <x:c r="J1108" s="85" t="b">
        <x:v>1</x:v>
      </x:c>
      <x:c r="K1108" s="85" t="b">
        <x:v>1</x:v>
      </x:c>
      <x:c r="L1108" s="56" t="str">
        <x:f>'Actions'!BE24</x:f>
        <x:v>OK</x:v>
      </x:c>
      <x:c r="M1108" s="44" t="str">
        <x:v>Источник Actions.Active Ticks</x:v>
      </x:c>
    </x:row>
    <x:row r="1109" ht="36" customHeight="1">
      <x:c r="A1109" s="118" t="n">
        <x:v>1104</x:v>
      </x:c>
      <x:c r="B1109" s="35" t="str">
        <x:v>action</x:v>
      </x:c>
      <x:c r="C1109" s="35" t="str">
        <x:v>gorilla_driving_shove</x:v>
      </x:c>
      <x:c r="D1109" s="35" t="str">
        <x:v>hit_schedule</x:v>
      </x:c>
      <x:c r="E1109" s="38" t="str">
        <x:v>string</x:v>
      </x:c>
      <x:c r="F1109" s="56" t="str">
        <x:f>'Actions'!V24</x:f>
        <x:v>0</x:v>
      </x:c>
      <x:c r="G1109" s="38" t="str"/>
      <x:c r="H1109" s="35" t="str">
        <x:v>Actions</x:v>
      </x:c>
      <x:c r="I1109" s="35" t="str">
        <x:v>V24</x:v>
      </x:c>
      <x:c r="J1109" s="85" t="b">
        <x:v>1</x:v>
      </x:c>
      <x:c r="K1109" s="85" t="b">
        <x:v>1</x:v>
      </x:c>
      <x:c r="L1109" s="56" t="str">
        <x:f>'Actions'!BE24</x:f>
        <x:v>OK</x:v>
      </x:c>
      <x:c r="M1109" s="44" t="str">
        <x:v>Источник Actions.Hit Schedule</x:v>
      </x:c>
    </x:row>
    <x:row r="1110" ht="36" customHeight="1">
      <x:c r="A1110" s="118" t="n">
        <x:v>1105</x:v>
      </x:c>
      <x:c r="B1110" s="35" t="str">
        <x:v>action</x:v>
      </x:c>
      <x:c r="C1110" s="35" t="str">
        <x:v>gorilla_driving_shove</x:v>
      </x:c>
      <x:c r="D1110" s="35" t="str">
        <x:v>hit_count</x:v>
      </x:c>
      <x:c r="E1110" s="38" t="str">
        <x:v>int</x:v>
      </x:c>
      <x:c r="F1110" s="56" t="n">
        <x:f>'Actions'!W24</x:f>
        <x:v>1</x:v>
      </x:c>
      <x:c r="G1110" s="38" t="str"/>
      <x:c r="H1110" s="35" t="str">
        <x:v>Actions</x:v>
      </x:c>
      <x:c r="I1110" s="35" t="str">
        <x:v>W24</x:v>
      </x:c>
      <x:c r="J1110" s="85" t="b">
        <x:v>1</x:v>
      </x:c>
      <x:c r="K1110" s="85" t="b">
        <x:v>1</x:v>
      </x:c>
      <x:c r="L1110" s="56" t="str">
        <x:f>'Actions'!BE24</x:f>
        <x:v>OK</x:v>
      </x:c>
      <x:c r="M1110" s="44" t="str">
        <x:v>Источник Actions.Hit Count</x:v>
      </x:c>
    </x:row>
    <x:row r="1111" ht="36" customHeight="1">
      <x:c r="A1111" s="118" t="n">
        <x:v>1106</x:v>
      </x:c>
      <x:c r="B1111" s="35" t="str">
        <x:v>action</x:v>
      </x:c>
      <x:c r="C1111" s="35" t="str">
        <x:v>gorilla_driving_shove</x:v>
      </x:c>
      <x:c r="D1111" s="35" t="str">
        <x:v>recovery_base_ticks</x:v>
      </x:c>
      <x:c r="E1111" s="38" t="str">
        <x:v>int</x:v>
      </x:c>
      <x:c r="F1111" s="56" t="n">
        <x:f>'Actions'!X24</x:f>
        <x:v>8</x:v>
      </x:c>
      <x:c r="G1111" s="38" t="str"/>
      <x:c r="H1111" s="35" t="str">
        <x:v>Actions</x:v>
      </x:c>
      <x:c r="I1111" s="35" t="str">
        <x:v>X24</x:v>
      </x:c>
      <x:c r="J1111" s="85" t="b">
        <x:v>1</x:v>
      </x:c>
      <x:c r="K1111" s="85" t="b">
        <x:v>1</x:v>
      </x:c>
      <x:c r="L1111" s="56" t="str">
        <x:f>'Actions'!BE24</x:f>
        <x:v>OK</x:v>
      </x:c>
      <x:c r="M1111" s="44" t="str">
        <x:v>Источник Actions.Recovery Base Ticks</x:v>
      </x:c>
    </x:row>
    <x:row r="1112" ht="36" customHeight="1">
      <x:c r="A1112" s="118" t="n">
        <x:v>1107</x:v>
      </x:c>
      <x:c r="B1112" s="35" t="str">
        <x:v>action</x:v>
      </x:c>
      <x:c r="C1112" s="35" t="str">
        <x:v>gorilla_driving_shove</x:v>
      </x:c>
      <x:c r="D1112" s="35" t="str">
        <x:v>recovery_min_ticks</x:v>
      </x:c>
      <x:c r="E1112" s="38" t="str">
        <x:v>int</x:v>
      </x:c>
      <x:c r="F1112" s="56" t="n">
        <x:f>'Actions'!Y24</x:f>
        <x:v>5</x:v>
      </x:c>
      <x:c r="G1112" s="38" t="str"/>
      <x:c r="H1112" s="35" t="str">
        <x:v>Actions</x:v>
      </x:c>
      <x:c r="I1112" s="35" t="str">
        <x:v>Y24</x:v>
      </x:c>
      <x:c r="J1112" s="85" t="b">
        <x:v>1</x:v>
      </x:c>
      <x:c r="K1112" s="85" t="b">
        <x:v>1</x:v>
      </x:c>
      <x:c r="L1112" s="56" t="str">
        <x:f>'Actions'!BE24</x:f>
        <x:v>OK</x:v>
      </x:c>
      <x:c r="M1112" s="44" t="str">
        <x:v>Источник Actions.Recovery Min Ticks</x:v>
      </x:c>
    </x:row>
    <x:row r="1113" ht="36" customHeight="1">
      <x:c r="A1113" s="118" t="n">
        <x:v>1108</x:v>
      </x:c>
      <x:c r="B1113" s="35" t="str">
        <x:v>action</x:v>
      </x:c>
      <x:c r="C1113" s="35" t="str">
        <x:v>gorilla_driving_shove</x:v>
      </x:c>
      <x:c r="D1113" s="35" t="str">
        <x:v>recovery_max_ticks</x:v>
      </x:c>
      <x:c r="E1113" s="38" t="str">
        <x:v>int</x:v>
      </x:c>
      <x:c r="F1113" s="56" t="n">
        <x:f>'Actions'!Z24</x:f>
        <x:v>12</x:v>
      </x:c>
      <x:c r="G1113" s="38" t="str"/>
      <x:c r="H1113" s="35" t="str">
        <x:v>Actions</x:v>
      </x:c>
      <x:c r="I1113" s="35" t="str">
        <x:v>Z24</x:v>
      </x:c>
      <x:c r="J1113" s="85" t="b">
        <x:v>1</x:v>
      </x:c>
      <x:c r="K1113" s="85" t="b">
        <x:v>1</x:v>
      </x:c>
      <x:c r="L1113" s="56" t="str">
        <x:f>'Actions'!BE24</x:f>
        <x:v>OK</x:v>
      </x:c>
      <x:c r="M1113" s="44" t="str">
        <x:v>Источник Actions.Recovery Max Ticks</x:v>
      </x:c>
    </x:row>
    <x:row r="1114" ht="36" customHeight="1">
      <x:c r="A1114" s="118" t="n">
        <x:v>1109</x:v>
      </x:c>
      <x:c r="B1114" s="35" t="str">
        <x:v>action</x:v>
      </x:c>
      <x:c r="C1114" s="35" t="str">
        <x:v>gorilla_driving_shove</x:v>
      </x:c>
      <x:c r="D1114" s="35" t="str">
        <x:v>cooldown_ticks</x:v>
      </x:c>
      <x:c r="E1114" s="38" t="str">
        <x:v>int</x:v>
      </x:c>
      <x:c r="F1114" s="56" t="n">
        <x:f>'Actions'!AA24</x:f>
        <x:v>18</x:v>
      </x:c>
      <x:c r="G1114" s="38" t="str"/>
      <x:c r="H1114" s="35" t="str">
        <x:v>Actions</x:v>
      </x:c>
      <x:c r="I1114" s="35" t="str">
        <x:v>AA24</x:v>
      </x:c>
      <x:c r="J1114" s="85" t="b">
        <x:v>1</x:v>
      </x:c>
      <x:c r="K1114" s="85" t="b">
        <x:v>1</x:v>
      </x:c>
      <x:c r="L1114" s="56" t="str">
        <x:f>'Actions'!BE24</x:f>
        <x:v>OK</x:v>
      </x:c>
      <x:c r="M1114" s="44" t="str">
        <x:v>Источник Actions.Cooldown Ticks</x:v>
      </x:c>
    </x:row>
    <x:row r="1115" ht="36" customHeight="1">
      <x:c r="A1115" s="118" t="n">
        <x:v>1110</x:v>
      </x:c>
      <x:c r="B1115" s="35" t="str">
        <x:v>action</x:v>
      </x:c>
      <x:c r="C1115" s="35" t="str">
        <x:v>gorilla_driving_shove</x:v>
      </x:c>
      <x:c r="D1115" s="35" t="str">
        <x:v>action_priority</x:v>
      </x:c>
      <x:c r="E1115" s="38" t="str">
        <x:v>int</x:v>
      </x:c>
      <x:c r="F1115" s="56" t="n">
        <x:f>'Actions'!AB24</x:f>
        <x:v>36</x:v>
      </x:c>
      <x:c r="G1115" s="38" t="str"/>
      <x:c r="H1115" s="35" t="str">
        <x:v>Actions</x:v>
      </x:c>
      <x:c r="I1115" s="35" t="str">
        <x:v>AB24</x:v>
      </x:c>
      <x:c r="J1115" s="85" t="b">
        <x:v>1</x:v>
      </x:c>
      <x:c r="K1115" s="85" t="b">
        <x:v>1</x:v>
      </x:c>
      <x:c r="L1115" s="56" t="str">
        <x:f>'Actions'!BE24</x:f>
        <x:v>OK</x:v>
      </x:c>
      <x:c r="M1115" s="44" t="str">
        <x:v>Источник Actions.Action Priority</x:v>
      </x:c>
    </x:row>
    <x:row r="1116" ht="36" customHeight="1">
      <x:c r="A1116" s="118" t="n">
        <x:v>1111</x:v>
      </x:c>
      <x:c r="B1116" s="35" t="str">
        <x:v>action</x:v>
      </x:c>
      <x:c r="C1116" s="35" t="str">
        <x:v>gorilla_driving_shove</x:v>
      </x:c>
      <x:c r="D1116" s="35" t="str">
        <x:v>clash_priority</x:v>
      </x:c>
      <x:c r="E1116" s="38" t="str">
        <x:v>int</x:v>
      </x:c>
      <x:c r="F1116" s="56" t="n">
        <x:f>'Actions'!AC24</x:f>
        <x:v>35</x:v>
      </x:c>
      <x:c r="G1116" s="38" t="str"/>
      <x:c r="H1116" s="35" t="str">
        <x:v>Actions</x:v>
      </x:c>
      <x:c r="I1116" s="35" t="str">
        <x:v>AC24</x:v>
      </x:c>
      <x:c r="J1116" s="85" t="b">
        <x:v>1</x:v>
      </x:c>
      <x:c r="K1116" s="85" t="b">
        <x:v>1</x:v>
      </x:c>
      <x:c r="L1116" s="56" t="str">
        <x:f>'Actions'!BE24</x:f>
        <x:v>OK</x:v>
      </x:c>
      <x:c r="M1116" s="44" t="str">
        <x:v>Источник Actions.Clash Priority</x:v>
      </x:c>
    </x:row>
    <x:row r="1117" ht="36" customHeight="1">
      <x:c r="A1117" s="118" t="n">
        <x:v>1112</x:v>
      </x:c>
      <x:c r="B1117" s="35" t="str">
        <x:v>action</x:v>
      </x:c>
      <x:c r="C1117" s="35" t="str">
        <x:v>gorilla_driving_shove</x:v>
      </x:c>
      <x:c r="D1117" s="35" t="str">
        <x:v>grab_priority</x:v>
      </x:c>
      <x:c r="E1117" s="38" t="str">
        <x:v>int</x:v>
      </x:c>
      <x:c r="F1117" s="56" t="n">
        <x:f>'Actions'!AD24</x:f>
        <x:v>0</x:v>
      </x:c>
      <x:c r="G1117" s="38" t="str"/>
      <x:c r="H1117" s="35" t="str">
        <x:v>Actions</x:v>
      </x:c>
      <x:c r="I1117" s="35" t="str">
        <x:v>AD24</x:v>
      </x:c>
      <x:c r="J1117" s="85" t="b">
        <x:v>1</x:v>
      </x:c>
      <x:c r="K1117" s="85" t="b">
        <x:v>1</x:v>
      </x:c>
      <x:c r="L1117" s="56" t="str">
        <x:f>'Actions'!BE24</x:f>
        <x:v>OK</x:v>
      </x:c>
      <x:c r="M1117" s="44" t="str">
        <x:v>Источник Actions.Grab Priority</x:v>
      </x:c>
    </x:row>
    <x:row r="1118" ht="36" customHeight="1">
      <x:c r="A1118" s="118" t="n">
        <x:v>1113</x:v>
      </x:c>
      <x:c r="B1118" s="35" t="str">
        <x:v>action</x:v>
      </x:c>
      <x:c r="C1118" s="35" t="str">
        <x:v>gorilla_driving_shove</x:v>
      </x:c>
      <x:c r="D1118" s="35" t="str">
        <x:v>resolution_priority</x:v>
      </x:c>
      <x:c r="E1118" s="38" t="str">
        <x:v>int</x:v>
      </x:c>
      <x:c r="F1118" s="56" t="n">
        <x:f>'Actions'!AE24</x:f>
        <x:v>36</x:v>
      </x:c>
      <x:c r="G1118" s="38" t="str"/>
      <x:c r="H1118" s="35" t="str">
        <x:v>Actions</x:v>
      </x:c>
      <x:c r="I1118" s="35" t="str">
        <x:v>AE24</x:v>
      </x:c>
      <x:c r="J1118" s="85" t="b">
        <x:v>1</x:v>
      </x:c>
      <x:c r="K1118" s="85" t="b">
        <x:v>1</x:v>
      </x:c>
      <x:c r="L1118" s="56" t="str">
        <x:f>'Actions'!BE24</x:f>
        <x:v>OK</x:v>
      </x:c>
      <x:c r="M1118" s="44" t="str">
        <x:v>Источник Actions.Resolution Priority</x:v>
      </x:c>
    </x:row>
    <x:row r="1119" ht="36" customHeight="1">
      <x:c r="A1119" s="118" t="n">
        <x:v>1114</x:v>
      </x:c>
      <x:c r="B1119" s="35" t="str">
        <x:v>action</x:v>
      </x:c>
      <x:c r="C1119" s="35" t="str">
        <x:v>gorilla_driving_shove</x:v>
      </x:c>
      <x:c r="D1119" s="35" t="str">
        <x:v>interrupt_profile</x:v>
      </x:c>
      <x:c r="E1119" s="38" t="str">
        <x:v>string</x:v>
      </x:c>
      <x:c r="F1119" s="56" t="str">
        <x:f>'Actions'!AF24</x:f>
        <x:v>Committed</x:v>
      </x:c>
      <x:c r="G1119" s="38" t="str"/>
      <x:c r="H1119" s="35" t="str">
        <x:v>Actions</x:v>
      </x:c>
      <x:c r="I1119" s="35" t="str">
        <x:v>AF24</x:v>
      </x:c>
      <x:c r="J1119" s="85" t="b">
        <x:v>1</x:v>
      </x:c>
      <x:c r="K1119" s="85" t="b">
        <x:v>1</x:v>
      </x:c>
      <x:c r="L1119" s="56" t="str">
        <x:f>'Actions'!BE24</x:f>
        <x:v>OK</x:v>
      </x:c>
      <x:c r="M1119" s="44" t="str">
        <x:v>Источник Actions.Interrupt Profile</x:v>
      </x:c>
    </x:row>
    <x:row r="1120" ht="36" customHeight="1">
      <x:c r="A1120" s="118" t="n">
        <x:v>1115</x:v>
      </x:c>
      <x:c r="B1120" s="35" t="str">
        <x:v>action</x:v>
      </x:c>
      <x:c r="C1120" s="35" t="str">
        <x:v>gorilla_driving_shove</x:v>
      </x:c>
      <x:c r="D1120" s="35" t="str">
        <x:v>blockable</x:v>
      </x:c>
      <x:c r="E1120" s="38" t="str">
        <x:v>bool</x:v>
      </x:c>
      <x:c r="F1120" s="56" t="b">
        <x:f>'Actions'!AG24</x:f>
        <x:v>1</x:v>
      </x:c>
      <x:c r="G1120" s="38" t="str"/>
      <x:c r="H1120" s="35" t="str">
        <x:v>Actions</x:v>
      </x:c>
      <x:c r="I1120" s="35" t="str">
        <x:v>AG24</x:v>
      </x:c>
      <x:c r="J1120" s="85" t="b">
        <x:v>1</x:v>
      </x:c>
      <x:c r="K1120" s="85" t="b">
        <x:v>1</x:v>
      </x:c>
      <x:c r="L1120" s="56" t="str">
        <x:f>'Actions'!BE24</x:f>
        <x:v>OK</x:v>
      </x:c>
      <x:c r="M1120" s="44" t="str">
        <x:v>Источник Actions.Blockable</x:v>
      </x:c>
    </x:row>
    <x:row r="1121" ht="36" customHeight="1">
      <x:c r="A1121" s="118" t="n">
        <x:v>1116</x:v>
      </x:c>
      <x:c r="B1121" s="35" t="str">
        <x:v>action</x:v>
      </x:c>
      <x:c r="C1121" s="35" t="str">
        <x:v>gorilla_driving_shove</x:v>
      </x:c>
      <x:c r="D1121" s="35" t="str">
        <x:v>dodgeable</x:v>
      </x:c>
      <x:c r="E1121" s="38" t="str">
        <x:v>bool</x:v>
      </x:c>
      <x:c r="F1121" s="56" t="b">
        <x:f>'Actions'!AH24</x:f>
        <x:v>1</x:v>
      </x:c>
      <x:c r="G1121" s="38" t="str"/>
      <x:c r="H1121" s="35" t="str">
        <x:v>Actions</x:v>
      </x:c>
      <x:c r="I1121" s="35" t="str">
        <x:v>AH24</x:v>
      </x:c>
      <x:c r="J1121" s="85" t="b">
        <x:v>1</x:v>
      </x:c>
      <x:c r="K1121" s="85" t="b">
        <x:v>1</x:v>
      </x:c>
      <x:c r="L1121" s="56" t="str">
        <x:f>'Actions'!BE24</x:f>
        <x:v>OK</x:v>
      </x:c>
      <x:c r="M1121" s="44" t="str">
        <x:v>Источник Actions.Dodgeable</x:v>
      </x:c>
    </x:row>
    <x:row r="1122" ht="36" customHeight="1">
      <x:c r="A1122" s="118" t="n">
        <x:v>1117</x:v>
      </x:c>
      <x:c r="B1122" s="35" t="str">
        <x:v>action</x:v>
      </x:c>
      <x:c r="C1122" s="35" t="str">
        <x:v>gorilla_driving_shove</x:v>
      </x:c>
      <x:c r="D1122" s="35" t="str">
        <x:v>undodgeable</x:v>
      </x:c>
      <x:c r="E1122" s="38" t="str">
        <x:v>bool</x:v>
      </x:c>
      <x:c r="F1122" s="56" t="b">
        <x:f>'Actions'!AI24</x:f>
        <x:v>0</x:v>
      </x:c>
      <x:c r="G1122" s="38" t="str"/>
      <x:c r="H1122" s="35" t="str">
        <x:v>Actions</x:v>
      </x:c>
      <x:c r="I1122" s="35" t="str">
        <x:v>AI24</x:v>
      </x:c>
      <x:c r="J1122" s="85" t="b">
        <x:v>1</x:v>
      </x:c>
      <x:c r="K1122" s="85" t="b">
        <x:v>1</x:v>
      </x:c>
      <x:c r="L1122" s="56" t="str">
        <x:f>'Actions'!BE24</x:f>
        <x:v>OK</x:v>
      </x:c>
      <x:c r="M1122" s="44" t="str">
        <x:v>Источник Actions.Undodgeable</x:v>
      </x:c>
    </x:row>
    <x:row r="1123" ht="36" customHeight="1">
      <x:c r="A1123" s="118" t="n">
        <x:v>1118</x:v>
      </x:c>
      <x:c r="B1123" s="35" t="str">
        <x:v>action</x:v>
      </x:c>
      <x:c r="C1123" s="35" t="str">
        <x:v>gorilla_driving_shove</x:v>
      </x:c>
      <x:c r="D1123" s="35" t="str">
        <x:v>wall_impact</x:v>
      </x:c>
      <x:c r="E1123" s="38" t="str">
        <x:v>bool</x:v>
      </x:c>
      <x:c r="F1123" s="56" t="b">
        <x:f>'Actions'!AJ24</x:f>
        <x:v>0</x:v>
      </x:c>
      <x:c r="G1123" s="38" t="str"/>
      <x:c r="H1123" s="35" t="str">
        <x:v>Actions</x:v>
      </x:c>
      <x:c r="I1123" s="35" t="str">
        <x:v>AJ24</x:v>
      </x:c>
      <x:c r="J1123" s="85" t="b">
        <x:v>1</x:v>
      </x:c>
      <x:c r="K1123" s="85" t="b">
        <x:v>1</x:v>
      </x:c>
      <x:c r="L1123" s="56" t="str">
        <x:f>'Actions'!BE24</x:f>
        <x:v>OK</x:v>
      </x:c>
      <x:c r="M1123" s="44" t="str">
        <x:v>Источник Actions.Wall Impact</x:v>
      </x:c>
    </x:row>
    <x:row r="1124" ht="36" customHeight="1">
      <x:c r="A1124" s="118" t="n">
        <x:v>1119</x:v>
      </x:c>
      <x:c r="B1124" s="35" t="str">
        <x:v>action</x:v>
      </x:c>
      <x:c r="C1124" s="35" t="str">
        <x:v>gorilla_driving_shove</x:v>
      </x:c>
      <x:c r="D1124" s="35" t="str">
        <x:v>track_target</x:v>
      </x:c>
      <x:c r="E1124" s="38" t="str">
        <x:v>bool</x:v>
      </x:c>
      <x:c r="F1124" s="56" t="b">
        <x:f>'Actions'!AK24</x:f>
        <x:v>0</x:v>
      </x:c>
      <x:c r="G1124" s="38" t="str"/>
      <x:c r="H1124" s="35" t="str">
        <x:v>Actions</x:v>
      </x:c>
      <x:c r="I1124" s="35" t="str">
        <x:v>AK24</x:v>
      </x:c>
      <x:c r="J1124" s="85" t="b">
        <x:v>1</x:v>
      </x:c>
      <x:c r="K1124" s="85" t="b">
        <x:v>1</x:v>
      </x:c>
      <x:c r="L1124" s="56" t="str">
        <x:f>'Actions'!BE24</x:f>
        <x:v>OK</x:v>
      </x:c>
      <x:c r="M1124" s="44" t="str">
        <x:v>Источник Actions.Track Target</x:v>
      </x:c>
    </x:row>
    <x:row r="1125" ht="36" customHeight="1">
      <x:c r="A1125" s="118" t="n">
        <x:v>1120</x:v>
      </x:c>
      <x:c r="B1125" s="35" t="str">
        <x:v>action</x:v>
      </x:c>
      <x:c r="C1125" s="35" t="str">
        <x:v>gorilla_driving_shove</x:v>
      </x:c>
      <x:c r="D1125" s="35" t="str">
        <x:v>block_base_chance_fp</x:v>
      </x:c>
      <x:c r="E1125" s="38" t="str">
        <x:v>int</x:v>
      </x:c>
      <x:c r="F1125" s="56" t="n">
        <x:f>'Actions'!AL24</x:f>
        <x:v>0</x:v>
      </x:c>
      <x:c r="G1125" s="38" t="str"/>
      <x:c r="H1125" s="35" t="str">
        <x:v>Actions</x:v>
      </x:c>
      <x:c r="I1125" s="35" t="str">
        <x:v>AL24</x:v>
      </x:c>
      <x:c r="J1125" s="85" t="b">
        <x:v>1</x:v>
      </x:c>
      <x:c r="K1125" s="85" t="b">
        <x:v>1</x:v>
      </x:c>
      <x:c r="L1125" s="56" t="str">
        <x:f>'Actions'!BE24</x:f>
        <x:v>OK</x:v>
      </x:c>
      <x:c r="M1125" s="44" t="str">
        <x:v>Источник Actions.Block Base Chance FP</x:v>
      </x:c>
    </x:row>
    <x:row r="1126" ht="36" customHeight="1">
      <x:c r="A1126" s="118" t="n">
        <x:v>1121</x:v>
      </x:c>
      <x:c r="B1126" s="35" t="str">
        <x:v>action</x:v>
      </x:c>
      <x:c r="C1126" s="35" t="str">
        <x:v>gorilla_driving_shove</x:v>
      </x:c>
      <x:c r="D1126" s="35" t="str">
        <x:v>block_reduction_fp</x:v>
      </x:c>
      <x:c r="E1126" s="38" t="str">
        <x:v>int</x:v>
      </x:c>
      <x:c r="F1126" s="56" t="n">
        <x:f>'Actions'!AM24</x:f>
        <x:v>0</x:v>
      </x:c>
      <x:c r="G1126" s="38" t="str"/>
      <x:c r="H1126" s="35" t="str">
        <x:v>Actions</x:v>
      </x:c>
      <x:c r="I1126" s="35" t="str">
        <x:v>AM24</x:v>
      </x:c>
      <x:c r="J1126" s="85" t="b">
        <x:v>1</x:v>
      </x:c>
      <x:c r="K1126" s="85" t="b">
        <x:v>1</x:v>
      </x:c>
      <x:c r="L1126" s="56" t="str">
        <x:f>'Actions'!BE24</x:f>
        <x:v>OK</x:v>
      </x:c>
      <x:c r="M1126" s="44" t="str">
        <x:v>Источник Actions.Block Reduction FP</x:v>
      </x:c>
    </x:row>
    <x:row r="1127" ht="36" customHeight="1">
      <x:c r="A1127" s="118" t="n">
        <x:v>1122</x:v>
      </x:c>
      <x:c r="B1127" s="35" t="str">
        <x:v>action</x:v>
      </x:c>
      <x:c r="C1127" s="35" t="str">
        <x:v>gorilla_driving_shove</x:v>
      </x:c>
      <x:c r="D1127" s="35" t="str">
        <x:v>dodge_base_chance_fp</x:v>
      </x:c>
      <x:c r="E1127" s="38" t="str">
        <x:v>int</x:v>
      </x:c>
      <x:c r="F1127" s="56" t="n">
        <x:f>'Actions'!AN24</x:f>
        <x:v>0</x:v>
      </x:c>
      <x:c r="G1127" s="38" t="str"/>
      <x:c r="H1127" s="35" t="str">
        <x:v>Actions</x:v>
      </x:c>
      <x:c r="I1127" s="35" t="str">
        <x:v>AN24</x:v>
      </x:c>
      <x:c r="J1127" s="85" t="b">
        <x:v>1</x:v>
      </x:c>
      <x:c r="K1127" s="85" t="b">
        <x:v>1</x:v>
      </x:c>
      <x:c r="L1127" s="56" t="str">
        <x:f>'Actions'!BE24</x:f>
        <x:v>OK</x:v>
      </x:c>
      <x:c r="M1127" s="44" t="str">
        <x:v>Источник Actions.Dodge Base Chance FP</x:v>
      </x:c>
    </x:row>
    <x:row r="1128" ht="36" customHeight="1">
      <x:c r="A1128" s="118" t="n">
        <x:v>1123</x:v>
      </x:c>
      <x:c r="B1128" s="35" t="str">
        <x:v>action</x:v>
      </x:c>
      <x:c r="C1128" s="35" t="str">
        <x:v>gorilla_driving_shove</x:v>
      </x:c>
      <x:c r="D1128" s="35" t="str">
        <x:v>movement_mode</x:v>
      </x:c>
      <x:c r="E1128" s="38" t="str">
        <x:v>string</x:v>
      </x:c>
      <x:c r="F1128" s="56" t="str">
        <x:f>'Actions'!AO24</x:f>
        <x:v>Push</x:v>
      </x:c>
      <x:c r="G1128" s="38" t="str"/>
      <x:c r="H1128" s="35" t="str">
        <x:v>Actions</x:v>
      </x:c>
      <x:c r="I1128" s="35" t="str">
        <x:v>AO24</x:v>
      </x:c>
      <x:c r="J1128" s="85" t="b">
        <x:v>1</x:v>
      </x:c>
      <x:c r="K1128" s="85" t="b">
        <x:v>1</x:v>
      </x:c>
      <x:c r="L1128" s="56" t="str">
        <x:f>'Actions'!BE24</x:f>
        <x:v>OK</x:v>
      </x:c>
      <x:c r="M1128" s="44" t="str">
        <x:v>Источник Actions.Movement Mode</x:v>
      </x:c>
    </x:row>
    <x:row r="1129" ht="36" customHeight="1">
      <x:c r="A1129" s="118" t="n">
        <x:v>1124</x:v>
      </x:c>
      <x:c r="B1129" s="35" t="str">
        <x:v>action</x:v>
      </x:c>
      <x:c r="C1129" s="35" t="str">
        <x:v>gorilla_driving_shove</x:v>
      </x:c>
      <x:c r="D1129" s="35" t="str">
        <x:v>move_distance</x:v>
      </x:c>
      <x:c r="E1129" s="38" t="str">
        <x:v>int</x:v>
      </x:c>
      <x:c r="F1129" s="56" t="n">
        <x:f>'Actions'!AP24</x:f>
        <x:v>0</x:v>
      </x:c>
      <x:c r="G1129" s="38" t="str"/>
      <x:c r="H1129" s="35" t="str">
        <x:v>Actions</x:v>
      </x:c>
      <x:c r="I1129" s="35" t="str">
        <x:v>AP24</x:v>
      </x:c>
      <x:c r="J1129" s="85" t="b">
        <x:v>1</x:v>
      </x:c>
      <x:c r="K1129" s="85" t="b">
        <x:v>1</x:v>
      </x:c>
      <x:c r="L1129" s="56" t="str">
        <x:f>'Actions'!BE24</x:f>
        <x:v>OK</x:v>
      </x:c>
      <x:c r="M1129" s="44" t="str">
        <x:v>Источник Actions.Move Distance</x:v>
      </x:c>
    </x:row>
    <x:row r="1130" ht="36" customHeight="1">
      <x:c r="A1130" s="118" t="n">
        <x:v>1125</x:v>
      </x:c>
      <x:c r="B1130" s="35" t="str">
        <x:v>action</x:v>
      </x:c>
      <x:c r="C1130" s="35" t="str">
        <x:v>gorilla_driving_shove</x:v>
      </x:c>
      <x:c r="D1130" s="35" t="str">
        <x:v>base_stagger</x:v>
      </x:c>
      <x:c r="E1130" s="38" t="str">
        <x:v>int</x:v>
      </x:c>
      <x:c r="F1130" s="56" t="n">
        <x:f>'Actions'!AQ24</x:f>
        <x:v>60</x:v>
      </x:c>
      <x:c r="G1130" s="38" t="str"/>
      <x:c r="H1130" s="35" t="str">
        <x:v>Actions</x:v>
      </x:c>
      <x:c r="I1130" s="35" t="str">
        <x:v>AQ24</x:v>
      </x:c>
      <x:c r="J1130" s="85" t="b">
        <x:v>1</x:v>
      </x:c>
      <x:c r="K1130" s="85" t="b">
        <x:v>1</x:v>
      </x:c>
      <x:c r="L1130" s="56" t="str">
        <x:f>'Actions'!BE24</x:f>
        <x:v>OK</x:v>
      </x:c>
      <x:c r="M1130" s="44" t="str">
        <x:v>Источник Actions.Base Stagger</x:v>
      </x:c>
    </x:row>
    <x:row r="1131" ht="36" customHeight="1">
      <x:c r="A1131" s="118" t="n">
        <x:v>1126</x:v>
      </x:c>
      <x:c r="B1131" s="35" t="str">
        <x:v>action</x:v>
      </x:c>
      <x:c r="C1131" s="35" t="str">
        <x:v>gorilla_driving_shove</x:v>
      </x:c>
      <x:c r="D1131" s="35" t="str">
        <x:v>base_stun_ticks</x:v>
      </x:c>
      <x:c r="E1131" s="38" t="str">
        <x:v>int</x:v>
      </x:c>
      <x:c r="F1131" s="56" t="n">
        <x:f>'Actions'!AR24</x:f>
        <x:v>2</x:v>
      </x:c>
      <x:c r="G1131" s="38" t="str"/>
      <x:c r="H1131" s="35" t="str">
        <x:v>Actions</x:v>
      </x:c>
      <x:c r="I1131" s="35" t="str">
        <x:v>AR24</x:v>
      </x:c>
      <x:c r="J1131" s="85" t="b">
        <x:v>1</x:v>
      </x:c>
      <x:c r="K1131" s="85" t="b">
        <x:v>1</x:v>
      </x:c>
      <x:c r="L1131" s="56" t="str">
        <x:f>'Actions'!BE24</x:f>
        <x:v>OK</x:v>
      </x:c>
      <x:c r="M1131" s="44" t="str">
        <x:v>Источник Actions.Base Stun Ticks</x:v>
      </x:c>
    </x:row>
    <x:row r="1132" ht="36" customHeight="1">
      <x:c r="A1132" s="118" t="n">
        <x:v>1127</x:v>
      </x:c>
      <x:c r="B1132" s="35" t="str">
        <x:v>action</x:v>
      </x:c>
      <x:c r="C1132" s="35" t="str">
        <x:v>gorilla_driving_shove</x:v>
      </x:c>
      <x:c r="D1132" s="35" t="str">
        <x:v>base_knockback</x:v>
      </x:c>
      <x:c r="E1132" s="38" t="str">
        <x:v>int</x:v>
      </x:c>
      <x:c r="F1132" s="56" t="n">
        <x:f>'Actions'!AS24</x:f>
        <x:v>900</x:v>
      </x:c>
      <x:c r="G1132" s="38" t="str"/>
      <x:c r="H1132" s="35" t="str">
        <x:v>Actions</x:v>
      </x:c>
      <x:c r="I1132" s="35" t="str">
        <x:v>AS24</x:v>
      </x:c>
      <x:c r="J1132" s="85" t="b">
        <x:v>1</x:v>
      </x:c>
      <x:c r="K1132" s="85" t="b">
        <x:v>1</x:v>
      </x:c>
      <x:c r="L1132" s="56" t="str">
        <x:f>'Actions'!BE24</x:f>
        <x:v>OK</x:v>
      </x:c>
      <x:c r="M1132" s="44" t="str">
        <x:v>Источник Actions.Base Knockback</x:v>
      </x:c>
    </x:row>
    <x:row r="1133" ht="36" customHeight="1">
      <x:c r="A1133" s="118" t="n">
        <x:v>1128</x:v>
      </x:c>
      <x:c r="B1133" s="35" t="str">
        <x:v>action</x:v>
      </x:c>
      <x:c r="C1133" s="35" t="str">
        <x:v>gorilla_driving_shove</x:v>
      </x:c>
      <x:c r="D1133" s="35" t="str">
        <x:v>knockback_min</x:v>
      </x:c>
      <x:c r="E1133" s="38" t="str">
        <x:v>int</x:v>
      </x:c>
      <x:c r="F1133" s="56" t="n">
        <x:f>'Actions'!AT24</x:f>
        <x:v>350</x:v>
      </x:c>
      <x:c r="G1133" s="38" t="str"/>
      <x:c r="H1133" s="35" t="str">
        <x:v>Actions</x:v>
      </x:c>
      <x:c r="I1133" s="35" t="str">
        <x:v>AT24</x:v>
      </x:c>
      <x:c r="J1133" s="85" t="b">
        <x:v>1</x:v>
      </x:c>
      <x:c r="K1133" s="85" t="b">
        <x:v>1</x:v>
      </x:c>
      <x:c r="L1133" s="56" t="str">
        <x:f>'Actions'!BE24</x:f>
        <x:v>OK</x:v>
      </x:c>
      <x:c r="M1133" s="44" t="str">
        <x:v>Источник Actions.Knockback Min</x:v>
      </x:c>
    </x:row>
    <x:row r="1134" ht="36" customHeight="1">
      <x:c r="A1134" s="118" t="n">
        <x:v>1129</x:v>
      </x:c>
      <x:c r="B1134" s="35" t="str">
        <x:v>action</x:v>
      </x:c>
      <x:c r="C1134" s="35" t="str">
        <x:v>gorilla_driving_shove</x:v>
      </x:c>
      <x:c r="D1134" s="35" t="str">
        <x:v>knockback_max</x:v>
      </x:c>
      <x:c r="E1134" s="38" t="str">
        <x:v>int</x:v>
      </x:c>
      <x:c r="F1134" s="56" t="n">
        <x:f>'Actions'!AU24</x:f>
        <x:v>1250</x:v>
      </x:c>
      <x:c r="G1134" s="38" t="str"/>
      <x:c r="H1134" s="35" t="str">
        <x:v>Actions</x:v>
      </x:c>
      <x:c r="I1134" s="35" t="str">
        <x:v>AU24</x:v>
      </x:c>
      <x:c r="J1134" s="85" t="b">
        <x:v>1</x:v>
      </x:c>
      <x:c r="K1134" s="85" t="b">
        <x:v>1</x:v>
      </x:c>
      <x:c r="L1134" s="56" t="str">
        <x:f>'Actions'!BE24</x:f>
        <x:v>OK</x:v>
      </x:c>
      <x:c r="M1134" s="44" t="str">
        <x:v>Источник Actions.Knockback Max</x:v>
      </x:c>
    </x:row>
    <x:row r="1135" ht="36" customHeight="1">
      <x:c r="A1135" s="118" t="n">
        <x:v>1130</x:v>
      </x:c>
      <x:c r="B1135" s="35" t="str">
        <x:v>action</x:v>
      </x:c>
      <x:c r="C1135" s="35" t="str">
        <x:v>gorilla_driving_shove</x:v>
      </x:c>
      <x:c r="D1135" s="35" t="str">
        <x:v>wall_damage_per_unit_fp</x:v>
      </x:c>
      <x:c r="E1135" s="38" t="str">
        <x:v>int</x:v>
      </x:c>
      <x:c r="F1135" s="56" t="n">
        <x:f>'Actions'!AV24</x:f>
        <x:v>0</x:v>
      </x:c>
      <x:c r="G1135" s="38" t="str"/>
      <x:c r="H1135" s="35" t="str">
        <x:v>Actions</x:v>
      </x:c>
      <x:c r="I1135" s="35" t="str">
        <x:v>AV24</x:v>
      </x:c>
      <x:c r="J1135" s="85" t="b">
        <x:v>1</x:v>
      </x:c>
      <x:c r="K1135" s="85" t="b">
        <x:v>1</x:v>
      </x:c>
      <x:c r="L1135" s="56" t="str">
        <x:f>'Actions'!BE24</x:f>
        <x:v>OK</x:v>
      </x:c>
      <x:c r="M1135" s="44" t="str">
        <x:v>Источник Actions.Wall Damage / Unit FP</x:v>
      </x:c>
    </x:row>
    <x:row r="1136" ht="36" customHeight="1">
      <x:c r="A1136" s="118" t="n">
        <x:v>1131</x:v>
      </x:c>
      <x:c r="B1136" s="35" t="str">
        <x:v>action</x:v>
      </x:c>
      <x:c r="C1136" s="35" t="str">
        <x:v>gorilla_driving_shove</x:v>
      </x:c>
      <x:c r="D1136" s="35" t="str">
        <x:v>wall_damage_min</x:v>
      </x:c>
      <x:c r="E1136" s="38" t="str">
        <x:v>int</x:v>
      </x:c>
      <x:c r="F1136" s="56" t="n">
        <x:f>'Actions'!AW24</x:f>
        <x:v>0</x:v>
      </x:c>
      <x:c r="G1136" s="38" t="str"/>
      <x:c r="H1136" s="35" t="str">
        <x:v>Actions</x:v>
      </x:c>
      <x:c r="I1136" s="35" t="str">
        <x:v>AW24</x:v>
      </x:c>
      <x:c r="J1136" s="85" t="b">
        <x:v>1</x:v>
      </x:c>
      <x:c r="K1136" s="85" t="b">
        <x:v>1</x:v>
      </x:c>
      <x:c r="L1136" s="56" t="str">
        <x:f>'Actions'!BE24</x:f>
        <x:v>OK</x:v>
      </x:c>
      <x:c r="M1136" s="44" t="str">
        <x:v>Источник Actions.Wall Damage Min</x:v>
      </x:c>
    </x:row>
    <x:row r="1137" ht="36" customHeight="1">
      <x:c r="A1137" s="118" t="n">
        <x:v>1132</x:v>
      </x:c>
      <x:c r="B1137" s="35" t="str">
        <x:v>action</x:v>
      </x:c>
      <x:c r="C1137" s="35" t="str">
        <x:v>gorilla_driving_shove</x:v>
      </x:c>
      <x:c r="D1137" s="35" t="str">
        <x:v>wall_damage_max</x:v>
      </x:c>
      <x:c r="E1137" s="38" t="str">
        <x:v>int</x:v>
      </x:c>
      <x:c r="F1137" s="56" t="n">
        <x:f>'Actions'!AX24</x:f>
        <x:v>0</x:v>
      </x:c>
      <x:c r="G1137" s="38" t="str"/>
      <x:c r="H1137" s="35" t="str">
        <x:v>Actions</x:v>
      </x:c>
      <x:c r="I1137" s="35" t="str">
        <x:v>AX24</x:v>
      </x:c>
      <x:c r="J1137" s="85" t="b">
        <x:v>1</x:v>
      </x:c>
      <x:c r="K1137" s="85" t="b">
        <x:v>1</x:v>
      </x:c>
      <x:c r="L1137" s="56" t="str">
        <x:f>'Actions'!BE24</x:f>
        <x:v>OK</x:v>
      </x:c>
      <x:c r="M1137" s="44" t="str">
        <x:v>Источник Actions.Wall Damage Max</x:v>
      </x:c>
    </x:row>
    <x:row r="1138" ht="36" customHeight="1">
      <x:c r="A1138" s="118" t="n">
        <x:v>1133</x:v>
      </x:c>
      <x:c r="B1138" s="35" t="str">
        <x:v>action</x:v>
      </x:c>
      <x:c r="C1138" s="35" t="str">
        <x:v>gorilla_driving_shove</x:v>
      </x:c>
      <x:c r="D1138" s="35" t="str">
        <x:v>max_consecutive_uses</x:v>
      </x:c>
      <x:c r="E1138" s="38" t="str">
        <x:v>int</x:v>
      </x:c>
      <x:c r="F1138" s="56" t="n">
        <x:f>'Actions'!AY24</x:f>
        <x:v>2</x:v>
      </x:c>
      <x:c r="G1138" s="38" t="str"/>
      <x:c r="H1138" s="35" t="str">
        <x:v>Actions</x:v>
      </x:c>
      <x:c r="I1138" s="35" t="str">
        <x:v>AY24</x:v>
      </x:c>
      <x:c r="J1138" s="85" t="b">
        <x:v>1</x:v>
      </x:c>
      <x:c r="K1138" s="85" t="b">
        <x:v>1</x:v>
      </x:c>
      <x:c r="L1138" s="56" t="str">
        <x:f>'Actions'!BE24</x:f>
        <x:v>OK</x:v>
      </x:c>
      <x:c r="M1138" s="44" t="str">
        <x:v>Источник Actions.Max Consecutive Uses</x:v>
      </x:c>
    </x:row>
    <x:row r="1139" ht="36" customHeight="1">
      <x:c r="A1139" s="118" t="n">
        <x:v>1134</x:v>
      </x:c>
      <x:c r="B1139" s="35" t="str">
        <x:v>action</x:v>
      </x:c>
      <x:c r="C1139" s="35" t="str">
        <x:v>gorilla_driving_shove</x:v>
      </x:c>
      <x:c r="D1139" s="35" t="str">
        <x:v>opportunity_cap_fp</x:v>
      </x:c>
      <x:c r="E1139" s="38" t="str">
        <x:v>int</x:v>
      </x:c>
      <x:c r="F1139" s="56" t="n">
        <x:f>'Actions'!AZ24</x:f>
        <x:v>1200</x:v>
      </x:c>
      <x:c r="G1139" s="38" t="str"/>
      <x:c r="H1139" s="35" t="str">
        <x:v>Actions</x:v>
      </x:c>
      <x:c r="I1139" s="35" t="str">
        <x:v>AZ24</x:v>
      </x:c>
      <x:c r="J1139" s="85" t="b">
        <x:v>1</x:v>
      </x:c>
      <x:c r="K1139" s="85" t="b">
        <x:v>1</x:v>
      </x:c>
      <x:c r="L1139" s="56" t="str">
        <x:f>'Actions'!BE24</x:f>
        <x:v>OK</x:v>
      </x:c>
      <x:c r="M1139" s="44" t="str">
        <x:v>Источник Actions.Opportunity Cap FP</x:v>
      </x:c>
    </x:row>
    <x:row r="1140" ht="36" customHeight="1">
      <x:c r="A1140" s="118" t="n">
        <x:v>1135</x:v>
      </x:c>
      <x:c r="B1140" s="35" t="str">
        <x:v>action</x:v>
      </x:c>
      <x:c r="C1140" s="35" t="str">
        <x:v>gorilla_driving_shove</x:v>
      </x:c>
      <x:c r="D1140" s="35" t="str">
        <x:v>hard_opportunity_misses</x:v>
      </x:c>
      <x:c r="E1140" s="38" t="str">
        <x:v>int</x:v>
      </x:c>
      <x:c r="F1140" s="56" t="n">
        <x:f>'Actions'!BA24</x:f>
        <x:v>0</x:v>
      </x:c>
      <x:c r="G1140" s="38" t="str"/>
      <x:c r="H1140" s="35" t="str">
        <x:v>Actions</x:v>
      </x:c>
      <x:c r="I1140" s="35" t="str">
        <x:v>BA24</x:v>
      </x:c>
      <x:c r="J1140" s="85" t="b">
        <x:v>1</x:v>
      </x:c>
      <x:c r="K1140" s="85" t="b">
        <x:v>1</x:v>
      </x:c>
      <x:c r="L1140" s="56" t="str">
        <x:f>'Actions'!BE24</x:f>
        <x:v>OK</x:v>
      </x:c>
      <x:c r="M1140" s="44" t="str">
        <x:v>Источник Actions.Hard Opportunity Misses</x:v>
      </x:c>
    </x:row>
    <x:row r="1141" ht="36" customHeight="1">
      <x:c r="A1141" s="118" t="n">
        <x:v>1136</x:v>
      </x:c>
      <x:c r="B1141" s="35" t="str">
        <x:v>action</x:v>
      </x:c>
      <x:c r="C1141" s="35" t="str">
        <x:v>gorilla_high_guard</x:v>
      </x:c>
      <x:c r="D1141" s="35" t="str">
        <x:v>action_id</x:v>
      </x:c>
      <x:c r="E1141" s="38" t="str">
        <x:v>string</x:v>
      </x:c>
      <x:c r="F1141" s="56" t="str">
        <x:f>'Actions'!A25</x:f>
        <x:v>gorilla_high_guard</x:v>
      </x:c>
      <x:c r="G1141" s="38" t="str"/>
      <x:c r="H1141" s="35" t="str">
        <x:v>Actions</x:v>
      </x:c>
      <x:c r="I1141" s="35" t="str">
        <x:v>A25</x:v>
      </x:c>
      <x:c r="J1141" s="85" t="b">
        <x:v>1</x:v>
      </x:c>
      <x:c r="K1141" s="85" t="b">
        <x:v>1</x:v>
      </x:c>
      <x:c r="L1141" s="56" t="str">
        <x:f>'Actions'!BE25</x:f>
        <x:v>OK</x:v>
      </x:c>
      <x:c r="M1141" s="44" t="str">
        <x:v>Источник Actions.Action ID</x:v>
      </x:c>
    </x:row>
    <x:row r="1142" ht="36" customHeight="1">
      <x:c r="A1142" s="118" t="n">
        <x:v>1137</x:v>
      </x:c>
      <x:c r="B1142" s="35" t="str">
        <x:v>action</x:v>
      </x:c>
      <x:c r="C1142" s="35" t="str">
        <x:v>gorilla_high_guard</x:v>
      </x:c>
      <x:c r="D1142" s="35" t="str">
        <x:v>animal_id</x:v>
      </x:c>
      <x:c r="E1142" s="38" t="str">
        <x:v>string</x:v>
      </x:c>
      <x:c r="F1142" s="56" t="str">
        <x:f>'Actions'!B25</x:f>
        <x:v>gorilla</x:v>
      </x:c>
      <x:c r="G1142" s="38" t="str"/>
      <x:c r="H1142" s="35" t="str">
        <x:v>Actions</x:v>
      </x:c>
      <x:c r="I1142" s="35" t="str">
        <x:v>B25</x:v>
      </x:c>
      <x:c r="J1142" s="85" t="b">
        <x:v>1</x:v>
      </x:c>
      <x:c r="K1142" s="85" t="b">
        <x:v>1</x:v>
      </x:c>
      <x:c r="L1142" s="56" t="str">
        <x:f>'Actions'!BE25</x:f>
        <x:v>OK</x:v>
      </x:c>
      <x:c r="M1142" s="44" t="str">
        <x:v>Источник Actions.Animal ID</x:v>
      </x:c>
    </x:row>
    <x:row r="1143" ht="36" customHeight="1">
      <x:c r="A1143" s="118" t="n">
        <x:v>1138</x:v>
      </x:c>
      <x:c r="B1143" s="35" t="str">
        <x:v>action</x:v>
      </x:c>
      <x:c r="C1143" s="35" t="str">
        <x:v>gorilla_high_guard</x:v>
      </x:c>
      <x:c r="D1143" s="35" t="str">
        <x:v>slot_type</x:v>
      </x:c>
      <x:c r="E1143" s="38" t="str">
        <x:v>string</x:v>
      </x:c>
      <x:c r="F1143" s="56" t="str">
        <x:f>'Actions'!D25</x:f>
        <x:v>Basic</x:v>
      </x:c>
      <x:c r="G1143" s="38" t="str"/>
      <x:c r="H1143" s="35" t="str">
        <x:v>Actions</x:v>
      </x:c>
      <x:c r="I1143" s="35" t="str">
        <x:v>D25</x:v>
      </x:c>
      <x:c r="J1143" s="85" t="b">
        <x:v>1</x:v>
      </x:c>
      <x:c r="K1143" s="85" t="b">
        <x:v>1</x:v>
      </x:c>
      <x:c r="L1143" s="56" t="str">
        <x:f>'Actions'!BE25</x:f>
        <x:v>OK</x:v>
      </x:c>
      <x:c r="M1143" s="44" t="str">
        <x:v>Источник Actions.Slot Type</x:v>
      </x:c>
    </x:row>
    <x:row r="1144" ht="36" customHeight="1">
      <x:c r="A1144" s="118" t="n">
        <x:v>1139</x:v>
      </x:c>
      <x:c r="B1144" s="35" t="str">
        <x:v>action</x:v>
      </x:c>
      <x:c r="C1144" s="35" t="str">
        <x:v>gorilla_high_guard</x:v>
      </x:c>
      <x:c r="D1144" s="35" t="str">
        <x:v>category</x:v>
      </x:c>
      <x:c r="E1144" s="38" t="str">
        <x:v>string</x:v>
      </x:c>
      <x:c r="F1144" s="56" t="str">
        <x:f>'Actions'!E25</x:f>
        <x:v>Block</x:v>
      </x:c>
      <x:c r="G1144" s="38" t="str"/>
      <x:c r="H1144" s="35" t="str">
        <x:v>Actions</x:v>
      </x:c>
      <x:c r="I1144" s="35" t="str">
        <x:v>E25</x:v>
      </x:c>
      <x:c r="J1144" s="85" t="b">
        <x:v>1</x:v>
      </x:c>
      <x:c r="K1144" s="85" t="b">
        <x:v>1</x:v>
      </x:c>
      <x:c r="L1144" s="56" t="str">
        <x:f>'Actions'!BE25</x:f>
        <x:v>OK</x:v>
      </x:c>
      <x:c r="M1144" s="44" t="str">
        <x:v>Источник Actions.Category</x:v>
      </x:c>
    </x:row>
    <x:row r="1145" ht="36" customHeight="1">
      <x:c r="A1145" s="118" t="n">
        <x:v>1140</x:v>
      </x:c>
      <x:c r="B1145" s="35" t="str">
        <x:v>action</x:v>
      </x:c>
      <x:c r="C1145" s="35" t="str">
        <x:v>gorilla_high_guard</x:v>
      </x:c>
      <x:c r="D1145" s="35" t="str">
        <x:v>tags</x:v>
      </x:c>
      <x:c r="E1145" s="38" t="str">
        <x:v>string</x:v>
      </x:c>
      <x:c r="F1145" s="56" t="str">
        <x:f>'Actions'!F25</x:f>
        <x:v>block|defense|grip_generator</x:v>
      </x:c>
      <x:c r="G1145" s="38" t="str"/>
      <x:c r="H1145" s="35" t="str">
        <x:v>Actions</x:v>
      </x:c>
      <x:c r="I1145" s="35" t="str">
        <x:v>F25</x:v>
      </x:c>
      <x:c r="J1145" s="85" t="b">
        <x:v>1</x:v>
      </x:c>
      <x:c r="K1145" s="85" t="b">
        <x:v>1</x:v>
      </x:c>
      <x:c r="L1145" s="56" t="str">
        <x:f>'Actions'!BE25</x:f>
        <x:v>OK</x:v>
      </x:c>
      <x:c r="M1145" s="44" t="str">
        <x:v>Источник Actions.Tags</x:v>
      </x:c>
    </x:row>
    <x:row r="1146" ht="36" customHeight="1">
      <x:c r="A1146" s="118" t="n">
        <x:v>1141</x:v>
      </x:c>
      <x:c r="B1146" s="35" t="str">
        <x:v>action</x:v>
      </x:c>
      <x:c r="C1146" s="35" t="str">
        <x:v>gorilla_high_guard</x:v>
      </x:c>
      <x:c r="D1146" s="35" t="str">
        <x:v>base_weight</x:v>
      </x:c>
      <x:c r="E1146" s="38" t="str">
        <x:v>int</x:v>
      </x:c>
      <x:c r="F1146" s="56" t="n">
        <x:f>'Actions'!G25</x:f>
        <x:v>700</x:v>
      </x:c>
      <x:c r="G1146" s="38" t="str"/>
      <x:c r="H1146" s="35" t="str">
        <x:v>Actions</x:v>
      </x:c>
      <x:c r="I1146" s="35" t="str">
        <x:v>G25</x:v>
      </x:c>
      <x:c r="J1146" s="85" t="b">
        <x:v>1</x:v>
      </x:c>
      <x:c r="K1146" s="85" t="b">
        <x:v>1</x:v>
      </x:c>
      <x:c r="L1146" s="56" t="str">
        <x:f>'Actions'!BE25</x:f>
        <x:v>OK</x:v>
      </x:c>
      <x:c r="M1146" s="44" t="str">
        <x:v>Источник Actions.Base Weight</x:v>
      </x:c>
    </x:row>
    <x:row r="1147" ht="36" customHeight="1">
      <x:c r="A1147" s="118" t="n">
        <x:v>1142</x:v>
      </x:c>
      <x:c r="B1147" s="35" t="str">
        <x:v>action</x:v>
      </x:c>
      <x:c r="C1147" s="35" t="str">
        <x:v>gorilla_high_guard</x:v>
      </x:c>
      <x:c r="D1147" s="35" t="str">
        <x:v>preferred_range_min</x:v>
      </x:c>
      <x:c r="E1147" s="38" t="str">
        <x:v>int</x:v>
      </x:c>
      <x:c r="F1147" s="56" t="n">
        <x:f>'Actions'!H25</x:f>
        <x:v>0</x:v>
      </x:c>
      <x:c r="G1147" s="38" t="str"/>
      <x:c r="H1147" s="35" t="str">
        <x:v>Actions</x:v>
      </x:c>
      <x:c r="I1147" s="35" t="str">
        <x:v>H25</x:v>
      </x:c>
      <x:c r="J1147" s="85" t="b">
        <x:v>1</x:v>
      </x:c>
      <x:c r="K1147" s="85" t="b">
        <x:v>1</x:v>
      </x:c>
      <x:c r="L1147" s="56" t="str">
        <x:f>'Actions'!BE25</x:f>
        <x:v>OK</x:v>
      </x:c>
      <x:c r="M1147" s="44" t="str">
        <x:v>Источник Actions.Preferred Range Min</x:v>
      </x:c>
    </x:row>
    <x:row r="1148" ht="36" customHeight="1">
      <x:c r="A1148" s="118" t="n">
        <x:v>1143</x:v>
      </x:c>
      <x:c r="B1148" s="35" t="str">
        <x:v>action</x:v>
      </x:c>
      <x:c r="C1148" s="35" t="str">
        <x:v>gorilla_high_guard</x:v>
      </x:c>
      <x:c r="D1148" s="35" t="str">
        <x:v>preferred_range_max</x:v>
      </x:c>
      <x:c r="E1148" s="38" t="str">
        <x:v>int</x:v>
      </x:c>
      <x:c r="F1148" s="56" t="n">
        <x:f>'Actions'!I25</x:f>
        <x:v>1800</x:v>
      </x:c>
      <x:c r="G1148" s="38" t="str"/>
      <x:c r="H1148" s="35" t="str">
        <x:v>Actions</x:v>
      </x:c>
      <x:c r="I1148" s="35" t="str">
        <x:v>I25</x:v>
      </x:c>
      <x:c r="J1148" s="85" t="b">
        <x:v>1</x:v>
      </x:c>
      <x:c r="K1148" s="85" t="b">
        <x:v>1</x:v>
      </x:c>
      <x:c r="L1148" s="56" t="str">
        <x:f>'Actions'!BE25</x:f>
        <x:v>OK</x:v>
      </x:c>
      <x:c r="M1148" s="44" t="str">
        <x:v>Источник Actions.Preferred Range Max</x:v>
      </x:c>
    </x:row>
    <x:row r="1149" ht="36" customHeight="1">
      <x:c r="A1149" s="118" t="n">
        <x:v>1144</x:v>
      </x:c>
      <x:c r="B1149" s="35" t="str">
        <x:v>action</x:v>
      </x:c>
      <x:c r="C1149" s="35" t="str">
        <x:v>gorilla_high_guard</x:v>
      </x:c>
      <x:c r="D1149" s="35" t="str">
        <x:v>hit_range_min</x:v>
      </x:c>
      <x:c r="E1149" s="38" t="str">
        <x:v>int</x:v>
      </x:c>
      <x:c r="F1149" s="56" t="n">
        <x:f>'Actions'!J25</x:f>
        <x:v>0</x:v>
      </x:c>
      <x:c r="G1149" s="38" t="str"/>
      <x:c r="H1149" s="35" t="str">
        <x:v>Actions</x:v>
      </x:c>
      <x:c r="I1149" s="35" t="str">
        <x:v>J25</x:v>
      </x:c>
      <x:c r="J1149" s="85" t="b">
        <x:v>1</x:v>
      </x:c>
      <x:c r="K1149" s="85" t="b">
        <x:v>1</x:v>
      </x:c>
      <x:c r="L1149" s="56" t="str">
        <x:f>'Actions'!BE25</x:f>
        <x:v>OK</x:v>
      </x:c>
      <x:c r="M1149" s="44" t="str">
        <x:v>Источник Actions.Hit Range Min</x:v>
      </x:c>
    </x:row>
    <x:row r="1150" ht="36" customHeight="1">
      <x:c r="A1150" s="118" t="n">
        <x:v>1145</x:v>
      </x:c>
      <x:c r="B1150" s="35" t="str">
        <x:v>action</x:v>
      </x:c>
      <x:c r="C1150" s="35" t="str">
        <x:v>gorilla_high_guard</x:v>
      </x:c>
      <x:c r="D1150" s="35" t="str">
        <x:v>hit_range_max</x:v>
      </x:c>
      <x:c r="E1150" s="38" t="str">
        <x:v>int</x:v>
      </x:c>
      <x:c r="F1150" s="56" t="n">
        <x:f>'Actions'!K25</x:f>
        <x:v>0</x:v>
      </x:c>
      <x:c r="G1150" s="38" t="str"/>
      <x:c r="H1150" s="35" t="str">
        <x:v>Actions</x:v>
      </x:c>
      <x:c r="I1150" s="35" t="str">
        <x:v>K25</x:v>
      </x:c>
      <x:c r="J1150" s="85" t="b">
        <x:v>1</x:v>
      </x:c>
      <x:c r="K1150" s="85" t="b">
        <x:v>1</x:v>
      </x:c>
      <x:c r="L1150" s="56" t="str">
        <x:f>'Actions'!BE25</x:f>
        <x:v>OK</x:v>
      </x:c>
      <x:c r="M1150" s="44" t="str">
        <x:v>Источник Actions.Hit Range Max</x:v>
      </x:c>
    </x:row>
    <x:row r="1151" ht="36" customHeight="1">
      <x:c r="A1151" s="118" t="n">
        <x:v>1146</x:v>
      </x:c>
      <x:c r="B1151" s="35" t="str">
        <x:v>action</x:v>
      </x:c>
      <x:c r="C1151" s="35" t="str">
        <x:v>gorilla_high_guard</x:v>
      </x:c>
      <x:c r="D1151" s="35" t="str">
        <x:v>energy_cost</x:v>
      </x:c>
      <x:c r="E1151" s="38" t="str">
        <x:v>int</x:v>
      </x:c>
      <x:c r="F1151" s="56" t="n">
        <x:f>'Actions'!L25</x:f>
        <x:v>90</x:v>
      </x:c>
      <x:c r="G1151" s="38" t="str"/>
      <x:c r="H1151" s="35" t="str">
        <x:v>Actions</x:v>
      </x:c>
      <x:c r="I1151" s="35" t="str">
        <x:v>L25</x:v>
      </x:c>
      <x:c r="J1151" s="85" t="b">
        <x:v>1</x:v>
      </x:c>
      <x:c r="K1151" s="85" t="b">
        <x:v>1</x:v>
      </x:c>
      <x:c r="L1151" s="56" t="str">
        <x:f>'Actions'!BE25</x:f>
        <x:v>OK</x:v>
      </x:c>
      <x:c r="M1151" s="44" t="str">
        <x:v>Источник Actions.Energy Cost</x:v>
      </x:c>
    </x:row>
    <x:row r="1152" ht="36" customHeight="1">
      <x:c r="A1152" s="118" t="n">
        <x:v>1147</x:v>
      </x:c>
      <x:c r="B1152" s="35" t="str">
        <x:v>action</x:v>
      </x:c>
      <x:c r="C1152" s="35" t="str">
        <x:v>gorilla_high_guard</x:v>
      </x:c>
      <x:c r="D1152" s="35" t="str">
        <x:v>resource_cost</x:v>
      </x:c>
      <x:c r="E1152" s="38" t="str">
        <x:v>int</x:v>
      </x:c>
      <x:c r="F1152" s="56" t="n">
        <x:f>'Actions'!M25</x:f>
        <x:v>0</x:v>
      </x:c>
      <x:c r="G1152" s="38" t="str"/>
      <x:c r="H1152" s="35" t="str">
        <x:v>Actions</x:v>
      </x:c>
      <x:c r="I1152" s="35" t="str">
        <x:v>M25</x:v>
      </x:c>
      <x:c r="J1152" s="85" t="b">
        <x:v>1</x:v>
      </x:c>
      <x:c r="K1152" s="85" t="b">
        <x:v>1</x:v>
      </x:c>
      <x:c r="L1152" s="56" t="str">
        <x:f>'Actions'!BE25</x:f>
        <x:v>OK</x:v>
      </x:c>
      <x:c r="M1152" s="44" t="str">
        <x:v>Источник Actions.Resource Cost</x:v>
      </x:c>
    </x:row>
    <x:row r="1153" ht="36" customHeight="1">
      <x:c r="A1153" s="118" t="n">
        <x:v>1148</x:v>
      </x:c>
      <x:c r="B1153" s="35" t="str">
        <x:v>action</x:v>
      </x:c>
      <x:c r="C1153" s="35" t="str">
        <x:v>gorilla_high_guard</x:v>
      </x:c>
      <x:c r="D1153" s="35" t="str">
        <x:v>base_damage</x:v>
      </x:c>
      <x:c r="E1153" s="38" t="str">
        <x:v>int</x:v>
      </x:c>
      <x:c r="F1153" s="56" t="n">
        <x:f>'Actions'!N25</x:f>
        <x:v>0</x:v>
      </x:c>
      <x:c r="G1153" s="38" t="str"/>
      <x:c r="H1153" s="35" t="str">
        <x:v>Actions</x:v>
      </x:c>
      <x:c r="I1153" s="35" t="str">
        <x:v>N25</x:v>
      </x:c>
      <x:c r="J1153" s="85" t="b">
        <x:v>1</x:v>
      </x:c>
      <x:c r="K1153" s="85" t="b">
        <x:v>1</x:v>
      </x:c>
      <x:c r="L1153" s="56" t="str">
        <x:f>'Actions'!BE25</x:f>
        <x:v>OK</x:v>
      </x:c>
      <x:c r="M1153" s="44" t="str">
        <x:v>Источник Actions.Base Damage / hit</x:v>
      </x:c>
    </x:row>
    <x:row r="1154" ht="36" customHeight="1">
      <x:c r="A1154" s="118" t="n">
        <x:v>1149</x:v>
      </x:c>
      <x:c r="B1154" s="35" t="str">
        <x:v>action</x:v>
      </x:c>
      <x:c r="C1154" s="35" t="str">
        <x:v>gorilla_high_guard</x:v>
      </x:c>
      <x:c r="D1154" s="35" t="str">
        <x:v>power_ratio_fp</x:v>
      </x:c>
      <x:c r="E1154" s="38" t="str">
        <x:v>int</x:v>
      </x:c>
      <x:c r="F1154" s="56" t="n">
        <x:f>'Actions'!O25</x:f>
        <x:v>0</x:v>
      </x:c>
      <x:c r="G1154" s="38" t="str"/>
      <x:c r="H1154" s="35" t="str">
        <x:v>Actions</x:v>
      </x:c>
      <x:c r="I1154" s="35" t="str">
        <x:v>O25</x:v>
      </x:c>
      <x:c r="J1154" s="85" t="b">
        <x:v>1</x:v>
      </x:c>
      <x:c r="K1154" s="85" t="b">
        <x:v>1</x:v>
      </x:c>
      <x:c r="L1154" s="56" t="str">
        <x:f>'Actions'!BE25</x:f>
        <x:v>OK</x:v>
      </x:c>
      <x:c r="M1154" s="44" t="str">
        <x:v>Источник Actions.Power Ratio FP</x:v>
      </x:c>
    </x:row>
    <x:row r="1155" ht="36" customHeight="1">
      <x:c r="A1155" s="118" t="n">
        <x:v>1150</x:v>
      </x:c>
      <x:c r="B1155" s="35" t="str">
        <x:v>action</x:v>
      </x:c>
      <x:c r="C1155" s="35" t="str">
        <x:v>gorilla_high_guard</x:v>
      </x:c>
      <x:c r="D1155" s="35" t="str">
        <x:v>min_damage</x:v>
      </x:c>
      <x:c r="E1155" s="38" t="str">
        <x:v>int</x:v>
      </x:c>
      <x:c r="F1155" s="56" t="n">
        <x:f>'Actions'!P25</x:f>
        <x:v>0</x:v>
      </x:c>
      <x:c r="G1155" s="38" t="str"/>
      <x:c r="H1155" s="35" t="str">
        <x:v>Actions</x:v>
      </x:c>
      <x:c r="I1155" s="35" t="str">
        <x:v>P25</x:v>
      </x:c>
      <x:c r="J1155" s="85" t="b">
        <x:v>1</x:v>
      </x:c>
      <x:c r="K1155" s="85" t="b">
        <x:v>1</x:v>
      </x:c>
      <x:c r="L1155" s="56" t="str">
        <x:f>'Actions'!BE25</x:f>
        <x:v>OK</x:v>
      </x:c>
      <x:c r="M1155" s="44" t="str">
        <x:v>Источник Actions.Min Damage</x:v>
      </x:c>
    </x:row>
    <x:row r="1156" ht="36" customHeight="1">
      <x:c r="A1156" s="118" t="n">
        <x:v>1151</x:v>
      </x:c>
      <x:c r="B1156" s="35" t="str">
        <x:v>action</x:v>
      </x:c>
      <x:c r="C1156" s="35" t="str">
        <x:v>gorilla_high_guard</x:v>
      </x:c>
      <x:c r="D1156" s="35" t="str">
        <x:v>chip_min</x:v>
      </x:c>
      <x:c r="E1156" s="38" t="str">
        <x:v>int</x:v>
      </x:c>
      <x:c r="F1156" s="56" t="n">
        <x:f>'Actions'!Q25</x:f>
        <x:v>0</x:v>
      </x:c>
      <x:c r="G1156" s="38" t="str"/>
      <x:c r="H1156" s="35" t="str">
        <x:v>Actions</x:v>
      </x:c>
      <x:c r="I1156" s="35" t="str">
        <x:v>Q25</x:v>
      </x:c>
      <x:c r="J1156" s="85" t="b">
        <x:v>1</x:v>
      </x:c>
      <x:c r="K1156" s="85" t="b">
        <x:v>1</x:v>
      </x:c>
      <x:c r="L1156" s="56" t="str">
        <x:f>'Actions'!BE25</x:f>
        <x:v>OK</x:v>
      </x:c>
      <x:c r="M1156" s="44" t="str">
        <x:v>Источник Actions.Chip Min</x:v>
      </x:c>
    </x:row>
    <x:row r="1157" ht="36" customHeight="1">
      <x:c r="A1157" s="118" t="n">
        <x:v>1152</x:v>
      </x:c>
      <x:c r="B1157" s="35" t="str">
        <x:v>action</x:v>
      </x:c>
      <x:c r="C1157" s="35" t="str">
        <x:v>gorilla_high_guard</x:v>
      </x:c>
      <x:c r="D1157" s="35" t="str">
        <x:v>startup_base_ticks</x:v>
      </x:c>
      <x:c r="E1157" s="38" t="str">
        <x:v>int</x:v>
      </x:c>
      <x:c r="F1157" s="56" t="n">
        <x:f>'Actions'!R25</x:f>
        <x:v>2</x:v>
      </x:c>
      <x:c r="G1157" s="38" t="str"/>
      <x:c r="H1157" s="35" t="str">
        <x:v>Actions</x:v>
      </x:c>
      <x:c r="I1157" s="35" t="str">
        <x:v>R25</x:v>
      </x:c>
      <x:c r="J1157" s="85" t="b">
        <x:v>1</x:v>
      </x:c>
      <x:c r="K1157" s="85" t="b">
        <x:v>1</x:v>
      </x:c>
      <x:c r="L1157" s="56" t="str">
        <x:f>'Actions'!BE25</x:f>
        <x:v>OK</x:v>
      </x:c>
      <x:c r="M1157" s="44" t="str">
        <x:v>Источник Actions.Startup Base Ticks</x:v>
      </x:c>
    </x:row>
    <x:row r="1158" ht="36" customHeight="1">
      <x:c r="A1158" s="118" t="n">
        <x:v>1153</x:v>
      </x:c>
      <x:c r="B1158" s="35" t="str">
        <x:v>action</x:v>
      </x:c>
      <x:c r="C1158" s="35" t="str">
        <x:v>gorilla_high_guard</x:v>
      </x:c>
      <x:c r="D1158" s="35" t="str">
        <x:v>startup_min_ticks</x:v>
      </x:c>
      <x:c r="E1158" s="38" t="str">
        <x:v>int</x:v>
      </x:c>
      <x:c r="F1158" s="56" t="n">
        <x:f>'Actions'!S25</x:f>
        <x:v>1</x:v>
      </x:c>
      <x:c r="G1158" s="38" t="str"/>
      <x:c r="H1158" s="35" t="str">
        <x:v>Actions</x:v>
      </x:c>
      <x:c r="I1158" s="35" t="str">
        <x:v>S25</x:v>
      </x:c>
      <x:c r="J1158" s="85" t="b">
        <x:v>1</x:v>
      </x:c>
      <x:c r="K1158" s="85" t="b">
        <x:v>1</x:v>
      </x:c>
      <x:c r="L1158" s="56" t="str">
        <x:f>'Actions'!BE25</x:f>
        <x:v>OK</x:v>
      </x:c>
      <x:c r="M1158" s="44" t="str">
        <x:v>Источник Actions.Startup Min Ticks</x:v>
      </x:c>
    </x:row>
    <x:row r="1159" ht="36" customHeight="1">
      <x:c r="A1159" s="118" t="n">
        <x:v>1154</x:v>
      </x:c>
      <x:c r="B1159" s="35" t="str">
        <x:v>action</x:v>
      </x:c>
      <x:c r="C1159" s="35" t="str">
        <x:v>gorilla_high_guard</x:v>
      </x:c>
      <x:c r="D1159" s="35" t="str">
        <x:v>startup_max_ticks</x:v>
      </x:c>
      <x:c r="E1159" s="38" t="str">
        <x:v>int</x:v>
      </x:c>
      <x:c r="F1159" s="56" t="n">
        <x:f>'Actions'!T25</x:f>
        <x:v>4</x:v>
      </x:c>
      <x:c r="G1159" s="38" t="str"/>
      <x:c r="H1159" s="35" t="str">
        <x:v>Actions</x:v>
      </x:c>
      <x:c r="I1159" s="35" t="str">
        <x:v>T25</x:v>
      </x:c>
      <x:c r="J1159" s="85" t="b">
        <x:v>1</x:v>
      </x:c>
      <x:c r="K1159" s="85" t="b">
        <x:v>1</x:v>
      </x:c>
      <x:c r="L1159" s="56" t="str">
        <x:f>'Actions'!BE25</x:f>
        <x:v>OK</x:v>
      </x:c>
      <x:c r="M1159" s="44" t="str">
        <x:v>Источник Actions.Startup Max Ticks</x:v>
      </x:c>
    </x:row>
    <x:row r="1160" ht="36" customHeight="1">
      <x:c r="A1160" s="118" t="n">
        <x:v>1155</x:v>
      </x:c>
      <x:c r="B1160" s="35" t="str">
        <x:v>action</x:v>
      </x:c>
      <x:c r="C1160" s="35" t="str">
        <x:v>gorilla_high_guard</x:v>
      </x:c>
      <x:c r="D1160" s="35" t="str">
        <x:v>active_ticks</x:v>
      </x:c>
      <x:c r="E1160" s="38" t="str">
        <x:v>int</x:v>
      </x:c>
      <x:c r="F1160" s="56" t="n">
        <x:f>'Actions'!U25</x:f>
        <x:v>12</x:v>
      </x:c>
      <x:c r="G1160" s="38" t="str"/>
      <x:c r="H1160" s="35" t="str">
        <x:v>Actions</x:v>
      </x:c>
      <x:c r="I1160" s="35" t="str">
        <x:v>U25</x:v>
      </x:c>
      <x:c r="J1160" s="85" t="b">
        <x:v>1</x:v>
      </x:c>
      <x:c r="K1160" s="85" t="b">
        <x:v>1</x:v>
      </x:c>
      <x:c r="L1160" s="56" t="str">
        <x:f>'Actions'!BE25</x:f>
        <x:v>OK</x:v>
      </x:c>
      <x:c r="M1160" s="44" t="str">
        <x:v>Источник Actions.Active Ticks</x:v>
      </x:c>
    </x:row>
    <x:row r="1161" ht="36" customHeight="1">
      <x:c r="A1161" s="118" t="n">
        <x:v>1156</x:v>
      </x:c>
      <x:c r="B1161" s="35" t="str">
        <x:v>action</x:v>
      </x:c>
      <x:c r="C1161" s="35" t="str">
        <x:v>gorilla_high_guard</x:v>
      </x:c>
      <x:c r="D1161" s="35" t="str">
        <x:v>hit_schedule</x:v>
      </x:c>
      <x:c r="E1161" s="38" t="str">
        <x:v>string</x:v>
      </x:c>
      <x:c r="F1161" s="56" t="str">
        <x:f>'Actions'!V25</x:f>
      </x:c>
      <x:c r="G1161" s="38" t="str"/>
      <x:c r="H1161" s="35" t="str">
        <x:v>Actions</x:v>
      </x:c>
      <x:c r="I1161" s="35" t="str">
        <x:v>V25</x:v>
      </x:c>
      <x:c r="J1161" s="85" t="b">
        <x:v>1</x:v>
      </x:c>
      <x:c r="K1161" s="85" t="b">
        <x:v>1</x:v>
      </x:c>
      <x:c r="L1161" s="56" t="str">
        <x:f>'Actions'!BE25</x:f>
        <x:v>OK</x:v>
      </x:c>
      <x:c r="M1161" s="44" t="str">
        <x:v>Источник Actions.Hit Schedule</x:v>
      </x:c>
    </x:row>
    <x:row r="1162" ht="36" customHeight="1">
      <x:c r="A1162" s="118" t="n">
        <x:v>1157</x:v>
      </x:c>
      <x:c r="B1162" s="35" t="str">
        <x:v>action</x:v>
      </x:c>
      <x:c r="C1162" s="35" t="str">
        <x:v>gorilla_high_guard</x:v>
      </x:c>
      <x:c r="D1162" s="35" t="str">
        <x:v>hit_count</x:v>
      </x:c>
      <x:c r="E1162" s="38" t="str">
        <x:v>int</x:v>
      </x:c>
      <x:c r="F1162" s="56" t="n">
        <x:f>'Actions'!W25</x:f>
        <x:v>0</x:v>
      </x:c>
      <x:c r="G1162" s="38" t="str"/>
      <x:c r="H1162" s="35" t="str">
        <x:v>Actions</x:v>
      </x:c>
      <x:c r="I1162" s="35" t="str">
        <x:v>W25</x:v>
      </x:c>
      <x:c r="J1162" s="85" t="b">
        <x:v>1</x:v>
      </x:c>
      <x:c r="K1162" s="85" t="b">
        <x:v>1</x:v>
      </x:c>
      <x:c r="L1162" s="56" t="str">
        <x:f>'Actions'!BE25</x:f>
        <x:v>OK</x:v>
      </x:c>
      <x:c r="M1162" s="44" t="str">
        <x:v>Источник Actions.Hit Count</x:v>
      </x:c>
    </x:row>
    <x:row r="1163" ht="36" customHeight="1">
      <x:c r="A1163" s="118" t="n">
        <x:v>1158</x:v>
      </x:c>
      <x:c r="B1163" s="35" t="str">
        <x:v>action</x:v>
      </x:c>
      <x:c r="C1163" s="35" t="str">
        <x:v>gorilla_high_guard</x:v>
      </x:c>
      <x:c r="D1163" s="35" t="str">
        <x:v>recovery_base_ticks</x:v>
      </x:c>
      <x:c r="E1163" s="38" t="str">
        <x:v>int</x:v>
      </x:c>
      <x:c r="F1163" s="56" t="n">
        <x:f>'Actions'!X25</x:f>
        <x:v>6</x:v>
      </x:c>
      <x:c r="G1163" s="38" t="str"/>
      <x:c r="H1163" s="35" t="str">
        <x:v>Actions</x:v>
      </x:c>
      <x:c r="I1163" s="35" t="str">
        <x:v>X25</x:v>
      </x:c>
      <x:c r="J1163" s="85" t="b">
        <x:v>1</x:v>
      </x:c>
      <x:c r="K1163" s="85" t="b">
        <x:v>1</x:v>
      </x:c>
      <x:c r="L1163" s="56" t="str">
        <x:f>'Actions'!BE25</x:f>
        <x:v>OK</x:v>
      </x:c>
      <x:c r="M1163" s="44" t="str">
        <x:v>Источник Actions.Recovery Base Ticks</x:v>
      </x:c>
    </x:row>
    <x:row r="1164" ht="36" customHeight="1">
      <x:c r="A1164" s="118" t="n">
        <x:v>1159</x:v>
      </x:c>
      <x:c r="B1164" s="35" t="str">
        <x:v>action</x:v>
      </x:c>
      <x:c r="C1164" s="35" t="str">
        <x:v>gorilla_high_guard</x:v>
      </x:c>
      <x:c r="D1164" s="35" t="str">
        <x:v>recovery_min_ticks</x:v>
      </x:c>
      <x:c r="E1164" s="38" t="str">
        <x:v>int</x:v>
      </x:c>
      <x:c r="F1164" s="56" t="n">
        <x:f>'Actions'!Y25</x:f>
        <x:v>4</x:v>
      </x:c>
      <x:c r="G1164" s="38" t="str"/>
      <x:c r="H1164" s="35" t="str">
        <x:v>Actions</x:v>
      </x:c>
      <x:c r="I1164" s="35" t="str">
        <x:v>Y25</x:v>
      </x:c>
      <x:c r="J1164" s="85" t="b">
        <x:v>1</x:v>
      </x:c>
      <x:c r="K1164" s="85" t="b">
        <x:v>1</x:v>
      </x:c>
      <x:c r="L1164" s="56" t="str">
        <x:f>'Actions'!BE25</x:f>
        <x:v>OK</x:v>
      </x:c>
      <x:c r="M1164" s="44" t="str">
        <x:v>Источник Actions.Recovery Min Ticks</x:v>
      </x:c>
    </x:row>
    <x:row r="1165" ht="36" customHeight="1">
      <x:c r="A1165" s="118" t="n">
        <x:v>1160</x:v>
      </x:c>
      <x:c r="B1165" s="35" t="str">
        <x:v>action</x:v>
      </x:c>
      <x:c r="C1165" s="35" t="str">
        <x:v>gorilla_high_guard</x:v>
      </x:c>
      <x:c r="D1165" s="35" t="str">
        <x:v>recovery_max_ticks</x:v>
      </x:c>
      <x:c r="E1165" s="38" t="str">
        <x:v>int</x:v>
      </x:c>
      <x:c r="F1165" s="56" t="n">
        <x:f>'Actions'!Z25</x:f>
        <x:v>9</x:v>
      </x:c>
      <x:c r="G1165" s="38" t="str"/>
      <x:c r="H1165" s="35" t="str">
        <x:v>Actions</x:v>
      </x:c>
      <x:c r="I1165" s="35" t="str">
        <x:v>Z25</x:v>
      </x:c>
      <x:c r="J1165" s="85" t="b">
        <x:v>1</x:v>
      </x:c>
      <x:c r="K1165" s="85" t="b">
        <x:v>1</x:v>
      </x:c>
      <x:c r="L1165" s="56" t="str">
        <x:f>'Actions'!BE25</x:f>
        <x:v>OK</x:v>
      </x:c>
      <x:c r="M1165" s="44" t="str">
        <x:v>Источник Actions.Recovery Max Ticks</x:v>
      </x:c>
    </x:row>
    <x:row r="1166" ht="36" customHeight="1">
      <x:c r="A1166" s="118" t="n">
        <x:v>1161</x:v>
      </x:c>
      <x:c r="B1166" s="35" t="str">
        <x:v>action</x:v>
      </x:c>
      <x:c r="C1166" s="35" t="str">
        <x:v>gorilla_high_guard</x:v>
      </x:c>
      <x:c r="D1166" s="35" t="str">
        <x:v>cooldown_ticks</x:v>
      </x:c>
      <x:c r="E1166" s="38" t="str">
        <x:v>int</x:v>
      </x:c>
      <x:c r="F1166" s="56" t="n">
        <x:f>'Actions'!AA25</x:f>
        <x:v>15</x:v>
      </x:c>
      <x:c r="G1166" s="38" t="str"/>
      <x:c r="H1166" s="35" t="str">
        <x:v>Actions</x:v>
      </x:c>
      <x:c r="I1166" s="35" t="str">
        <x:v>AA25</x:v>
      </x:c>
      <x:c r="J1166" s="85" t="b">
        <x:v>1</x:v>
      </x:c>
      <x:c r="K1166" s="85" t="b">
        <x:v>1</x:v>
      </x:c>
      <x:c r="L1166" s="56" t="str">
        <x:f>'Actions'!BE25</x:f>
        <x:v>OK</x:v>
      </x:c>
      <x:c r="M1166" s="44" t="str">
        <x:v>Источник Actions.Cooldown Ticks</x:v>
      </x:c>
    </x:row>
    <x:row r="1167" ht="36" customHeight="1">
      <x:c r="A1167" s="118" t="n">
        <x:v>1162</x:v>
      </x:c>
      <x:c r="B1167" s="35" t="str">
        <x:v>action</x:v>
      </x:c>
      <x:c r="C1167" s="35" t="str">
        <x:v>gorilla_high_guard</x:v>
      </x:c>
      <x:c r="D1167" s="35" t="str">
        <x:v>action_priority</x:v>
      </x:c>
      <x:c r="E1167" s="38" t="str">
        <x:v>int</x:v>
      </x:c>
      <x:c r="F1167" s="56" t="n">
        <x:f>'Actions'!AB25</x:f>
        <x:v>40</x:v>
      </x:c>
      <x:c r="G1167" s="38" t="str"/>
      <x:c r="H1167" s="35" t="str">
        <x:v>Actions</x:v>
      </x:c>
      <x:c r="I1167" s="35" t="str">
        <x:v>AB25</x:v>
      </x:c>
      <x:c r="J1167" s="85" t="b">
        <x:v>1</x:v>
      </x:c>
      <x:c r="K1167" s="85" t="b">
        <x:v>1</x:v>
      </x:c>
      <x:c r="L1167" s="56" t="str">
        <x:f>'Actions'!BE25</x:f>
        <x:v>OK</x:v>
      </x:c>
      <x:c r="M1167" s="44" t="str">
        <x:v>Источник Actions.Action Priority</x:v>
      </x:c>
    </x:row>
    <x:row r="1168" ht="36" customHeight="1">
      <x:c r="A1168" s="118" t="n">
        <x:v>1163</x:v>
      </x:c>
      <x:c r="B1168" s="35" t="str">
        <x:v>action</x:v>
      </x:c>
      <x:c r="C1168" s="35" t="str">
        <x:v>gorilla_high_guard</x:v>
      </x:c>
      <x:c r="D1168" s="35" t="str">
        <x:v>clash_priority</x:v>
      </x:c>
      <x:c r="E1168" s="38" t="str">
        <x:v>int</x:v>
      </x:c>
      <x:c r="F1168" s="56" t="n">
        <x:f>'Actions'!AC25</x:f>
        <x:v>0</x:v>
      </x:c>
      <x:c r="G1168" s="38" t="str"/>
      <x:c r="H1168" s="35" t="str">
        <x:v>Actions</x:v>
      </x:c>
      <x:c r="I1168" s="35" t="str">
        <x:v>AC25</x:v>
      </x:c>
      <x:c r="J1168" s="85" t="b">
        <x:v>1</x:v>
      </x:c>
      <x:c r="K1168" s="85" t="b">
        <x:v>1</x:v>
      </x:c>
      <x:c r="L1168" s="56" t="str">
        <x:f>'Actions'!BE25</x:f>
        <x:v>OK</x:v>
      </x:c>
      <x:c r="M1168" s="44" t="str">
        <x:v>Источник Actions.Clash Priority</x:v>
      </x:c>
    </x:row>
    <x:row r="1169" ht="36" customHeight="1">
      <x:c r="A1169" s="118" t="n">
        <x:v>1164</x:v>
      </x:c>
      <x:c r="B1169" s="35" t="str">
        <x:v>action</x:v>
      </x:c>
      <x:c r="C1169" s="35" t="str">
        <x:v>gorilla_high_guard</x:v>
      </x:c>
      <x:c r="D1169" s="35" t="str">
        <x:v>grab_priority</x:v>
      </x:c>
      <x:c r="E1169" s="38" t="str">
        <x:v>int</x:v>
      </x:c>
      <x:c r="F1169" s="56" t="n">
        <x:f>'Actions'!AD25</x:f>
        <x:v>0</x:v>
      </x:c>
      <x:c r="G1169" s="38" t="str"/>
      <x:c r="H1169" s="35" t="str">
        <x:v>Actions</x:v>
      </x:c>
      <x:c r="I1169" s="35" t="str">
        <x:v>AD25</x:v>
      </x:c>
      <x:c r="J1169" s="85" t="b">
        <x:v>1</x:v>
      </x:c>
      <x:c r="K1169" s="85" t="b">
        <x:v>1</x:v>
      </x:c>
      <x:c r="L1169" s="56" t="str">
        <x:f>'Actions'!BE25</x:f>
        <x:v>OK</x:v>
      </x:c>
      <x:c r="M1169" s="44" t="str">
        <x:v>Источник Actions.Grab Priority</x:v>
      </x:c>
    </x:row>
    <x:row r="1170" ht="36" customHeight="1">
      <x:c r="A1170" s="118" t="n">
        <x:v>1165</x:v>
      </x:c>
      <x:c r="B1170" s="35" t="str">
        <x:v>action</x:v>
      </x:c>
      <x:c r="C1170" s="35" t="str">
        <x:v>gorilla_high_guard</x:v>
      </x:c>
      <x:c r="D1170" s="35" t="str">
        <x:v>resolution_priority</x:v>
      </x:c>
      <x:c r="E1170" s="38" t="str">
        <x:v>int</x:v>
      </x:c>
      <x:c r="F1170" s="56" t="n">
        <x:f>'Actions'!AE25</x:f>
        <x:v>85</x:v>
      </x:c>
      <x:c r="G1170" s="38" t="str"/>
      <x:c r="H1170" s="35" t="str">
        <x:v>Actions</x:v>
      </x:c>
      <x:c r="I1170" s="35" t="str">
        <x:v>AE25</x:v>
      </x:c>
      <x:c r="J1170" s="85" t="b">
        <x:v>1</x:v>
      </x:c>
      <x:c r="K1170" s="85" t="b">
        <x:v>1</x:v>
      </x:c>
      <x:c r="L1170" s="56" t="str">
        <x:f>'Actions'!BE25</x:f>
        <x:v>OK</x:v>
      </x:c>
      <x:c r="M1170" s="44" t="str">
        <x:v>Источник Actions.Resolution Priority</x:v>
      </x:c>
    </x:row>
    <x:row r="1171" ht="36" customHeight="1">
      <x:c r="A1171" s="118" t="n">
        <x:v>1166</x:v>
      </x:c>
      <x:c r="B1171" s="35" t="str">
        <x:v>action</x:v>
      </x:c>
      <x:c r="C1171" s="35" t="str">
        <x:v>gorilla_high_guard</x:v>
      </x:c>
      <x:c r="D1171" s="35" t="str">
        <x:v>interrupt_profile</x:v>
      </x:c>
      <x:c r="E1171" s="38" t="str">
        <x:v>string</x:v>
      </x:c>
      <x:c r="F1171" s="56" t="str">
        <x:f>'Actions'!AF25</x:f>
        <x:v>Committed</x:v>
      </x:c>
      <x:c r="G1171" s="38" t="str"/>
      <x:c r="H1171" s="35" t="str">
        <x:v>Actions</x:v>
      </x:c>
      <x:c r="I1171" s="35" t="str">
        <x:v>AF25</x:v>
      </x:c>
      <x:c r="J1171" s="85" t="b">
        <x:v>1</x:v>
      </x:c>
      <x:c r="K1171" s="85" t="b">
        <x:v>1</x:v>
      </x:c>
      <x:c r="L1171" s="56" t="str">
        <x:f>'Actions'!BE25</x:f>
        <x:v>OK</x:v>
      </x:c>
      <x:c r="M1171" s="44" t="str">
        <x:v>Источник Actions.Interrupt Profile</x:v>
      </x:c>
    </x:row>
    <x:row r="1172" ht="36" customHeight="1">
      <x:c r="A1172" s="118" t="n">
        <x:v>1167</x:v>
      </x:c>
      <x:c r="B1172" s="35" t="str">
        <x:v>action</x:v>
      </x:c>
      <x:c r="C1172" s="35" t="str">
        <x:v>gorilla_high_guard</x:v>
      </x:c>
      <x:c r="D1172" s="35" t="str">
        <x:v>blockable</x:v>
      </x:c>
      <x:c r="E1172" s="38" t="str">
        <x:v>bool</x:v>
      </x:c>
      <x:c r="F1172" s="56" t="b">
        <x:f>'Actions'!AG25</x:f>
        <x:v>0</x:v>
      </x:c>
      <x:c r="G1172" s="38" t="str"/>
      <x:c r="H1172" s="35" t="str">
        <x:v>Actions</x:v>
      </x:c>
      <x:c r="I1172" s="35" t="str">
        <x:v>AG25</x:v>
      </x:c>
      <x:c r="J1172" s="85" t="b">
        <x:v>1</x:v>
      </x:c>
      <x:c r="K1172" s="85" t="b">
        <x:v>1</x:v>
      </x:c>
      <x:c r="L1172" s="56" t="str">
        <x:f>'Actions'!BE25</x:f>
        <x:v>OK</x:v>
      </x:c>
      <x:c r="M1172" s="44" t="str">
        <x:v>Источник Actions.Blockable</x:v>
      </x:c>
    </x:row>
    <x:row r="1173" ht="36" customHeight="1">
      <x:c r="A1173" s="118" t="n">
        <x:v>1168</x:v>
      </x:c>
      <x:c r="B1173" s="35" t="str">
        <x:v>action</x:v>
      </x:c>
      <x:c r="C1173" s="35" t="str">
        <x:v>gorilla_high_guard</x:v>
      </x:c>
      <x:c r="D1173" s="35" t="str">
        <x:v>dodgeable</x:v>
      </x:c>
      <x:c r="E1173" s="38" t="str">
        <x:v>bool</x:v>
      </x:c>
      <x:c r="F1173" s="56" t="b">
        <x:f>'Actions'!AH25</x:f>
        <x:v>0</x:v>
      </x:c>
      <x:c r="G1173" s="38" t="str"/>
      <x:c r="H1173" s="35" t="str">
        <x:v>Actions</x:v>
      </x:c>
      <x:c r="I1173" s="35" t="str">
        <x:v>AH25</x:v>
      </x:c>
      <x:c r="J1173" s="85" t="b">
        <x:v>1</x:v>
      </x:c>
      <x:c r="K1173" s="85" t="b">
        <x:v>1</x:v>
      </x:c>
      <x:c r="L1173" s="56" t="str">
        <x:f>'Actions'!BE25</x:f>
        <x:v>OK</x:v>
      </x:c>
      <x:c r="M1173" s="44" t="str">
        <x:v>Источник Actions.Dodgeable</x:v>
      </x:c>
    </x:row>
    <x:row r="1174" ht="36" customHeight="1">
      <x:c r="A1174" s="118" t="n">
        <x:v>1169</x:v>
      </x:c>
      <x:c r="B1174" s="35" t="str">
        <x:v>action</x:v>
      </x:c>
      <x:c r="C1174" s="35" t="str">
        <x:v>gorilla_high_guard</x:v>
      </x:c>
      <x:c r="D1174" s="35" t="str">
        <x:v>undodgeable</x:v>
      </x:c>
      <x:c r="E1174" s="38" t="str">
        <x:v>bool</x:v>
      </x:c>
      <x:c r="F1174" s="56" t="b">
        <x:f>'Actions'!AI25</x:f>
        <x:v>0</x:v>
      </x:c>
      <x:c r="G1174" s="38" t="str"/>
      <x:c r="H1174" s="35" t="str">
        <x:v>Actions</x:v>
      </x:c>
      <x:c r="I1174" s="35" t="str">
        <x:v>AI25</x:v>
      </x:c>
      <x:c r="J1174" s="85" t="b">
        <x:v>1</x:v>
      </x:c>
      <x:c r="K1174" s="85" t="b">
        <x:v>1</x:v>
      </x:c>
      <x:c r="L1174" s="56" t="str">
        <x:f>'Actions'!BE25</x:f>
        <x:v>OK</x:v>
      </x:c>
      <x:c r="M1174" s="44" t="str">
        <x:v>Источник Actions.Undodgeable</x:v>
      </x:c>
    </x:row>
    <x:row r="1175" ht="36" customHeight="1">
      <x:c r="A1175" s="118" t="n">
        <x:v>1170</x:v>
      </x:c>
      <x:c r="B1175" s="35" t="str">
        <x:v>action</x:v>
      </x:c>
      <x:c r="C1175" s="35" t="str">
        <x:v>gorilla_high_guard</x:v>
      </x:c>
      <x:c r="D1175" s="35" t="str">
        <x:v>wall_impact</x:v>
      </x:c>
      <x:c r="E1175" s="38" t="str">
        <x:v>bool</x:v>
      </x:c>
      <x:c r="F1175" s="56" t="b">
        <x:f>'Actions'!AJ25</x:f>
        <x:v>0</x:v>
      </x:c>
      <x:c r="G1175" s="38" t="str"/>
      <x:c r="H1175" s="35" t="str">
        <x:v>Actions</x:v>
      </x:c>
      <x:c r="I1175" s="35" t="str">
        <x:v>AJ25</x:v>
      </x:c>
      <x:c r="J1175" s="85" t="b">
        <x:v>1</x:v>
      </x:c>
      <x:c r="K1175" s="85" t="b">
        <x:v>1</x:v>
      </x:c>
      <x:c r="L1175" s="56" t="str">
        <x:f>'Actions'!BE25</x:f>
        <x:v>OK</x:v>
      </x:c>
      <x:c r="M1175" s="44" t="str">
        <x:v>Источник Actions.Wall Impact</x:v>
      </x:c>
    </x:row>
    <x:row r="1176" ht="36" customHeight="1">
      <x:c r="A1176" s="118" t="n">
        <x:v>1171</x:v>
      </x:c>
      <x:c r="B1176" s="35" t="str">
        <x:v>action</x:v>
      </x:c>
      <x:c r="C1176" s="35" t="str">
        <x:v>gorilla_high_guard</x:v>
      </x:c>
      <x:c r="D1176" s="35" t="str">
        <x:v>track_target</x:v>
      </x:c>
      <x:c r="E1176" s="38" t="str">
        <x:v>bool</x:v>
      </x:c>
      <x:c r="F1176" s="56" t="b">
        <x:f>'Actions'!AK25</x:f>
        <x:v>0</x:v>
      </x:c>
      <x:c r="G1176" s="38" t="str"/>
      <x:c r="H1176" s="35" t="str">
        <x:v>Actions</x:v>
      </x:c>
      <x:c r="I1176" s="35" t="str">
        <x:v>AK25</x:v>
      </x:c>
      <x:c r="J1176" s="85" t="b">
        <x:v>1</x:v>
      </x:c>
      <x:c r="K1176" s="85" t="b">
        <x:v>1</x:v>
      </x:c>
      <x:c r="L1176" s="56" t="str">
        <x:f>'Actions'!BE25</x:f>
        <x:v>OK</x:v>
      </x:c>
      <x:c r="M1176" s="44" t="str">
        <x:v>Источник Actions.Track Target</x:v>
      </x:c>
    </x:row>
    <x:row r="1177" ht="36" customHeight="1">
      <x:c r="A1177" s="118" t="n">
        <x:v>1172</x:v>
      </x:c>
      <x:c r="B1177" s="35" t="str">
        <x:v>action</x:v>
      </x:c>
      <x:c r="C1177" s="35" t="str">
        <x:v>gorilla_high_guard</x:v>
      </x:c>
      <x:c r="D1177" s="35" t="str">
        <x:v>block_base_chance_fp</x:v>
      </x:c>
      <x:c r="E1177" s="38" t="str">
        <x:v>int</x:v>
      </x:c>
      <x:c r="F1177" s="56" t="n">
        <x:f>'Actions'!AL25</x:f>
        <x:v>700</x:v>
      </x:c>
      <x:c r="G1177" s="38" t="str"/>
      <x:c r="H1177" s="35" t="str">
        <x:v>Actions</x:v>
      </x:c>
      <x:c r="I1177" s="35" t="str">
        <x:v>AL25</x:v>
      </x:c>
      <x:c r="J1177" s="85" t="b">
        <x:v>1</x:v>
      </x:c>
      <x:c r="K1177" s="85" t="b">
        <x:v>1</x:v>
      </x:c>
      <x:c r="L1177" s="56" t="str">
        <x:f>'Actions'!BE25</x:f>
        <x:v>OK</x:v>
      </x:c>
      <x:c r="M1177" s="44" t="str">
        <x:v>Источник Actions.Block Base Chance FP</x:v>
      </x:c>
    </x:row>
    <x:row r="1178" ht="36" customHeight="1">
      <x:c r="A1178" s="118" t="n">
        <x:v>1173</x:v>
      </x:c>
      <x:c r="B1178" s="35" t="str">
        <x:v>action</x:v>
      </x:c>
      <x:c r="C1178" s="35" t="str">
        <x:v>gorilla_high_guard</x:v>
      </x:c>
      <x:c r="D1178" s="35" t="str">
        <x:v>block_reduction_fp</x:v>
      </x:c>
      <x:c r="E1178" s="38" t="str">
        <x:v>int</x:v>
      </x:c>
      <x:c r="F1178" s="56" t="n">
        <x:f>'Actions'!AM25</x:f>
        <x:v>650</x:v>
      </x:c>
      <x:c r="G1178" s="38" t="str"/>
      <x:c r="H1178" s="35" t="str">
        <x:v>Actions</x:v>
      </x:c>
      <x:c r="I1178" s="35" t="str">
        <x:v>AM25</x:v>
      </x:c>
      <x:c r="J1178" s="85" t="b">
        <x:v>1</x:v>
      </x:c>
      <x:c r="K1178" s="85" t="b">
        <x:v>1</x:v>
      </x:c>
      <x:c r="L1178" s="56" t="str">
        <x:f>'Actions'!BE25</x:f>
        <x:v>OK</x:v>
      </x:c>
      <x:c r="M1178" s="44" t="str">
        <x:v>Источник Actions.Block Reduction FP</x:v>
      </x:c>
    </x:row>
    <x:row r="1179" ht="36" customHeight="1">
      <x:c r="A1179" s="118" t="n">
        <x:v>1174</x:v>
      </x:c>
      <x:c r="B1179" s="35" t="str">
        <x:v>action</x:v>
      </x:c>
      <x:c r="C1179" s="35" t="str">
        <x:v>gorilla_high_guard</x:v>
      </x:c>
      <x:c r="D1179" s="35" t="str">
        <x:v>dodge_base_chance_fp</x:v>
      </x:c>
      <x:c r="E1179" s="38" t="str">
        <x:v>int</x:v>
      </x:c>
      <x:c r="F1179" s="56" t="n">
        <x:f>'Actions'!AN25</x:f>
        <x:v>0</x:v>
      </x:c>
      <x:c r="G1179" s="38" t="str"/>
      <x:c r="H1179" s="35" t="str">
        <x:v>Actions</x:v>
      </x:c>
      <x:c r="I1179" s="35" t="str">
        <x:v>AN25</x:v>
      </x:c>
      <x:c r="J1179" s="85" t="b">
        <x:v>1</x:v>
      </x:c>
      <x:c r="K1179" s="85" t="b">
        <x:v>1</x:v>
      </x:c>
      <x:c r="L1179" s="56" t="str">
        <x:f>'Actions'!BE25</x:f>
        <x:v>OK</x:v>
      </x:c>
      <x:c r="M1179" s="44" t="str">
        <x:v>Источник Actions.Dodge Base Chance FP</x:v>
      </x:c>
    </x:row>
    <x:row r="1180" ht="36" customHeight="1">
      <x:c r="A1180" s="118" t="n">
        <x:v>1175</x:v>
      </x:c>
      <x:c r="B1180" s="35" t="str">
        <x:v>action</x:v>
      </x:c>
      <x:c r="C1180" s="35" t="str">
        <x:v>gorilla_high_guard</x:v>
      </x:c>
      <x:c r="D1180" s="35" t="str">
        <x:v>movement_mode</x:v>
      </x:c>
      <x:c r="E1180" s="38" t="str">
        <x:v>string</x:v>
      </x:c>
      <x:c r="F1180" s="56" t="str">
        <x:f>'Actions'!AO25</x:f>
        <x:v>None</x:v>
      </x:c>
      <x:c r="G1180" s="38" t="str"/>
      <x:c r="H1180" s="35" t="str">
        <x:v>Actions</x:v>
      </x:c>
      <x:c r="I1180" s="35" t="str">
        <x:v>AO25</x:v>
      </x:c>
      <x:c r="J1180" s="85" t="b">
        <x:v>1</x:v>
      </x:c>
      <x:c r="K1180" s="85" t="b">
        <x:v>1</x:v>
      </x:c>
      <x:c r="L1180" s="56" t="str">
        <x:f>'Actions'!BE25</x:f>
        <x:v>OK</x:v>
      </x:c>
      <x:c r="M1180" s="44" t="str">
        <x:v>Источник Actions.Movement Mode</x:v>
      </x:c>
    </x:row>
    <x:row r="1181" ht="36" customHeight="1">
      <x:c r="A1181" s="118" t="n">
        <x:v>1176</x:v>
      </x:c>
      <x:c r="B1181" s="35" t="str">
        <x:v>action</x:v>
      </x:c>
      <x:c r="C1181" s="35" t="str">
        <x:v>gorilla_high_guard</x:v>
      </x:c>
      <x:c r="D1181" s="35" t="str">
        <x:v>move_distance</x:v>
      </x:c>
      <x:c r="E1181" s="38" t="str">
        <x:v>int</x:v>
      </x:c>
      <x:c r="F1181" s="56" t="n">
        <x:f>'Actions'!AP25</x:f>
        <x:v>0</x:v>
      </x:c>
      <x:c r="G1181" s="38" t="str"/>
      <x:c r="H1181" s="35" t="str">
        <x:v>Actions</x:v>
      </x:c>
      <x:c r="I1181" s="35" t="str">
        <x:v>AP25</x:v>
      </x:c>
      <x:c r="J1181" s="85" t="b">
        <x:v>1</x:v>
      </x:c>
      <x:c r="K1181" s="85" t="b">
        <x:v>1</x:v>
      </x:c>
      <x:c r="L1181" s="56" t="str">
        <x:f>'Actions'!BE25</x:f>
        <x:v>OK</x:v>
      </x:c>
      <x:c r="M1181" s="44" t="str">
        <x:v>Источник Actions.Move Distance</x:v>
      </x:c>
    </x:row>
    <x:row r="1182" ht="36" customHeight="1">
      <x:c r="A1182" s="118" t="n">
        <x:v>1177</x:v>
      </x:c>
      <x:c r="B1182" s="35" t="str">
        <x:v>action</x:v>
      </x:c>
      <x:c r="C1182" s="35" t="str">
        <x:v>gorilla_high_guard</x:v>
      </x:c>
      <x:c r="D1182" s="35" t="str">
        <x:v>base_stagger</x:v>
      </x:c>
      <x:c r="E1182" s="38" t="str">
        <x:v>int</x:v>
      </x:c>
      <x:c r="F1182" s="56" t="n">
        <x:f>'Actions'!AQ25</x:f>
        <x:v>0</x:v>
      </x:c>
      <x:c r="G1182" s="38" t="str"/>
      <x:c r="H1182" s="35" t="str">
        <x:v>Actions</x:v>
      </x:c>
      <x:c r="I1182" s="35" t="str">
        <x:v>AQ25</x:v>
      </x:c>
      <x:c r="J1182" s="85" t="b">
        <x:v>1</x:v>
      </x:c>
      <x:c r="K1182" s="85" t="b">
        <x:v>1</x:v>
      </x:c>
      <x:c r="L1182" s="56" t="str">
        <x:f>'Actions'!BE25</x:f>
        <x:v>OK</x:v>
      </x:c>
      <x:c r="M1182" s="44" t="str">
        <x:v>Источник Actions.Base Stagger</x:v>
      </x:c>
    </x:row>
    <x:row r="1183" ht="36" customHeight="1">
      <x:c r="A1183" s="118" t="n">
        <x:v>1178</x:v>
      </x:c>
      <x:c r="B1183" s="35" t="str">
        <x:v>action</x:v>
      </x:c>
      <x:c r="C1183" s="35" t="str">
        <x:v>gorilla_high_guard</x:v>
      </x:c>
      <x:c r="D1183" s="35" t="str">
        <x:v>base_stun_ticks</x:v>
      </x:c>
      <x:c r="E1183" s="38" t="str">
        <x:v>int</x:v>
      </x:c>
      <x:c r="F1183" s="56" t="n">
        <x:f>'Actions'!AR25</x:f>
        <x:v>0</x:v>
      </x:c>
      <x:c r="G1183" s="38" t="str"/>
      <x:c r="H1183" s="35" t="str">
        <x:v>Actions</x:v>
      </x:c>
      <x:c r="I1183" s="35" t="str">
        <x:v>AR25</x:v>
      </x:c>
      <x:c r="J1183" s="85" t="b">
        <x:v>1</x:v>
      </x:c>
      <x:c r="K1183" s="85" t="b">
        <x:v>1</x:v>
      </x:c>
      <x:c r="L1183" s="56" t="str">
        <x:f>'Actions'!BE25</x:f>
        <x:v>OK</x:v>
      </x:c>
      <x:c r="M1183" s="44" t="str">
        <x:v>Источник Actions.Base Stun Ticks</x:v>
      </x:c>
    </x:row>
    <x:row r="1184" ht="36" customHeight="1">
      <x:c r="A1184" s="118" t="n">
        <x:v>1179</x:v>
      </x:c>
      <x:c r="B1184" s="35" t="str">
        <x:v>action</x:v>
      </x:c>
      <x:c r="C1184" s="35" t="str">
        <x:v>gorilla_high_guard</x:v>
      </x:c>
      <x:c r="D1184" s="35" t="str">
        <x:v>base_knockback</x:v>
      </x:c>
      <x:c r="E1184" s="38" t="str">
        <x:v>int</x:v>
      </x:c>
      <x:c r="F1184" s="56" t="n">
        <x:f>'Actions'!AS25</x:f>
        <x:v>0</x:v>
      </x:c>
      <x:c r="G1184" s="38" t="str"/>
      <x:c r="H1184" s="35" t="str">
        <x:v>Actions</x:v>
      </x:c>
      <x:c r="I1184" s="35" t="str">
        <x:v>AS25</x:v>
      </x:c>
      <x:c r="J1184" s="85" t="b">
        <x:v>1</x:v>
      </x:c>
      <x:c r="K1184" s="85" t="b">
        <x:v>1</x:v>
      </x:c>
      <x:c r="L1184" s="56" t="str">
        <x:f>'Actions'!BE25</x:f>
        <x:v>OK</x:v>
      </x:c>
      <x:c r="M1184" s="44" t="str">
        <x:v>Источник Actions.Base Knockback</x:v>
      </x:c>
    </x:row>
    <x:row r="1185" ht="36" customHeight="1">
      <x:c r="A1185" s="118" t="n">
        <x:v>1180</x:v>
      </x:c>
      <x:c r="B1185" s="35" t="str">
        <x:v>action</x:v>
      </x:c>
      <x:c r="C1185" s="35" t="str">
        <x:v>gorilla_high_guard</x:v>
      </x:c>
      <x:c r="D1185" s="35" t="str">
        <x:v>knockback_min</x:v>
      </x:c>
      <x:c r="E1185" s="38" t="str">
        <x:v>int</x:v>
      </x:c>
      <x:c r="F1185" s="56" t="n">
        <x:f>'Actions'!AT25</x:f>
        <x:v>0</x:v>
      </x:c>
      <x:c r="G1185" s="38" t="str"/>
      <x:c r="H1185" s="35" t="str">
        <x:v>Actions</x:v>
      </x:c>
      <x:c r="I1185" s="35" t="str">
        <x:v>AT25</x:v>
      </x:c>
      <x:c r="J1185" s="85" t="b">
        <x:v>1</x:v>
      </x:c>
      <x:c r="K1185" s="85" t="b">
        <x:v>1</x:v>
      </x:c>
      <x:c r="L1185" s="56" t="str">
        <x:f>'Actions'!BE25</x:f>
        <x:v>OK</x:v>
      </x:c>
      <x:c r="M1185" s="44" t="str">
        <x:v>Источник Actions.Knockback Min</x:v>
      </x:c>
    </x:row>
    <x:row r="1186" ht="36" customHeight="1">
      <x:c r="A1186" s="118" t="n">
        <x:v>1181</x:v>
      </x:c>
      <x:c r="B1186" s="35" t="str">
        <x:v>action</x:v>
      </x:c>
      <x:c r="C1186" s="35" t="str">
        <x:v>gorilla_high_guard</x:v>
      </x:c>
      <x:c r="D1186" s="35" t="str">
        <x:v>knockback_max</x:v>
      </x:c>
      <x:c r="E1186" s="38" t="str">
        <x:v>int</x:v>
      </x:c>
      <x:c r="F1186" s="56" t="n">
        <x:f>'Actions'!AU25</x:f>
        <x:v>0</x:v>
      </x:c>
      <x:c r="G1186" s="38" t="str"/>
      <x:c r="H1186" s="35" t="str">
        <x:v>Actions</x:v>
      </x:c>
      <x:c r="I1186" s="35" t="str">
        <x:v>AU25</x:v>
      </x:c>
      <x:c r="J1186" s="85" t="b">
        <x:v>1</x:v>
      </x:c>
      <x:c r="K1186" s="85" t="b">
        <x:v>1</x:v>
      </x:c>
      <x:c r="L1186" s="56" t="str">
        <x:f>'Actions'!BE25</x:f>
        <x:v>OK</x:v>
      </x:c>
      <x:c r="M1186" s="44" t="str">
        <x:v>Источник Actions.Knockback Max</x:v>
      </x:c>
    </x:row>
    <x:row r="1187" ht="36" customHeight="1">
      <x:c r="A1187" s="118" t="n">
        <x:v>1182</x:v>
      </x:c>
      <x:c r="B1187" s="35" t="str">
        <x:v>action</x:v>
      </x:c>
      <x:c r="C1187" s="35" t="str">
        <x:v>gorilla_high_guard</x:v>
      </x:c>
      <x:c r="D1187" s="35" t="str">
        <x:v>wall_damage_per_unit_fp</x:v>
      </x:c>
      <x:c r="E1187" s="38" t="str">
        <x:v>int</x:v>
      </x:c>
      <x:c r="F1187" s="56" t="n">
        <x:f>'Actions'!AV25</x:f>
        <x:v>0</x:v>
      </x:c>
      <x:c r="G1187" s="38" t="str"/>
      <x:c r="H1187" s="35" t="str">
        <x:v>Actions</x:v>
      </x:c>
      <x:c r="I1187" s="35" t="str">
        <x:v>AV25</x:v>
      </x:c>
      <x:c r="J1187" s="85" t="b">
        <x:v>1</x:v>
      </x:c>
      <x:c r="K1187" s="85" t="b">
        <x:v>1</x:v>
      </x:c>
      <x:c r="L1187" s="56" t="str">
        <x:f>'Actions'!BE25</x:f>
        <x:v>OK</x:v>
      </x:c>
      <x:c r="M1187" s="44" t="str">
        <x:v>Источник Actions.Wall Damage / Unit FP</x:v>
      </x:c>
    </x:row>
    <x:row r="1188" ht="36" customHeight="1">
      <x:c r="A1188" s="118" t="n">
        <x:v>1183</x:v>
      </x:c>
      <x:c r="B1188" s="35" t="str">
        <x:v>action</x:v>
      </x:c>
      <x:c r="C1188" s="35" t="str">
        <x:v>gorilla_high_guard</x:v>
      </x:c>
      <x:c r="D1188" s="35" t="str">
        <x:v>wall_damage_min</x:v>
      </x:c>
      <x:c r="E1188" s="38" t="str">
        <x:v>int</x:v>
      </x:c>
      <x:c r="F1188" s="56" t="n">
        <x:f>'Actions'!AW25</x:f>
        <x:v>0</x:v>
      </x:c>
      <x:c r="G1188" s="38" t="str"/>
      <x:c r="H1188" s="35" t="str">
        <x:v>Actions</x:v>
      </x:c>
      <x:c r="I1188" s="35" t="str">
        <x:v>AW25</x:v>
      </x:c>
      <x:c r="J1188" s="85" t="b">
        <x:v>1</x:v>
      </x:c>
      <x:c r="K1188" s="85" t="b">
        <x:v>1</x:v>
      </x:c>
      <x:c r="L1188" s="56" t="str">
        <x:f>'Actions'!BE25</x:f>
        <x:v>OK</x:v>
      </x:c>
      <x:c r="M1188" s="44" t="str">
        <x:v>Источник Actions.Wall Damage Min</x:v>
      </x:c>
    </x:row>
    <x:row r="1189" ht="36" customHeight="1">
      <x:c r="A1189" s="118" t="n">
        <x:v>1184</x:v>
      </x:c>
      <x:c r="B1189" s="35" t="str">
        <x:v>action</x:v>
      </x:c>
      <x:c r="C1189" s="35" t="str">
        <x:v>gorilla_high_guard</x:v>
      </x:c>
      <x:c r="D1189" s="35" t="str">
        <x:v>wall_damage_max</x:v>
      </x:c>
      <x:c r="E1189" s="38" t="str">
        <x:v>int</x:v>
      </x:c>
      <x:c r="F1189" s="56" t="n">
        <x:f>'Actions'!AX25</x:f>
        <x:v>0</x:v>
      </x:c>
      <x:c r="G1189" s="38" t="str"/>
      <x:c r="H1189" s="35" t="str">
        <x:v>Actions</x:v>
      </x:c>
      <x:c r="I1189" s="35" t="str">
        <x:v>AX25</x:v>
      </x:c>
      <x:c r="J1189" s="85" t="b">
        <x:v>1</x:v>
      </x:c>
      <x:c r="K1189" s="85" t="b">
        <x:v>1</x:v>
      </x:c>
      <x:c r="L1189" s="56" t="str">
        <x:f>'Actions'!BE25</x:f>
        <x:v>OK</x:v>
      </x:c>
      <x:c r="M1189" s="44" t="str">
        <x:v>Источник Actions.Wall Damage Max</x:v>
      </x:c>
    </x:row>
    <x:row r="1190" ht="36" customHeight="1">
      <x:c r="A1190" s="118" t="n">
        <x:v>1185</x:v>
      </x:c>
      <x:c r="B1190" s="35" t="str">
        <x:v>action</x:v>
      </x:c>
      <x:c r="C1190" s="35" t="str">
        <x:v>gorilla_high_guard</x:v>
      </x:c>
      <x:c r="D1190" s="35" t="str">
        <x:v>max_consecutive_uses</x:v>
      </x:c>
      <x:c r="E1190" s="38" t="str">
        <x:v>int</x:v>
      </x:c>
      <x:c r="F1190" s="56" t="n">
        <x:f>'Actions'!AY25</x:f>
        <x:v>1</x:v>
      </x:c>
      <x:c r="G1190" s="38" t="str"/>
      <x:c r="H1190" s="35" t="str">
        <x:v>Actions</x:v>
      </x:c>
      <x:c r="I1190" s="35" t="str">
        <x:v>AY25</x:v>
      </x:c>
      <x:c r="J1190" s="85" t="b">
        <x:v>1</x:v>
      </x:c>
      <x:c r="K1190" s="85" t="b">
        <x:v>1</x:v>
      </x:c>
      <x:c r="L1190" s="56" t="str">
        <x:f>'Actions'!BE25</x:f>
        <x:v>OK</x:v>
      </x:c>
      <x:c r="M1190" s="44" t="str">
        <x:v>Источник Actions.Max Consecutive Uses</x:v>
      </x:c>
    </x:row>
    <x:row r="1191" ht="36" customHeight="1">
      <x:c r="A1191" s="118" t="n">
        <x:v>1186</x:v>
      </x:c>
      <x:c r="B1191" s="35" t="str">
        <x:v>action</x:v>
      </x:c>
      <x:c r="C1191" s="35" t="str">
        <x:v>gorilla_high_guard</x:v>
      </x:c>
      <x:c r="D1191" s="35" t="str">
        <x:v>opportunity_cap_fp</x:v>
      </x:c>
      <x:c r="E1191" s="38" t="str">
        <x:v>int</x:v>
      </x:c>
      <x:c r="F1191" s="56" t="n">
        <x:f>'Actions'!AZ25</x:f>
        <x:v>1200</x:v>
      </x:c>
      <x:c r="G1191" s="38" t="str"/>
      <x:c r="H1191" s="35" t="str">
        <x:v>Actions</x:v>
      </x:c>
      <x:c r="I1191" s="35" t="str">
        <x:v>AZ25</x:v>
      </x:c>
      <x:c r="J1191" s="85" t="b">
        <x:v>1</x:v>
      </x:c>
      <x:c r="K1191" s="85" t="b">
        <x:v>1</x:v>
      </x:c>
      <x:c r="L1191" s="56" t="str">
        <x:f>'Actions'!BE25</x:f>
        <x:v>OK</x:v>
      </x:c>
      <x:c r="M1191" s="44" t="str">
        <x:v>Источник Actions.Opportunity Cap FP</x:v>
      </x:c>
    </x:row>
    <x:row r="1192" ht="36" customHeight="1">
      <x:c r="A1192" s="118" t="n">
        <x:v>1187</x:v>
      </x:c>
      <x:c r="B1192" s="35" t="str">
        <x:v>action</x:v>
      </x:c>
      <x:c r="C1192" s="35" t="str">
        <x:v>gorilla_high_guard</x:v>
      </x:c>
      <x:c r="D1192" s="35" t="str">
        <x:v>hard_opportunity_misses</x:v>
      </x:c>
      <x:c r="E1192" s="38" t="str">
        <x:v>int</x:v>
      </x:c>
      <x:c r="F1192" s="56" t="n">
        <x:f>'Actions'!BA25</x:f>
        <x:v>0</x:v>
      </x:c>
      <x:c r="G1192" s="38" t="str"/>
      <x:c r="H1192" s="35" t="str">
        <x:v>Actions</x:v>
      </x:c>
      <x:c r="I1192" s="35" t="str">
        <x:v>BA25</x:v>
      </x:c>
      <x:c r="J1192" s="85" t="b">
        <x:v>1</x:v>
      </x:c>
      <x:c r="K1192" s="85" t="b">
        <x:v>1</x:v>
      </x:c>
      <x:c r="L1192" s="56" t="str">
        <x:f>'Actions'!BE25</x:f>
        <x:v>OK</x:v>
      </x:c>
      <x:c r="M1192" s="44" t="str">
        <x:v>Источник Actions.Hard Opportunity Misses</x:v>
      </x:c>
    </x:row>
    <x:row r="1193" ht="36" customHeight="1">
      <x:c r="A1193" s="118" t="n">
        <x:v>1188</x:v>
      </x:c>
      <x:c r="B1193" s="35" t="str">
        <x:v>action</x:v>
      </x:c>
      <x:c r="C1193" s="35" t="str">
        <x:v>gorilla_clinch_check</x:v>
      </x:c>
      <x:c r="D1193" s="35" t="str">
        <x:v>action_id</x:v>
      </x:c>
      <x:c r="E1193" s="38" t="str">
        <x:v>string</x:v>
      </x:c>
      <x:c r="F1193" s="56" t="str">
        <x:f>'Actions'!A26</x:f>
        <x:v>gorilla_clinch_check</x:v>
      </x:c>
      <x:c r="G1193" s="38" t="str"/>
      <x:c r="H1193" s="35" t="str">
        <x:v>Actions</x:v>
      </x:c>
      <x:c r="I1193" s="35" t="str">
        <x:v>A26</x:v>
      </x:c>
      <x:c r="J1193" s="85" t="b">
        <x:v>1</x:v>
      </x:c>
      <x:c r="K1193" s="85" t="b">
        <x:v>1</x:v>
      </x:c>
      <x:c r="L1193" s="56" t="str">
        <x:f>'Actions'!BE26</x:f>
        <x:v>OK</x:v>
      </x:c>
      <x:c r="M1193" s="44" t="str">
        <x:v>Источник Actions.Action ID</x:v>
      </x:c>
    </x:row>
    <x:row r="1194" ht="36" customHeight="1">
      <x:c r="A1194" s="118" t="n">
        <x:v>1189</x:v>
      </x:c>
      <x:c r="B1194" s="35" t="str">
        <x:v>action</x:v>
      </x:c>
      <x:c r="C1194" s="35" t="str">
        <x:v>gorilla_clinch_check</x:v>
      </x:c>
      <x:c r="D1194" s="35" t="str">
        <x:v>animal_id</x:v>
      </x:c>
      <x:c r="E1194" s="38" t="str">
        <x:v>string</x:v>
      </x:c>
      <x:c r="F1194" s="56" t="str">
        <x:f>'Actions'!B26</x:f>
        <x:v>gorilla</x:v>
      </x:c>
      <x:c r="G1194" s="38" t="str"/>
      <x:c r="H1194" s="35" t="str">
        <x:v>Actions</x:v>
      </x:c>
      <x:c r="I1194" s="35" t="str">
        <x:v>B26</x:v>
      </x:c>
      <x:c r="J1194" s="85" t="b">
        <x:v>1</x:v>
      </x:c>
      <x:c r="K1194" s="85" t="b">
        <x:v>1</x:v>
      </x:c>
      <x:c r="L1194" s="56" t="str">
        <x:f>'Actions'!BE26</x:f>
        <x:v>OK</x:v>
      </x:c>
      <x:c r="M1194" s="44" t="str">
        <x:v>Источник Actions.Animal ID</x:v>
      </x:c>
    </x:row>
    <x:row r="1195" ht="36" customHeight="1">
      <x:c r="A1195" s="118" t="n">
        <x:v>1190</x:v>
      </x:c>
      <x:c r="B1195" s="35" t="str">
        <x:v>action</x:v>
      </x:c>
      <x:c r="C1195" s="35" t="str">
        <x:v>gorilla_clinch_check</x:v>
      </x:c>
      <x:c r="D1195" s="35" t="str">
        <x:v>slot_type</x:v>
      </x:c>
      <x:c r="E1195" s="38" t="str">
        <x:v>string</x:v>
      </x:c>
      <x:c r="F1195" s="56" t="str">
        <x:f>'Actions'!D26</x:f>
        <x:v>Basic</x:v>
      </x:c>
      <x:c r="G1195" s="38" t="str"/>
      <x:c r="H1195" s="35" t="str">
        <x:v>Actions</x:v>
      </x:c>
      <x:c r="I1195" s="35" t="str">
        <x:v>D26</x:v>
      </x:c>
      <x:c r="J1195" s="85" t="b">
        <x:v>1</x:v>
      </x:c>
      <x:c r="K1195" s="85" t="b">
        <x:v>1</x:v>
      </x:c>
      <x:c r="L1195" s="56" t="str">
        <x:f>'Actions'!BE26</x:f>
        <x:v>OK</x:v>
      </x:c>
      <x:c r="M1195" s="44" t="str">
        <x:v>Источник Actions.Slot Type</x:v>
      </x:c>
    </x:row>
    <x:row r="1196" ht="36" customHeight="1">
      <x:c r="A1196" s="118" t="n">
        <x:v>1191</x:v>
      </x:c>
      <x:c r="B1196" s="35" t="str">
        <x:v>action</x:v>
      </x:c>
      <x:c r="C1196" s="35" t="str">
        <x:v>gorilla_clinch_check</x:v>
      </x:c>
      <x:c r="D1196" s="35" t="str">
        <x:v>category</x:v>
      </x:c>
      <x:c r="E1196" s="38" t="str">
        <x:v>string</x:v>
      </x:c>
      <x:c r="F1196" s="56" t="str">
        <x:f>'Actions'!E26</x:f>
        <x:v>Grab</x:v>
      </x:c>
      <x:c r="G1196" s="38" t="str"/>
      <x:c r="H1196" s="35" t="str">
        <x:v>Actions</x:v>
      </x:c>
      <x:c r="I1196" s="35" t="str">
        <x:v>E26</x:v>
      </x:c>
      <x:c r="J1196" s="85" t="b">
        <x:v>1</x:v>
      </x:c>
      <x:c r="K1196" s="85" t="b">
        <x:v>1</x:v>
      </x:c>
      <x:c r="L1196" s="56" t="str">
        <x:f>'Actions'!BE26</x:f>
        <x:v>OK</x:v>
      </x:c>
      <x:c r="M1196" s="44" t="str">
        <x:v>Источник Actions.Category</x:v>
      </x:c>
    </x:row>
    <x:row r="1197" ht="36" customHeight="1">
      <x:c r="A1197" s="118" t="n">
        <x:v>1192</x:v>
      </x:c>
      <x:c r="B1197" s="35" t="str">
        <x:v>action</x:v>
      </x:c>
      <x:c r="C1197" s="35" t="str">
        <x:v>gorilla_clinch_check</x:v>
      </x:c>
      <x:c r="D1197" s="35" t="str">
        <x:v>tags</x:v>
      </x:c>
      <x:c r="E1197" s="38" t="str">
        <x:v>string</x:v>
      </x:c>
      <x:c r="F1197" s="56" t="str">
        <x:f>'Actions'!F26</x:f>
        <x:v>grab|position|grip_generator|pull</x:v>
      </x:c>
      <x:c r="G1197" s="38" t="str"/>
      <x:c r="H1197" s="35" t="str">
        <x:v>Actions</x:v>
      </x:c>
      <x:c r="I1197" s="35" t="str">
        <x:v>F26</x:v>
      </x:c>
      <x:c r="J1197" s="85" t="b">
        <x:v>1</x:v>
      </x:c>
      <x:c r="K1197" s="85" t="b">
        <x:v>1</x:v>
      </x:c>
      <x:c r="L1197" s="56" t="str">
        <x:f>'Actions'!BE26</x:f>
        <x:v>OK</x:v>
      </x:c>
      <x:c r="M1197" s="44" t="str">
        <x:v>Источник Actions.Tags</x:v>
      </x:c>
    </x:row>
    <x:row r="1198" ht="36" customHeight="1">
      <x:c r="A1198" s="118" t="n">
        <x:v>1193</x:v>
      </x:c>
      <x:c r="B1198" s="35" t="str">
        <x:v>action</x:v>
      </x:c>
      <x:c r="C1198" s="35" t="str">
        <x:v>gorilla_clinch_check</x:v>
      </x:c>
      <x:c r="D1198" s="35" t="str">
        <x:v>base_weight</x:v>
      </x:c>
      <x:c r="E1198" s="38" t="str">
        <x:v>int</x:v>
      </x:c>
      <x:c r="F1198" s="56" t="n">
        <x:f>'Actions'!G26</x:f>
        <x:v>620</x:v>
      </x:c>
      <x:c r="G1198" s="38" t="str"/>
      <x:c r="H1198" s="35" t="str">
        <x:v>Actions</x:v>
      </x:c>
      <x:c r="I1198" s="35" t="str">
        <x:v>G26</x:v>
      </x:c>
      <x:c r="J1198" s="85" t="b">
        <x:v>1</x:v>
      </x:c>
      <x:c r="K1198" s="85" t="b">
        <x:v>1</x:v>
      </x:c>
      <x:c r="L1198" s="56" t="str">
        <x:f>'Actions'!BE26</x:f>
        <x:v>OK</x:v>
      </x:c>
      <x:c r="M1198" s="44" t="str">
        <x:v>Источник Actions.Base Weight</x:v>
      </x:c>
    </x:row>
    <x:row r="1199" ht="36" customHeight="1">
      <x:c r="A1199" s="118" t="n">
        <x:v>1194</x:v>
      </x:c>
      <x:c r="B1199" s="35" t="str">
        <x:v>action</x:v>
      </x:c>
      <x:c r="C1199" s="35" t="str">
        <x:v>gorilla_clinch_check</x:v>
      </x:c>
      <x:c r="D1199" s="35" t="str">
        <x:v>preferred_range_min</x:v>
      </x:c>
      <x:c r="E1199" s="38" t="str">
        <x:v>int</x:v>
      </x:c>
      <x:c r="F1199" s="56" t="n">
        <x:f>'Actions'!H26</x:f>
        <x:v>0</x:v>
      </x:c>
      <x:c r="G1199" s="38" t="str"/>
      <x:c r="H1199" s="35" t="str">
        <x:v>Actions</x:v>
      </x:c>
      <x:c r="I1199" s="35" t="str">
        <x:v>H26</x:v>
      </x:c>
      <x:c r="J1199" s="85" t="b">
        <x:v>1</x:v>
      </x:c>
      <x:c r="K1199" s="85" t="b">
        <x:v>1</x:v>
      </x:c>
      <x:c r="L1199" s="56" t="str">
        <x:f>'Actions'!BE26</x:f>
        <x:v>OK</x:v>
      </x:c>
      <x:c r="M1199" s="44" t="str">
        <x:v>Источник Actions.Preferred Range Min</x:v>
      </x:c>
    </x:row>
    <x:row r="1200" ht="36" customHeight="1">
      <x:c r="A1200" s="118" t="n">
        <x:v>1195</x:v>
      </x:c>
      <x:c r="B1200" s="35" t="str">
        <x:v>action</x:v>
      </x:c>
      <x:c r="C1200" s="35" t="str">
        <x:v>gorilla_clinch_check</x:v>
      </x:c>
      <x:c r="D1200" s="35" t="str">
        <x:v>preferred_range_max</x:v>
      </x:c>
      <x:c r="E1200" s="38" t="str">
        <x:v>int</x:v>
      </x:c>
      <x:c r="F1200" s="56" t="n">
        <x:f>'Actions'!I26</x:f>
        <x:v>650</x:v>
      </x:c>
      <x:c r="G1200" s="38" t="str"/>
      <x:c r="H1200" s="35" t="str">
        <x:v>Actions</x:v>
      </x:c>
      <x:c r="I1200" s="35" t="str">
        <x:v>I26</x:v>
      </x:c>
      <x:c r="J1200" s="85" t="b">
        <x:v>1</x:v>
      </x:c>
      <x:c r="K1200" s="85" t="b">
        <x:v>1</x:v>
      </x:c>
      <x:c r="L1200" s="56" t="str">
        <x:f>'Actions'!BE26</x:f>
        <x:v>OK</x:v>
      </x:c>
      <x:c r="M1200" s="44" t="str">
        <x:v>Источник Actions.Preferred Range Max</x:v>
      </x:c>
    </x:row>
    <x:row r="1201" ht="36" customHeight="1">
      <x:c r="A1201" s="118" t="n">
        <x:v>1196</x:v>
      </x:c>
      <x:c r="B1201" s="35" t="str">
        <x:v>action</x:v>
      </x:c>
      <x:c r="C1201" s="35" t="str">
        <x:v>gorilla_clinch_check</x:v>
      </x:c>
      <x:c r="D1201" s="35" t="str">
        <x:v>hit_range_min</x:v>
      </x:c>
      <x:c r="E1201" s="38" t="str">
        <x:v>int</x:v>
      </x:c>
      <x:c r="F1201" s="56" t="n">
        <x:f>'Actions'!J26</x:f>
        <x:v>0</x:v>
      </x:c>
      <x:c r="G1201" s="38" t="str"/>
      <x:c r="H1201" s="35" t="str">
        <x:v>Actions</x:v>
      </x:c>
      <x:c r="I1201" s="35" t="str">
        <x:v>J26</x:v>
      </x:c>
      <x:c r="J1201" s="85" t="b">
        <x:v>1</x:v>
      </x:c>
      <x:c r="K1201" s="85" t="b">
        <x:v>1</x:v>
      </x:c>
      <x:c r="L1201" s="56" t="str">
        <x:f>'Actions'!BE26</x:f>
        <x:v>OK</x:v>
      </x:c>
      <x:c r="M1201" s="44" t="str">
        <x:v>Источник Actions.Hit Range Min</x:v>
      </x:c>
    </x:row>
    <x:row r="1202" ht="36" customHeight="1">
      <x:c r="A1202" s="118" t="n">
        <x:v>1197</x:v>
      </x:c>
      <x:c r="B1202" s="35" t="str">
        <x:v>action</x:v>
      </x:c>
      <x:c r="C1202" s="35" t="str">
        <x:v>gorilla_clinch_check</x:v>
      </x:c>
      <x:c r="D1202" s="35" t="str">
        <x:v>hit_range_max</x:v>
      </x:c>
      <x:c r="E1202" s="38" t="str">
        <x:v>int</x:v>
      </x:c>
      <x:c r="F1202" s="56" t="n">
        <x:f>'Actions'!K26</x:f>
        <x:v>700</x:v>
      </x:c>
      <x:c r="G1202" s="38" t="str"/>
      <x:c r="H1202" s="35" t="str">
        <x:v>Actions</x:v>
      </x:c>
      <x:c r="I1202" s="35" t="str">
        <x:v>K26</x:v>
      </x:c>
      <x:c r="J1202" s="85" t="b">
        <x:v>1</x:v>
      </x:c>
      <x:c r="K1202" s="85" t="b">
        <x:v>1</x:v>
      </x:c>
      <x:c r="L1202" s="56" t="str">
        <x:f>'Actions'!BE26</x:f>
        <x:v>OK</x:v>
      </x:c>
      <x:c r="M1202" s="44" t="str">
        <x:v>Источник Actions.Hit Range Max</x:v>
      </x:c>
    </x:row>
    <x:row r="1203" ht="36" customHeight="1">
      <x:c r="A1203" s="118" t="n">
        <x:v>1198</x:v>
      </x:c>
      <x:c r="B1203" s="35" t="str">
        <x:v>action</x:v>
      </x:c>
      <x:c r="C1203" s="35" t="str">
        <x:v>gorilla_clinch_check</x:v>
      </x:c>
      <x:c r="D1203" s="35" t="str">
        <x:v>energy_cost</x:v>
      </x:c>
      <x:c r="E1203" s="38" t="str">
        <x:v>int</x:v>
      </x:c>
      <x:c r="F1203" s="56" t="n">
        <x:f>'Actions'!L26</x:f>
        <x:v>120</x:v>
      </x:c>
      <x:c r="G1203" s="38" t="str"/>
      <x:c r="H1203" s="35" t="str">
        <x:v>Actions</x:v>
      </x:c>
      <x:c r="I1203" s="35" t="str">
        <x:v>L26</x:v>
      </x:c>
      <x:c r="J1203" s="85" t="b">
        <x:v>1</x:v>
      </x:c>
      <x:c r="K1203" s="85" t="b">
        <x:v>1</x:v>
      </x:c>
      <x:c r="L1203" s="56" t="str">
        <x:f>'Actions'!BE26</x:f>
        <x:v>OK</x:v>
      </x:c>
      <x:c r="M1203" s="44" t="str">
        <x:v>Источник Actions.Energy Cost</x:v>
      </x:c>
    </x:row>
    <x:row r="1204" ht="36" customHeight="1">
      <x:c r="A1204" s="118" t="n">
        <x:v>1199</x:v>
      </x:c>
      <x:c r="B1204" s="35" t="str">
        <x:v>action</x:v>
      </x:c>
      <x:c r="C1204" s="35" t="str">
        <x:v>gorilla_clinch_check</x:v>
      </x:c>
      <x:c r="D1204" s="35" t="str">
        <x:v>resource_cost</x:v>
      </x:c>
      <x:c r="E1204" s="38" t="str">
        <x:v>int</x:v>
      </x:c>
      <x:c r="F1204" s="56" t="n">
        <x:f>'Actions'!M26</x:f>
        <x:v>0</x:v>
      </x:c>
      <x:c r="G1204" s="38" t="str"/>
      <x:c r="H1204" s="35" t="str">
        <x:v>Actions</x:v>
      </x:c>
      <x:c r="I1204" s="35" t="str">
        <x:v>M26</x:v>
      </x:c>
      <x:c r="J1204" s="85" t="b">
        <x:v>1</x:v>
      </x:c>
      <x:c r="K1204" s="85" t="b">
        <x:v>1</x:v>
      </x:c>
      <x:c r="L1204" s="56" t="str">
        <x:f>'Actions'!BE26</x:f>
        <x:v>OK</x:v>
      </x:c>
      <x:c r="M1204" s="44" t="str">
        <x:v>Источник Actions.Resource Cost</x:v>
      </x:c>
    </x:row>
    <x:row r="1205" ht="36" customHeight="1">
      <x:c r="A1205" s="118" t="n">
        <x:v>1200</x:v>
      </x:c>
      <x:c r="B1205" s="35" t="str">
        <x:v>action</x:v>
      </x:c>
      <x:c r="C1205" s="35" t="str">
        <x:v>gorilla_clinch_check</x:v>
      </x:c>
      <x:c r="D1205" s="35" t="str">
        <x:v>base_damage</x:v>
      </x:c>
      <x:c r="E1205" s="38" t="str">
        <x:v>int</x:v>
      </x:c>
      <x:c r="F1205" s="56" t="n">
        <x:f>'Actions'!N26</x:f>
        <x:v>0</x:v>
      </x:c>
      <x:c r="G1205" s="38" t="str"/>
      <x:c r="H1205" s="35" t="str">
        <x:v>Actions</x:v>
      </x:c>
      <x:c r="I1205" s="35" t="str">
        <x:v>N26</x:v>
      </x:c>
      <x:c r="J1205" s="85" t="b">
        <x:v>1</x:v>
      </x:c>
      <x:c r="K1205" s="85" t="b">
        <x:v>1</x:v>
      </x:c>
      <x:c r="L1205" s="56" t="str">
        <x:f>'Actions'!BE26</x:f>
        <x:v>OK</x:v>
      </x:c>
      <x:c r="M1205" s="44" t="str">
        <x:v>Источник Actions.Base Damage / hit</x:v>
      </x:c>
    </x:row>
    <x:row r="1206" ht="36" customHeight="1">
      <x:c r="A1206" s="118" t="n">
        <x:v>1201</x:v>
      </x:c>
      <x:c r="B1206" s="35" t="str">
        <x:v>action</x:v>
      </x:c>
      <x:c r="C1206" s="35" t="str">
        <x:v>gorilla_clinch_check</x:v>
      </x:c>
      <x:c r="D1206" s="35" t="str">
        <x:v>power_ratio_fp</x:v>
      </x:c>
      <x:c r="E1206" s="38" t="str">
        <x:v>int</x:v>
      </x:c>
      <x:c r="F1206" s="56" t="n">
        <x:f>'Actions'!O26</x:f>
        <x:v>0</x:v>
      </x:c>
      <x:c r="G1206" s="38" t="str"/>
      <x:c r="H1206" s="35" t="str">
        <x:v>Actions</x:v>
      </x:c>
      <x:c r="I1206" s="35" t="str">
        <x:v>O26</x:v>
      </x:c>
      <x:c r="J1206" s="85" t="b">
        <x:v>1</x:v>
      </x:c>
      <x:c r="K1206" s="85" t="b">
        <x:v>1</x:v>
      </x:c>
      <x:c r="L1206" s="56" t="str">
        <x:f>'Actions'!BE26</x:f>
        <x:v>OK</x:v>
      </x:c>
      <x:c r="M1206" s="44" t="str">
        <x:v>Источник Actions.Power Ratio FP</x:v>
      </x:c>
    </x:row>
    <x:row r="1207" ht="36" customHeight="1">
      <x:c r="A1207" s="118" t="n">
        <x:v>1202</x:v>
      </x:c>
      <x:c r="B1207" s="35" t="str">
        <x:v>action</x:v>
      </x:c>
      <x:c r="C1207" s="35" t="str">
        <x:v>gorilla_clinch_check</x:v>
      </x:c>
      <x:c r="D1207" s="35" t="str">
        <x:v>min_damage</x:v>
      </x:c>
      <x:c r="E1207" s="38" t="str">
        <x:v>int</x:v>
      </x:c>
      <x:c r="F1207" s="56" t="n">
        <x:f>'Actions'!P26</x:f>
        <x:v>0</x:v>
      </x:c>
      <x:c r="G1207" s="38" t="str"/>
      <x:c r="H1207" s="35" t="str">
        <x:v>Actions</x:v>
      </x:c>
      <x:c r="I1207" s="35" t="str">
        <x:v>P26</x:v>
      </x:c>
      <x:c r="J1207" s="85" t="b">
        <x:v>1</x:v>
      </x:c>
      <x:c r="K1207" s="85" t="b">
        <x:v>1</x:v>
      </x:c>
      <x:c r="L1207" s="56" t="str">
        <x:f>'Actions'!BE26</x:f>
        <x:v>OK</x:v>
      </x:c>
      <x:c r="M1207" s="44" t="str">
        <x:v>Источник Actions.Min Damage</x:v>
      </x:c>
    </x:row>
    <x:row r="1208" ht="36" customHeight="1">
      <x:c r="A1208" s="118" t="n">
        <x:v>1203</x:v>
      </x:c>
      <x:c r="B1208" s="35" t="str">
        <x:v>action</x:v>
      </x:c>
      <x:c r="C1208" s="35" t="str">
        <x:v>gorilla_clinch_check</x:v>
      </x:c>
      <x:c r="D1208" s="35" t="str">
        <x:v>chip_min</x:v>
      </x:c>
      <x:c r="E1208" s="38" t="str">
        <x:v>int</x:v>
      </x:c>
      <x:c r="F1208" s="56" t="n">
        <x:f>'Actions'!Q26</x:f>
        <x:v>0</x:v>
      </x:c>
      <x:c r="G1208" s="38" t="str"/>
      <x:c r="H1208" s="35" t="str">
        <x:v>Actions</x:v>
      </x:c>
      <x:c r="I1208" s="35" t="str">
        <x:v>Q26</x:v>
      </x:c>
      <x:c r="J1208" s="85" t="b">
        <x:v>1</x:v>
      </x:c>
      <x:c r="K1208" s="85" t="b">
        <x:v>1</x:v>
      </x:c>
      <x:c r="L1208" s="56" t="str">
        <x:f>'Actions'!BE26</x:f>
        <x:v>OK</x:v>
      </x:c>
      <x:c r="M1208" s="44" t="str">
        <x:v>Источник Actions.Chip Min</x:v>
      </x:c>
    </x:row>
    <x:row r="1209" ht="36" customHeight="1">
      <x:c r="A1209" s="118" t="n">
        <x:v>1204</x:v>
      </x:c>
      <x:c r="B1209" s="35" t="str">
        <x:v>action</x:v>
      </x:c>
      <x:c r="C1209" s="35" t="str">
        <x:v>gorilla_clinch_check</x:v>
      </x:c>
      <x:c r="D1209" s="35" t="str">
        <x:v>startup_base_ticks</x:v>
      </x:c>
      <x:c r="E1209" s="38" t="str">
        <x:v>int</x:v>
      </x:c>
      <x:c r="F1209" s="56" t="n">
        <x:f>'Actions'!R26</x:f>
        <x:v>5</x:v>
      </x:c>
      <x:c r="G1209" s="38" t="str"/>
      <x:c r="H1209" s="35" t="str">
        <x:v>Actions</x:v>
      </x:c>
      <x:c r="I1209" s="35" t="str">
        <x:v>R26</x:v>
      </x:c>
      <x:c r="J1209" s="85" t="b">
        <x:v>1</x:v>
      </x:c>
      <x:c r="K1209" s="85" t="b">
        <x:v>1</x:v>
      </x:c>
      <x:c r="L1209" s="56" t="str">
        <x:f>'Actions'!BE26</x:f>
        <x:v>OK</x:v>
      </x:c>
      <x:c r="M1209" s="44" t="str">
        <x:v>Источник Actions.Startup Base Ticks</x:v>
      </x:c>
    </x:row>
    <x:row r="1210" ht="36" customHeight="1">
      <x:c r="A1210" s="118" t="n">
        <x:v>1205</x:v>
      </x:c>
      <x:c r="B1210" s="35" t="str">
        <x:v>action</x:v>
      </x:c>
      <x:c r="C1210" s="35" t="str">
        <x:v>gorilla_clinch_check</x:v>
      </x:c>
      <x:c r="D1210" s="35" t="str">
        <x:v>startup_min_ticks</x:v>
      </x:c>
      <x:c r="E1210" s="38" t="str">
        <x:v>int</x:v>
      </x:c>
      <x:c r="F1210" s="56" t="n">
        <x:f>'Actions'!S26</x:f>
        <x:v>3</x:v>
      </x:c>
      <x:c r="G1210" s="38" t="str"/>
      <x:c r="H1210" s="35" t="str">
        <x:v>Actions</x:v>
      </x:c>
      <x:c r="I1210" s="35" t="str">
        <x:v>S26</x:v>
      </x:c>
      <x:c r="J1210" s="85" t="b">
        <x:v>1</x:v>
      </x:c>
      <x:c r="K1210" s="85" t="b">
        <x:v>1</x:v>
      </x:c>
      <x:c r="L1210" s="56" t="str">
        <x:f>'Actions'!BE26</x:f>
        <x:v>OK</x:v>
      </x:c>
      <x:c r="M1210" s="44" t="str">
        <x:v>Источник Actions.Startup Min Ticks</x:v>
      </x:c>
    </x:row>
    <x:row r="1211" ht="36" customHeight="1">
      <x:c r="A1211" s="118" t="n">
        <x:v>1206</x:v>
      </x:c>
      <x:c r="B1211" s="35" t="str">
        <x:v>action</x:v>
      </x:c>
      <x:c r="C1211" s="35" t="str">
        <x:v>gorilla_clinch_check</x:v>
      </x:c>
      <x:c r="D1211" s="35" t="str">
        <x:v>startup_max_ticks</x:v>
      </x:c>
      <x:c r="E1211" s="38" t="str">
        <x:v>int</x:v>
      </x:c>
      <x:c r="F1211" s="56" t="n">
        <x:f>'Actions'!T26</x:f>
        <x:v>8</x:v>
      </x:c>
      <x:c r="G1211" s="38" t="str"/>
      <x:c r="H1211" s="35" t="str">
        <x:v>Actions</x:v>
      </x:c>
      <x:c r="I1211" s="35" t="str">
        <x:v>T26</x:v>
      </x:c>
      <x:c r="J1211" s="85" t="b">
        <x:v>1</x:v>
      </x:c>
      <x:c r="K1211" s="85" t="b">
        <x:v>1</x:v>
      </x:c>
      <x:c r="L1211" s="56" t="str">
        <x:f>'Actions'!BE26</x:f>
        <x:v>OK</x:v>
      </x:c>
      <x:c r="M1211" s="44" t="str">
        <x:v>Источник Actions.Startup Max Ticks</x:v>
      </x:c>
    </x:row>
    <x:row r="1212" ht="36" customHeight="1">
      <x:c r="A1212" s="118" t="n">
        <x:v>1207</x:v>
      </x:c>
      <x:c r="B1212" s="35" t="str">
        <x:v>action</x:v>
      </x:c>
      <x:c r="C1212" s="35" t="str">
        <x:v>gorilla_clinch_check</x:v>
      </x:c>
      <x:c r="D1212" s="35" t="str">
        <x:v>active_ticks</x:v>
      </x:c>
      <x:c r="E1212" s="38" t="str">
        <x:v>int</x:v>
      </x:c>
      <x:c r="F1212" s="56" t="n">
        <x:f>'Actions'!U26</x:f>
        <x:v>1</x:v>
      </x:c>
      <x:c r="G1212" s="38" t="str"/>
      <x:c r="H1212" s="35" t="str">
        <x:v>Actions</x:v>
      </x:c>
      <x:c r="I1212" s="35" t="str">
        <x:v>U26</x:v>
      </x:c>
      <x:c r="J1212" s="85" t="b">
        <x:v>1</x:v>
      </x:c>
      <x:c r="K1212" s="85" t="b">
        <x:v>1</x:v>
      </x:c>
      <x:c r="L1212" s="56" t="str">
        <x:f>'Actions'!BE26</x:f>
        <x:v>OK</x:v>
      </x:c>
      <x:c r="M1212" s="44" t="str">
        <x:v>Источник Actions.Active Ticks</x:v>
      </x:c>
    </x:row>
    <x:row r="1213" ht="36" customHeight="1">
      <x:c r="A1213" s="118" t="n">
        <x:v>1208</x:v>
      </x:c>
      <x:c r="B1213" s="35" t="str">
        <x:v>action</x:v>
      </x:c>
      <x:c r="C1213" s="35" t="str">
        <x:v>gorilla_clinch_check</x:v>
      </x:c>
      <x:c r="D1213" s="35" t="str">
        <x:v>hit_schedule</x:v>
      </x:c>
      <x:c r="E1213" s="38" t="str">
        <x:v>string</x:v>
      </x:c>
      <x:c r="F1213" s="56" t="str">
        <x:f>'Actions'!V26</x:f>
        <x:v>grab:0</x:v>
      </x:c>
      <x:c r="G1213" s="38" t="str"/>
      <x:c r="H1213" s="35" t="str">
        <x:v>Actions</x:v>
      </x:c>
      <x:c r="I1213" s="35" t="str">
        <x:v>V26</x:v>
      </x:c>
      <x:c r="J1213" s="85" t="b">
        <x:v>1</x:v>
      </x:c>
      <x:c r="K1213" s="85" t="b">
        <x:v>1</x:v>
      </x:c>
      <x:c r="L1213" s="56" t="str">
        <x:f>'Actions'!BE26</x:f>
        <x:v>OK</x:v>
      </x:c>
      <x:c r="M1213" s="44" t="str">
        <x:v>Источник Actions.Hit Schedule</x:v>
      </x:c>
    </x:row>
    <x:row r="1214" ht="36" customHeight="1">
      <x:c r="A1214" s="118" t="n">
        <x:v>1209</x:v>
      </x:c>
      <x:c r="B1214" s="35" t="str">
        <x:v>action</x:v>
      </x:c>
      <x:c r="C1214" s="35" t="str">
        <x:v>gorilla_clinch_check</x:v>
      </x:c>
      <x:c r="D1214" s="35" t="str">
        <x:v>hit_count</x:v>
      </x:c>
      <x:c r="E1214" s="38" t="str">
        <x:v>int</x:v>
      </x:c>
      <x:c r="F1214" s="56" t="n">
        <x:f>'Actions'!W26</x:f>
        <x:v>0</x:v>
      </x:c>
      <x:c r="G1214" s="38" t="str"/>
      <x:c r="H1214" s="35" t="str">
        <x:v>Actions</x:v>
      </x:c>
      <x:c r="I1214" s="35" t="str">
        <x:v>W26</x:v>
      </x:c>
      <x:c r="J1214" s="85" t="b">
        <x:v>1</x:v>
      </x:c>
      <x:c r="K1214" s="85" t="b">
        <x:v>1</x:v>
      </x:c>
      <x:c r="L1214" s="56" t="str">
        <x:f>'Actions'!BE26</x:f>
        <x:v>OK</x:v>
      </x:c>
      <x:c r="M1214" s="44" t="str">
        <x:v>Источник Actions.Hit Count</x:v>
      </x:c>
    </x:row>
    <x:row r="1215" ht="36" customHeight="1">
      <x:c r="A1215" s="118" t="n">
        <x:v>1210</x:v>
      </x:c>
      <x:c r="B1215" s="35" t="str">
        <x:v>action</x:v>
      </x:c>
      <x:c r="C1215" s="35" t="str">
        <x:v>gorilla_clinch_check</x:v>
      </x:c>
      <x:c r="D1215" s="35" t="str">
        <x:v>recovery_base_ticks</x:v>
      </x:c>
      <x:c r="E1215" s="38" t="str">
        <x:v>int</x:v>
      </x:c>
      <x:c r="F1215" s="56" t="n">
        <x:f>'Actions'!X26</x:f>
        <x:v>10</x:v>
      </x:c>
      <x:c r="G1215" s="38" t="str"/>
      <x:c r="H1215" s="35" t="str">
        <x:v>Actions</x:v>
      </x:c>
      <x:c r="I1215" s="35" t="str">
        <x:v>X26</x:v>
      </x:c>
      <x:c r="J1215" s="85" t="b">
        <x:v>1</x:v>
      </x:c>
      <x:c r="K1215" s="85" t="b">
        <x:v>1</x:v>
      </x:c>
      <x:c r="L1215" s="56" t="str">
        <x:f>'Actions'!BE26</x:f>
        <x:v>OK</x:v>
      </x:c>
      <x:c r="M1215" s="44" t="str">
        <x:v>Источник Actions.Recovery Base Ticks</x:v>
      </x:c>
    </x:row>
    <x:row r="1216" ht="36" customHeight="1">
      <x:c r="A1216" s="118" t="n">
        <x:v>1211</x:v>
      </x:c>
      <x:c r="B1216" s="35" t="str">
        <x:v>action</x:v>
      </x:c>
      <x:c r="C1216" s="35" t="str">
        <x:v>gorilla_clinch_check</x:v>
      </x:c>
      <x:c r="D1216" s="35" t="str">
        <x:v>recovery_min_ticks</x:v>
      </x:c>
      <x:c r="E1216" s="38" t="str">
        <x:v>int</x:v>
      </x:c>
      <x:c r="F1216" s="56" t="n">
        <x:f>'Actions'!Y26</x:f>
        <x:v>7</x:v>
      </x:c>
      <x:c r="G1216" s="38" t="str"/>
      <x:c r="H1216" s="35" t="str">
        <x:v>Actions</x:v>
      </x:c>
      <x:c r="I1216" s="35" t="str">
        <x:v>Y26</x:v>
      </x:c>
      <x:c r="J1216" s="85" t="b">
        <x:v>1</x:v>
      </x:c>
      <x:c r="K1216" s="85" t="b">
        <x:v>1</x:v>
      </x:c>
      <x:c r="L1216" s="56" t="str">
        <x:f>'Actions'!BE26</x:f>
        <x:v>OK</x:v>
      </x:c>
      <x:c r="M1216" s="44" t="str">
        <x:v>Источник Actions.Recovery Min Ticks</x:v>
      </x:c>
    </x:row>
    <x:row r="1217" ht="36" customHeight="1">
      <x:c r="A1217" s="118" t="n">
        <x:v>1212</x:v>
      </x:c>
      <x:c r="B1217" s="35" t="str">
        <x:v>action</x:v>
      </x:c>
      <x:c r="C1217" s="35" t="str">
        <x:v>gorilla_clinch_check</x:v>
      </x:c>
      <x:c r="D1217" s="35" t="str">
        <x:v>recovery_max_ticks</x:v>
      </x:c>
      <x:c r="E1217" s="38" t="str">
        <x:v>int</x:v>
      </x:c>
      <x:c r="F1217" s="56" t="n">
        <x:f>'Actions'!Z26</x:f>
        <x:v>15</x:v>
      </x:c>
      <x:c r="G1217" s="38" t="str"/>
      <x:c r="H1217" s="35" t="str">
        <x:v>Actions</x:v>
      </x:c>
      <x:c r="I1217" s="35" t="str">
        <x:v>Z26</x:v>
      </x:c>
      <x:c r="J1217" s="85" t="b">
        <x:v>1</x:v>
      </x:c>
      <x:c r="K1217" s="85" t="b">
        <x:v>1</x:v>
      </x:c>
      <x:c r="L1217" s="56" t="str">
        <x:f>'Actions'!BE26</x:f>
        <x:v>OK</x:v>
      </x:c>
      <x:c r="M1217" s="44" t="str">
        <x:v>Источник Actions.Recovery Max Ticks</x:v>
      </x:c>
    </x:row>
    <x:row r="1218" ht="36" customHeight="1">
      <x:c r="A1218" s="118" t="n">
        <x:v>1213</x:v>
      </x:c>
      <x:c r="B1218" s="35" t="str">
        <x:v>action</x:v>
      </x:c>
      <x:c r="C1218" s="35" t="str">
        <x:v>gorilla_clinch_check</x:v>
      </x:c>
      <x:c r="D1218" s="35" t="str">
        <x:v>cooldown_ticks</x:v>
      </x:c>
      <x:c r="E1218" s="38" t="str">
        <x:v>int</x:v>
      </x:c>
      <x:c r="F1218" s="56" t="n">
        <x:f>'Actions'!AA26</x:f>
        <x:v>30</x:v>
      </x:c>
      <x:c r="G1218" s="38" t="str"/>
      <x:c r="H1218" s="35" t="str">
        <x:v>Actions</x:v>
      </x:c>
      <x:c r="I1218" s="35" t="str">
        <x:v>AA26</x:v>
      </x:c>
      <x:c r="J1218" s="85" t="b">
        <x:v>1</x:v>
      </x:c>
      <x:c r="K1218" s="85" t="b">
        <x:v>1</x:v>
      </x:c>
      <x:c r="L1218" s="56" t="str">
        <x:f>'Actions'!BE26</x:f>
        <x:v>OK</x:v>
      </x:c>
      <x:c r="M1218" s="44" t="str">
        <x:v>Источник Actions.Cooldown Ticks</x:v>
      </x:c>
    </x:row>
    <x:row r="1219" ht="36" customHeight="1">
      <x:c r="A1219" s="118" t="n">
        <x:v>1214</x:v>
      </x:c>
      <x:c r="B1219" s="35" t="str">
        <x:v>action</x:v>
      </x:c>
      <x:c r="C1219" s="35" t="str">
        <x:v>gorilla_clinch_check</x:v>
      </x:c>
      <x:c r="D1219" s="35" t="str">
        <x:v>action_priority</x:v>
      </x:c>
      <x:c r="E1219" s="38" t="str">
        <x:v>int</x:v>
      </x:c>
      <x:c r="F1219" s="56" t="n">
        <x:f>'Actions'!AB26</x:f>
        <x:v>45</x:v>
      </x:c>
      <x:c r="G1219" s="38" t="str"/>
      <x:c r="H1219" s="35" t="str">
        <x:v>Actions</x:v>
      </x:c>
      <x:c r="I1219" s="35" t="str">
        <x:v>AB26</x:v>
      </x:c>
      <x:c r="J1219" s="85" t="b">
        <x:v>1</x:v>
      </x:c>
      <x:c r="K1219" s="85" t="b">
        <x:v>1</x:v>
      </x:c>
      <x:c r="L1219" s="56" t="str">
        <x:f>'Actions'!BE26</x:f>
        <x:v>OK</x:v>
      </x:c>
      <x:c r="M1219" s="44" t="str">
        <x:v>Источник Actions.Action Priority</x:v>
      </x:c>
    </x:row>
    <x:row r="1220" ht="36" customHeight="1">
      <x:c r="A1220" s="118" t="n">
        <x:v>1215</x:v>
      </x:c>
      <x:c r="B1220" s="35" t="str">
        <x:v>action</x:v>
      </x:c>
      <x:c r="C1220" s="35" t="str">
        <x:v>gorilla_clinch_check</x:v>
      </x:c>
      <x:c r="D1220" s="35" t="str">
        <x:v>clash_priority</x:v>
      </x:c>
      <x:c r="E1220" s="38" t="str">
        <x:v>int</x:v>
      </x:c>
      <x:c r="F1220" s="56" t="n">
        <x:f>'Actions'!AC26</x:f>
        <x:v>0</x:v>
      </x:c>
      <x:c r="G1220" s="38" t="str"/>
      <x:c r="H1220" s="35" t="str">
        <x:v>Actions</x:v>
      </x:c>
      <x:c r="I1220" s="35" t="str">
        <x:v>AC26</x:v>
      </x:c>
      <x:c r="J1220" s="85" t="b">
        <x:v>1</x:v>
      </x:c>
      <x:c r="K1220" s="85" t="b">
        <x:v>1</x:v>
      </x:c>
      <x:c r="L1220" s="56" t="str">
        <x:f>'Actions'!BE26</x:f>
        <x:v>OK</x:v>
      </x:c>
      <x:c r="M1220" s="44" t="str">
        <x:v>Источник Actions.Clash Priority</x:v>
      </x:c>
    </x:row>
    <x:row r="1221" ht="36" customHeight="1">
      <x:c r="A1221" s="118" t="n">
        <x:v>1216</x:v>
      </x:c>
      <x:c r="B1221" s="35" t="str">
        <x:v>action</x:v>
      </x:c>
      <x:c r="C1221" s="35" t="str">
        <x:v>gorilla_clinch_check</x:v>
      </x:c>
      <x:c r="D1221" s="35" t="str">
        <x:v>grab_priority</x:v>
      </x:c>
      <x:c r="E1221" s="38" t="str">
        <x:v>int</x:v>
      </x:c>
      <x:c r="F1221" s="56" t="n">
        <x:f>'Actions'!AD26</x:f>
        <x:v>55</x:v>
      </x:c>
      <x:c r="G1221" s="38" t="str"/>
      <x:c r="H1221" s="35" t="str">
        <x:v>Actions</x:v>
      </x:c>
      <x:c r="I1221" s="35" t="str">
        <x:v>AD26</x:v>
      </x:c>
      <x:c r="J1221" s="85" t="b">
        <x:v>1</x:v>
      </x:c>
      <x:c r="K1221" s="85" t="b">
        <x:v>1</x:v>
      </x:c>
      <x:c r="L1221" s="56" t="str">
        <x:f>'Actions'!BE26</x:f>
        <x:v>OK</x:v>
      </x:c>
      <x:c r="M1221" s="44" t="str">
        <x:v>Источник Actions.Grab Priority</x:v>
      </x:c>
    </x:row>
    <x:row r="1222" ht="36" customHeight="1">
      <x:c r="A1222" s="118" t="n">
        <x:v>1217</x:v>
      </x:c>
      <x:c r="B1222" s="35" t="str">
        <x:v>action</x:v>
      </x:c>
      <x:c r="C1222" s="35" t="str">
        <x:v>gorilla_clinch_check</x:v>
      </x:c>
      <x:c r="D1222" s="35" t="str">
        <x:v>resolution_priority</x:v>
      </x:c>
      <x:c r="E1222" s="38" t="str">
        <x:v>int</x:v>
      </x:c>
      <x:c r="F1222" s="56" t="n">
        <x:f>'Actions'!AE26</x:f>
        <x:v>55</x:v>
      </x:c>
      <x:c r="G1222" s="38" t="str"/>
      <x:c r="H1222" s="35" t="str">
        <x:v>Actions</x:v>
      </x:c>
      <x:c r="I1222" s="35" t="str">
        <x:v>AE26</x:v>
      </x:c>
      <x:c r="J1222" s="85" t="b">
        <x:v>1</x:v>
      </x:c>
      <x:c r="K1222" s="85" t="b">
        <x:v>1</x:v>
      </x:c>
      <x:c r="L1222" s="56" t="str">
        <x:f>'Actions'!BE26</x:f>
        <x:v>OK</x:v>
      </x:c>
      <x:c r="M1222" s="44" t="str">
        <x:v>Источник Actions.Resolution Priority</x:v>
      </x:c>
    </x:row>
    <x:row r="1223" ht="36" customHeight="1">
      <x:c r="A1223" s="118" t="n">
        <x:v>1218</x:v>
      </x:c>
      <x:c r="B1223" s="35" t="str">
        <x:v>action</x:v>
      </x:c>
      <x:c r="C1223" s="35" t="str">
        <x:v>gorilla_clinch_check</x:v>
      </x:c>
      <x:c r="D1223" s="35" t="str">
        <x:v>interrupt_profile</x:v>
      </x:c>
      <x:c r="E1223" s="38" t="str">
        <x:v>string</x:v>
      </x:c>
      <x:c r="F1223" s="56" t="str">
        <x:f>'Actions'!AF26</x:f>
        <x:v>Committed</x:v>
      </x:c>
      <x:c r="G1223" s="38" t="str"/>
      <x:c r="H1223" s="35" t="str">
        <x:v>Actions</x:v>
      </x:c>
      <x:c r="I1223" s="35" t="str">
        <x:v>AF26</x:v>
      </x:c>
      <x:c r="J1223" s="85" t="b">
        <x:v>1</x:v>
      </x:c>
      <x:c r="K1223" s="85" t="b">
        <x:v>1</x:v>
      </x:c>
      <x:c r="L1223" s="56" t="str">
        <x:f>'Actions'!BE26</x:f>
        <x:v>OK</x:v>
      </x:c>
      <x:c r="M1223" s="44" t="str">
        <x:v>Источник Actions.Interrupt Profile</x:v>
      </x:c>
    </x:row>
    <x:row r="1224" ht="36" customHeight="1">
      <x:c r="A1224" s="118" t="n">
        <x:v>1219</x:v>
      </x:c>
      <x:c r="B1224" s="35" t="str">
        <x:v>action</x:v>
      </x:c>
      <x:c r="C1224" s="35" t="str">
        <x:v>gorilla_clinch_check</x:v>
      </x:c>
      <x:c r="D1224" s="35" t="str">
        <x:v>blockable</x:v>
      </x:c>
      <x:c r="E1224" s="38" t="str">
        <x:v>bool</x:v>
      </x:c>
      <x:c r="F1224" s="56" t="b">
        <x:f>'Actions'!AG26</x:f>
        <x:v>0</x:v>
      </x:c>
      <x:c r="G1224" s="38" t="str"/>
      <x:c r="H1224" s="35" t="str">
        <x:v>Actions</x:v>
      </x:c>
      <x:c r="I1224" s="35" t="str">
        <x:v>AG26</x:v>
      </x:c>
      <x:c r="J1224" s="85" t="b">
        <x:v>1</x:v>
      </x:c>
      <x:c r="K1224" s="85" t="b">
        <x:v>1</x:v>
      </x:c>
      <x:c r="L1224" s="56" t="str">
        <x:f>'Actions'!BE26</x:f>
        <x:v>OK</x:v>
      </x:c>
      <x:c r="M1224" s="44" t="str">
        <x:v>Источник Actions.Blockable</x:v>
      </x:c>
    </x:row>
    <x:row r="1225" ht="36" customHeight="1">
      <x:c r="A1225" s="118" t="n">
        <x:v>1220</x:v>
      </x:c>
      <x:c r="B1225" s="35" t="str">
        <x:v>action</x:v>
      </x:c>
      <x:c r="C1225" s="35" t="str">
        <x:v>gorilla_clinch_check</x:v>
      </x:c>
      <x:c r="D1225" s="35" t="str">
        <x:v>dodgeable</x:v>
      </x:c>
      <x:c r="E1225" s="38" t="str">
        <x:v>bool</x:v>
      </x:c>
      <x:c r="F1225" s="56" t="b">
        <x:f>'Actions'!AH26</x:f>
        <x:v>0</x:v>
      </x:c>
      <x:c r="G1225" s="38" t="str"/>
      <x:c r="H1225" s="35" t="str">
        <x:v>Actions</x:v>
      </x:c>
      <x:c r="I1225" s="35" t="str">
        <x:v>AH26</x:v>
      </x:c>
      <x:c r="J1225" s="85" t="b">
        <x:v>1</x:v>
      </x:c>
      <x:c r="K1225" s="85" t="b">
        <x:v>1</x:v>
      </x:c>
      <x:c r="L1225" s="56" t="str">
        <x:f>'Actions'!BE26</x:f>
        <x:v>OK</x:v>
      </x:c>
      <x:c r="M1225" s="44" t="str">
        <x:v>Источник Actions.Dodgeable</x:v>
      </x:c>
    </x:row>
    <x:row r="1226" ht="36" customHeight="1">
      <x:c r="A1226" s="118" t="n">
        <x:v>1221</x:v>
      </x:c>
      <x:c r="B1226" s="35" t="str">
        <x:v>action</x:v>
      </x:c>
      <x:c r="C1226" s="35" t="str">
        <x:v>gorilla_clinch_check</x:v>
      </x:c>
      <x:c r="D1226" s="35" t="str">
        <x:v>undodgeable</x:v>
      </x:c>
      <x:c r="E1226" s="38" t="str">
        <x:v>bool</x:v>
      </x:c>
      <x:c r="F1226" s="56" t="b">
        <x:f>'Actions'!AI26</x:f>
        <x:v>0</x:v>
      </x:c>
      <x:c r="G1226" s="38" t="str"/>
      <x:c r="H1226" s="35" t="str">
        <x:v>Actions</x:v>
      </x:c>
      <x:c r="I1226" s="35" t="str">
        <x:v>AI26</x:v>
      </x:c>
      <x:c r="J1226" s="85" t="b">
        <x:v>1</x:v>
      </x:c>
      <x:c r="K1226" s="85" t="b">
        <x:v>1</x:v>
      </x:c>
      <x:c r="L1226" s="56" t="str">
        <x:f>'Actions'!BE26</x:f>
        <x:v>OK</x:v>
      </x:c>
      <x:c r="M1226" s="44" t="str">
        <x:v>Источник Actions.Undodgeable</x:v>
      </x:c>
    </x:row>
    <x:row r="1227" ht="36" customHeight="1">
      <x:c r="A1227" s="118" t="n">
        <x:v>1222</x:v>
      </x:c>
      <x:c r="B1227" s="35" t="str">
        <x:v>action</x:v>
      </x:c>
      <x:c r="C1227" s="35" t="str">
        <x:v>gorilla_clinch_check</x:v>
      </x:c>
      <x:c r="D1227" s="35" t="str">
        <x:v>wall_impact</x:v>
      </x:c>
      <x:c r="E1227" s="38" t="str">
        <x:v>bool</x:v>
      </x:c>
      <x:c r="F1227" s="56" t="b">
        <x:f>'Actions'!AJ26</x:f>
        <x:v>0</x:v>
      </x:c>
      <x:c r="G1227" s="38" t="str"/>
      <x:c r="H1227" s="35" t="str">
        <x:v>Actions</x:v>
      </x:c>
      <x:c r="I1227" s="35" t="str">
        <x:v>AJ26</x:v>
      </x:c>
      <x:c r="J1227" s="85" t="b">
        <x:v>1</x:v>
      </x:c>
      <x:c r="K1227" s="85" t="b">
        <x:v>1</x:v>
      </x:c>
      <x:c r="L1227" s="56" t="str">
        <x:f>'Actions'!BE26</x:f>
        <x:v>OK</x:v>
      </x:c>
      <x:c r="M1227" s="44" t="str">
        <x:v>Источник Actions.Wall Impact</x:v>
      </x:c>
    </x:row>
    <x:row r="1228" ht="36" customHeight="1">
      <x:c r="A1228" s="118" t="n">
        <x:v>1223</x:v>
      </x:c>
      <x:c r="B1228" s="35" t="str">
        <x:v>action</x:v>
      </x:c>
      <x:c r="C1228" s="35" t="str">
        <x:v>gorilla_clinch_check</x:v>
      </x:c>
      <x:c r="D1228" s="35" t="str">
        <x:v>track_target</x:v>
      </x:c>
      <x:c r="E1228" s="38" t="str">
        <x:v>bool</x:v>
      </x:c>
      <x:c r="F1228" s="56" t="b">
        <x:f>'Actions'!AK26</x:f>
        <x:v>1</x:v>
      </x:c>
      <x:c r="G1228" s="38" t="str"/>
      <x:c r="H1228" s="35" t="str">
        <x:v>Actions</x:v>
      </x:c>
      <x:c r="I1228" s="35" t="str">
        <x:v>AK26</x:v>
      </x:c>
      <x:c r="J1228" s="85" t="b">
        <x:v>1</x:v>
      </x:c>
      <x:c r="K1228" s="85" t="b">
        <x:v>1</x:v>
      </x:c>
      <x:c r="L1228" s="56" t="str">
        <x:f>'Actions'!BE26</x:f>
        <x:v>OK</x:v>
      </x:c>
      <x:c r="M1228" s="44" t="str">
        <x:v>Источник Actions.Track Target</x:v>
      </x:c>
    </x:row>
    <x:row r="1229" ht="36" customHeight="1">
      <x:c r="A1229" s="118" t="n">
        <x:v>1224</x:v>
      </x:c>
      <x:c r="B1229" s="35" t="str">
        <x:v>action</x:v>
      </x:c>
      <x:c r="C1229" s="35" t="str">
        <x:v>gorilla_clinch_check</x:v>
      </x:c>
      <x:c r="D1229" s="35" t="str">
        <x:v>block_base_chance_fp</x:v>
      </x:c>
      <x:c r="E1229" s="38" t="str">
        <x:v>int</x:v>
      </x:c>
      <x:c r="F1229" s="56" t="n">
        <x:f>'Actions'!AL26</x:f>
        <x:v>0</x:v>
      </x:c>
      <x:c r="G1229" s="38" t="str"/>
      <x:c r="H1229" s="35" t="str">
        <x:v>Actions</x:v>
      </x:c>
      <x:c r="I1229" s="35" t="str">
        <x:v>AL26</x:v>
      </x:c>
      <x:c r="J1229" s="85" t="b">
        <x:v>1</x:v>
      </x:c>
      <x:c r="K1229" s="85" t="b">
        <x:v>1</x:v>
      </x:c>
      <x:c r="L1229" s="56" t="str">
        <x:f>'Actions'!BE26</x:f>
        <x:v>OK</x:v>
      </x:c>
      <x:c r="M1229" s="44" t="str">
        <x:v>Источник Actions.Block Base Chance FP</x:v>
      </x:c>
    </x:row>
    <x:row r="1230" ht="36" customHeight="1">
      <x:c r="A1230" s="118" t="n">
        <x:v>1225</x:v>
      </x:c>
      <x:c r="B1230" s="35" t="str">
        <x:v>action</x:v>
      </x:c>
      <x:c r="C1230" s="35" t="str">
        <x:v>gorilla_clinch_check</x:v>
      </x:c>
      <x:c r="D1230" s="35" t="str">
        <x:v>block_reduction_fp</x:v>
      </x:c>
      <x:c r="E1230" s="38" t="str">
        <x:v>int</x:v>
      </x:c>
      <x:c r="F1230" s="56" t="n">
        <x:f>'Actions'!AM26</x:f>
        <x:v>0</x:v>
      </x:c>
      <x:c r="G1230" s="38" t="str"/>
      <x:c r="H1230" s="35" t="str">
        <x:v>Actions</x:v>
      </x:c>
      <x:c r="I1230" s="35" t="str">
        <x:v>AM26</x:v>
      </x:c>
      <x:c r="J1230" s="85" t="b">
        <x:v>1</x:v>
      </x:c>
      <x:c r="K1230" s="85" t="b">
        <x:v>1</x:v>
      </x:c>
      <x:c r="L1230" s="56" t="str">
        <x:f>'Actions'!BE26</x:f>
        <x:v>OK</x:v>
      </x:c>
      <x:c r="M1230" s="44" t="str">
        <x:v>Источник Actions.Block Reduction FP</x:v>
      </x:c>
    </x:row>
    <x:row r="1231" ht="36" customHeight="1">
      <x:c r="A1231" s="118" t="n">
        <x:v>1226</x:v>
      </x:c>
      <x:c r="B1231" s="35" t="str">
        <x:v>action</x:v>
      </x:c>
      <x:c r="C1231" s="35" t="str">
        <x:v>gorilla_clinch_check</x:v>
      </x:c>
      <x:c r="D1231" s="35" t="str">
        <x:v>dodge_base_chance_fp</x:v>
      </x:c>
      <x:c r="E1231" s="38" t="str">
        <x:v>int</x:v>
      </x:c>
      <x:c r="F1231" s="56" t="n">
        <x:f>'Actions'!AN26</x:f>
        <x:v>0</x:v>
      </x:c>
      <x:c r="G1231" s="38" t="str"/>
      <x:c r="H1231" s="35" t="str">
        <x:v>Actions</x:v>
      </x:c>
      <x:c r="I1231" s="35" t="str">
        <x:v>AN26</x:v>
      </x:c>
      <x:c r="J1231" s="85" t="b">
        <x:v>1</x:v>
      </x:c>
      <x:c r="K1231" s="85" t="b">
        <x:v>1</x:v>
      </x:c>
      <x:c r="L1231" s="56" t="str">
        <x:f>'Actions'!BE26</x:f>
        <x:v>OK</x:v>
      </x:c>
      <x:c r="M1231" s="44" t="str">
        <x:v>Источник Actions.Dodge Base Chance FP</x:v>
      </x:c>
    </x:row>
    <x:row r="1232" ht="36" customHeight="1">
      <x:c r="A1232" s="118" t="n">
        <x:v>1227</x:v>
      </x:c>
      <x:c r="B1232" s="35" t="str">
        <x:v>action</x:v>
      </x:c>
      <x:c r="C1232" s="35" t="str">
        <x:v>gorilla_clinch_check</x:v>
      </x:c>
      <x:c r="D1232" s="35" t="str">
        <x:v>movement_mode</x:v>
      </x:c>
      <x:c r="E1232" s="38" t="str">
        <x:v>string</x:v>
      </x:c>
      <x:c r="F1232" s="56" t="str">
        <x:f>'Actions'!AO26</x:f>
        <x:v>Pull</x:v>
      </x:c>
      <x:c r="G1232" s="38" t="str"/>
      <x:c r="H1232" s="35" t="str">
        <x:v>Actions</x:v>
      </x:c>
      <x:c r="I1232" s="35" t="str">
        <x:v>AO26</x:v>
      </x:c>
      <x:c r="J1232" s="85" t="b">
        <x:v>1</x:v>
      </x:c>
      <x:c r="K1232" s="85" t="b">
        <x:v>1</x:v>
      </x:c>
      <x:c r="L1232" s="56" t="str">
        <x:f>'Actions'!BE26</x:f>
        <x:v>OK</x:v>
      </x:c>
      <x:c r="M1232" s="44" t="str">
        <x:v>Источник Actions.Movement Mode</x:v>
      </x:c>
    </x:row>
    <x:row r="1233" ht="36" customHeight="1">
      <x:c r="A1233" s="118" t="n">
        <x:v>1228</x:v>
      </x:c>
      <x:c r="B1233" s="35" t="str">
        <x:v>action</x:v>
      </x:c>
      <x:c r="C1233" s="35" t="str">
        <x:v>gorilla_clinch_check</x:v>
      </x:c>
      <x:c r="D1233" s="35" t="str">
        <x:v>move_distance</x:v>
      </x:c>
      <x:c r="E1233" s="38" t="str">
        <x:v>int</x:v>
      </x:c>
      <x:c r="F1233" s="56" t="n">
        <x:f>'Actions'!AP26</x:f>
        <x:v>400</x:v>
      </x:c>
      <x:c r="G1233" s="38" t="str"/>
      <x:c r="H1233" s="35" t="str">
        <x:v>Actions</x:v>
      </x:c>
      <x:c r="I1233" s="35" t="str">
        <x:v>AP26</x:v>
      </x:c>
      <x:c r="J1233" s="85" t="b">
        <x:v>1</x:v>
      </x:c>
      <x:c r="K1233" s="85" t="b">
        <x:v>1</x:v>
      </x:c>
      <x:c r="L1233" s="56" t="str">
        <x:f>'Actions'!BE26</x:f>
        <x:v>OK</x:v>
      </x:c>
      <x:c r="M1233" s="44" t="str">
        <x:v>Источник Actions.Move Distance</x:v>
      </x:c>
    </x:row>
    <x:row r="1234" ht="36" customHeight="1">
      <x:c r="A1234" s="118" t="n">
        <x:v>1229</x:v>
      </x:c>
      <x:c r="B1234" s="35" t="str">
        <x:v>action</x:v>
      </x:c>
      <x:c r="C1234" s="35" t="str">
        <x:v>gorilla_clinch_check</x:v>
      </x:c>
      <x:c r="D1234" s="35" t="str">
        <x:v>base_stagger</x:v>
      </x:c>
      <x:c r="E1234" s="38" t="str">
        <x:v>int</x:v>
      </x:c>
      <x:c r="F1234" s="56" t="n">
        <x:f>'Actions'!AQ26</x:f>
        <x:v>35</x:v>
      </x:c>
      <x:c r="G1234" s="38" t="str"/>
      <x:c r="H1234" s="35" t="str">
        <x:v>Actions</x:v>
      </x:c>
      <x:c r="I1234" s="35" t="str">
        <x:v>AQ26</x:v>
      </x:c>
      <x:c r="J1234" s="85" t="b">
        <x:v>1</x:v>
      </x:c>
      <x:c r="K1234" s="85" t="b">
        <x:v>1</x:v>
      </x:c>
      <x:c r="L1234" s="56" t="str">
        <x:f>'Actions'!BE26</x:f>
        <x:v>OK</x:v>
      </x:c>
      <x:c r="M1234" s="44" t="str">
        <x:v>Источник Actions.Base Stagger</x:v>
      </x:c>
    </x:row>
    <x:row r="1235" ht="36" customHeight="1">
      <x:c r="A1235" s="118" t="n">
        <x:v>1230</x:v>
      </x:c>
      <x:c r="B1235" s="35" t="str">
        <x:v>action</x:v>
      </x:c>
      <x:c r="C1235" s="35" t="str">
        <x:v>gorilla_clinch_check</x:v>
      </x:c>
      <x:c r="D1235" s="35" t="str">
        <x:v>base_stun_ticks</x:v>
      </x:c>
      <x:c r="E1235" s="38" t="str">
        <x:v>int</x:v>
      </x:c>
      <x:c r="F1235" s="56" t="n">
        <x:f>'Actions'!AR26</x:f>
        <x:v>0</x:v>
      </x:c>
      <x:c r="G1235" s="38" t="str"/>
      <x:c r="H1235" s="35" t="str">
        <x:v>Actions</x:v>
      </x:c>
      <x:c r="I1235" s="35" t="str">
        <x:v>AR26</x:v>
      </x:c>
      <x:c r="J1235" s="85" t="b">
        <x:v>1</x:v>
      </x:c>
      <x:c r="K1235" s="85" t="b">
        <x:v>1</x:v>
      </x:c>
      <x:c r="L1235" s="56" t="str">
        <x:f>'Actions'!BE26</x:f>
        <x:v>OK</x:v>
      </x:c>
      <x:c r="M1235" s="44" t="str">
        <x:v>Источник Actions.Base Stun Ticks</x:v>
      </x:c>
    </x:row>
    <x:row r="1236" ht="36" customHeight="1">
      <x:c r="A1236" s="118" t="n">
        <x:v>1231</x:v>
      </x:c>
      <x:c r="B1236" s="35" t="str">
        <x:v>action</x:v>
      </x:c>
      <x:c r="C1236" s="35" t="str">
        <x:v>gorilla_clinch_check</x:v>
      </x:c>
      <x:c r="D1236" s="35" t="str">
        <x:v>base_knockback</x:v>
      </x:c>
      <x:c r="E1236" s="38" t="str">
        <x:v>int</x:v>
      </x:c>
      <x:c r="F1236" s="56" t="n">
        <x:f>'Actions'!AS26</x:f>
        <x:v>400</x:v>
      </x:c>
      <x:c r="G1236" s="38" t="str"/>
      <x:c r="H1236" s="35" t="str">
        <x:v>Actions</x:v>
      </x:c>
      <x:c r="I1236" s="35" t="str">
        <x:v>AS26</x:v>
      </x:c>
      <x:c r="J1236" s="85" t="b">
        <x:v>1</x:v>
      </x:c>
      <x:c r="K1236" s="85" t="b">
        <x:v>1</x:v>
      </x:c>
      <x:c r="L1236" s="56" t="str">
        <x:f>'Actions'!BE26</x:f>
        <x:v>OK</x:v>
      </x:c>
      <x:c r="M1236" s="44" t="str">
        <x:v>Источник Actions.Base Knockback</x:v>
      </x:c>
    </x:row>
    <x:row r="1237" ht="36" customHeight="1">
      <x:c r="A1237" s="118" t="n">
        <x:v>1232</x:v>
      </x:c>
      <x:c r="B1237" s="35" t="str">
        <x:v>action</x:v>
      </x:c>
      <x:c r="C1237" s="35" t="str">
        <x:v>gorilla_clinch_check</x:v>
      </x:c>
      <x:c r="D1237" s="35" t="str">
        <x:v>knockback_min</x:v>
      </x:c>
      <x:c r="E1237" s="38" t="str">
        <x:v>int</x:v>
      </x:c>
      <x:c r="F1237" s="56" t="n">
        <x:f>'Actions'!AT26</x:f>
        <x:v>150</x:v>
      </x:c>
      <x:c r="G1237" s="38" t="str"/>
      <x:c r="H1237" s="35" t="str">
        <x:v>Actions</x:v>
      </x:c>
      <x:c r="I1237" s="35" t="str">
        <x:v>AT26</x:v>
      </x:c>
      <x:c r="J1237" s="85" t="b">
        <x:v>1</x:v>
      </x:c>
      <x:c r="K1237" s="85" t="b">
        <x:v>1</x:v>
      </x:c>
      <x:c r="L1237" s="56" t="str">
        <x:f>'Actions'!BE26</x:f>
        <x:v>OK</x:v>
      </x:c>
      <x:c r="M1237" s="44" t="str">
        <x:v>Источник Actions.Knockback Min</x:v>
      </x:c>
    </x:row>
    <x:row r="1238" ht="36" customHeight="1">
      <x:c r="A1238" s="118" t="n">
        <x:v>1233</x:v>
      </x:c>
      <x:c r="B1238" s="35" t="str">
        <x:v>action</x:v>
      </x:c>
      <x:c r="C1238" s="35" t="str">
        <x:v>gorilla_clinch_check</x:v>
      </x:c>
      <x:c r="D1238" s="35" t="str">
        <x:v>knockback_max</x:v>
      </x:c>
      <x:c r="E1238" s="38" t="str">
        <x:v>int</x:v>
      </x:c>
      <x:c r="F1238" s="56" t="n">
        <x:f>'Actions'!AU26</x:f>
        <x:v>600</x:v>
      </x:c>
      <x:c r="G1238" s="38" t="str"/>
      <x:c r="H1238" s="35" t="str">
        <x:v>Actions</x:v>
      </x:c>
      <x:c r="I1238" s="35" t="str">
        <x:v>AU26</x:v>
      </x:c>
      <x:c r="J1238" s="85" t="b">
        <x:v>1</x:v>
      </x:c>
      <x:c r="K1238" s="85" t="b">
        <x:v>1</x:v>
      </x:c>
      <x:c r="L1238" s="56" t="str">
        <x:f>'Actions'!BE26</x:f>
        <x:v>OK</x:v>
      </x:c>
      <x:c r="M1238" s="44" t="str">
        <x:v>Источник Actions.Knockback Max</x:v>
      </x:c>
    </x:row>
    <x:row r="1239" ht="36" customHeight="1">
      <x:c r="A1239" s="118" t="n">
        <x:v>1234</x:v>
      </x:c>
      <x:c r="B1239" s="35" t="str">
        <x:v>action</x:v>
      </x:c>
      <x:c r="C1239" s="35" t="str">
        <x:v>gorilla_clinch_check</x:v>
      </x:c>
      <x:c r="D1239" s="35" t="str">
        <x:v>wall_damage_per_unit_fp</x:v>
      </x:c>
      <x:c r="E1239" s="38" t="str">
        <x:v>int</x:v>
      </x:c>
      <x:c r="F1239" s="56" t="n">
        <x:f>'Actions'!AV26</x:f>
        <x:v>0</x:v>
      </x:c>
      <x:c r="G1239" s="38" t="str"/>
      <x:c r="H1239" s="35" t="str">
        <x:v>Actions</x:v>
      </x:c>
      <x:c r="I1239" s="35" t="str">
        <x:v>AV26</x:v>
      </x:c>
      <x:c r="J1239" s="85" t="b">
        <x:v>1</x:v>
      </x:c>
      <x:c r="K1239" s="85" t="b">
        <x:v>1</x:v>
      </x:c>
      <x:c r="L1239" s="56" t="str">
        <x:f>'Actions'!BE26</x:f>
        <x:v>OK</x:v>
      </x:c>
      <x:c r="M1239" s="44" t="str">
        <x:v>Источник Actions.Wall Damage / Unit FP</x:v>
      </x:c>
    </x:row>
    <x:row r="1240" ht="36" customHeight="1">
      <x:c r="A1240" s="118" t="n">
        <x:v>1235</x:v>
      </x:c>
      <x:c r="B1240" s="35" t="str">
        <x:v>action</x:v>
      </x:c>
      <x:c r="C1240" s="35" t="str">
        <x:v>gorilla_clinch_check</x:v>
      </x:c>
      <x:c r="D1240" s="35" t="str">
        <x:v>wall_damage_min</x:v>
      </x:c>
      <x:c r="E1240" s="38" t="str">
        <x:v>int</x:v>
      </x:c>
      <x:c r="F1240" s="56" t="n">
        <x:f>'Actions'!AW26</x:f>
        <x:v>0</x:v>
      </x:c>
      <x:c r="G1240" s="38" t="str"/>
      <x:c r="H1240" s="35" t="str">
        <x:v>Actions</x:v>
      </x:c>
      <x:c r="I1240" s="35" t="str">
        <x:v>AW26</x:v>
      </x:c>
      <x:c r="J1240" s="85" t="b">
        <x:v>1</x:v>
      </x:c>
      <x:c r="K1240" s="85" t="b">
        <x:v>1</x:v>
      </x:c>
      <x:c r="L1240" s="56" t="str">
        <x:f>'Actions'!BE26</x:f>
        <x:v>OK</x:v>
      </x:c>
      <x:c r="M1240" s="44" t="str">
        <x:v>Источник Actions.Wall Damage Min</x:v>
      </x:c>
    </x:row>
    <x:row r="1241" ht="36" customHeight="1">
      <x:c r="A1241" s="118" t="n">
        <x:v>1236</x:v>
      </x:c>
      <x:c r="B1241" s="35" t="str">
        <x:v>action</x:v>
      </x:c>
      <x:c r="C1241" s="35" t="str">
        <x:v>gorilla_clinch_check</x:v>
      </x:c>
      <x:c r="D1241" s="35" t="str">
        <x:v>wall_damage_max</x:v>
      </x:c>
      <x:c r="E1241" s="38" t="str">
        <x:v>int</x:v>
      </x:c>
      <x:c r="F1241" s="56" t="n">
        <x:f>'Actions'!AX26</x:f>
        <x:v>0</x:v>
      </x:c>
      <x:c r="G1241" s="38" t="str"/>
      <x:c r="H1241" s="35" t="str">
        <x:v>Actions</x:v>
      </x:c>
      <x:c r="I1241" s="35" t="str">
        <x:v>AX26</x:v>
      </x:c>
      <x:c r="J1241" s="85" t="b">
        <x:v>1</x:v>
      </x:c>
      <x:c r="K1241" s="85" t="b">
        <x:v>1</x:v>
      </x:c>
      <x:c r="L1241" s="56" t="str">
        <x:f>'Actions'!BE26</x:f>
        <x:v>OK</x:v>
      </x:c>
      <x:c r="M1241" s="44" t="str">
        <x:v>Источник Actions.Wall Damage Max</x:v>
      </x:c>
    </x:row>
    <x:row r="1242" ht="36" customHeight="1">
      <x:c r="A1242" s="118" t="n">
        <x:v>1237</x:v>
      </x:c>
      <x:c r="B1242" s="35" t="str">
        <x:v>action</x:v>
      </x:c>
      <x:c r="C1242" s="35" t="str">
        <x:v>gorilla_clinch_check</x:v>
      </x:c>
      <x:c r="D1242" s="35" t="str">
        <x:v>max_consecutive_uses</x:v>
      </x:c>
      <x:c r="E1242" s="38" t="str">
        <x:v>int</x:v>
      </x:c>
      <x:c r="F1242" s="56" t="n">
        <x:f>'Actions'!AY26</x:f>
        <x:v>1</x:v>
      </x:c>
      <x:c r="G1242" s="38" t="str"/>
      <x:c r="H1242" s="35" t="str">
        <x:v>Actions</x:v>
      </x:c>
      <x:c r="I1242" s="35" t="str">
        <x:v>AY26</x:v>
      </x:c>
      <x:c r="J1242" s="85" t="b">
        <x:v>1</x:v>
      </x:c>
      <x:c r="K1242" s="85" t="b">
        <x:v>1</x:v>
      </x:c>
      <x:c r="L1242" s="56" t="str">
        <x:f>'Actions'!BE26</x:f>
        <x:v>OK</x:v>
      </x:c>
      <x:c r="M1242" s="44" t="str">
        <x:v>Источник Actions.Max Consecutive Uses</x:v>
      </x:c>
    </x:row>
    <x:row r="1243" ht="36" customHeight="1">
      <x:c r="A1243" s="118" t="n">
        <x:v>1238</x:v>
      </x:c>
      <x:c r="B1243" s="35" t="str">
        <x:v>action</x:v>
      </x:c>
      <x:c r="C1243" s="35" t="str">
        <x:v>gorilla_clinch_check</x:v>
      </x:c>
      <x:c r="D1243" s="35" t="str">
        <x:v>opportunity_cap_fp</x:v>
      </x:c>
      <x:c r="E1243" s="38" t="str">
        <x:v>int</x:v>
      </x:c>
      <x:c r="F1243" s="56" t="n">
        <x:f>'Actions'!AZ26</x:f>
        <x:v>1200</x:v>
      </x:c>
      <x:c r="G1243" s="38" t="str"/>
      <x:c r="H1243" s="35" t="str">
        <x:v>Actions</x:v>
      </x:c>
      <x:c r="I1243" s="35" t="str">
        <x:v>AZ26</x:v>
      </x:c>
      <x:c r="J1243" s="85" t="b">
        <x:v>1</x:v>
      </x:c>
      <x:c r="K1243" s="85" t="b">
        <x:v>1</x:v>
      </x:c>
      <x:c r="L1243" s="56" t="str">
        <x:f>'Actions'!BE26</x:f>
        <x:v>OK</x:v>
      </x:c>
      <x:c r="M1243" s="44" t="str">
        <x:v>Источник Actions.Opportunity Cap FP</x:v>
      </x:c>
    </x:row>
    <x:row r="1244" ht="36" customHeight="1">
      <x:c r="A1244" s="118" t="n">
        <x:v>1239</x:v>
      </x:c>
      <x:c r="B1244" s="35" t="str">
        <x:v>action</x:v>
      </x:c>
      <x:c r="C1244" s="35" t="str">
        <x:v>gorilla_clinch_check</x:v>
      </x:c>
      <x:c r="D1244" s="35" t="str">
        <x:v>hard_opportunity_misses</x:v>
      </x:c>
      <x:c r="E1244" s="38" t="str">
        <x:v>int</x:v>
      </x:c>
      <x:c r="F1244" s="56" t="n">
        <x:f>'Actions'!BA26</x:f>
        <x:v>0</x:v>
      </x:c>
      <x:c r="G1244" s="38" t="str"/>
      <x:c r="H1244" s="35" t="str">
        <x:v>Actions</x:v>
      </x:c>
      <x:c r="I1244" s="35" t="str">
        <x:v>BA26</x:v>
      </x:c>
      <x:c r="J1244" s="85" t="b">
        <x:v>1</x:v>
      </x:c>
      <x:c r="K1244" s="85" t="b">
        <x:v>1</x:v>
      </x:c>
      <x:c r="L1244" s="56" t="str">
        <x:f>'Actions'!BE26</x:f>
        <x:v>OK</x:v>
      </x:c>
      <x:c r="M1244" s="44" t="str">
        <x:v>Источник Actions.Hard Opportunity Misses</x:v>
      </x:c>
    </x:row>
    <x:row r="1245" ht="36" customHeight="1">
      <x:c r="A1245" s="118" t="n">
        <x:v>1240</x:v>
      </x:c>
      <x:c r="B1245" s="35" t="str">
        <x:v>action</x:v>
      </x:c>
      <x:c r="C1245" s="35" t="str">
        <x:v>gorilla_pivot_throw</x:v>
      </x:c>
      <x:c r="D1245" s="35" t="str">
        <x:v>action_id</x:v>
      </x:c>
      <x:c r="E1245" s="38" t="str">
        <x:v>string</x:v>
      </x:c>
      <x:c r="F1245" s="56" t="str">
        <x:f>'Actions'!A27</x:f>
        <x:v>gorilla_pivot_throw</x:v>
      </x:c>
      <x:c r="G1245" s="38" t="str"/>
      <x:c r="H1245" s="35" t="str">
        <x:v>Actions</x:v>
      </x:c>
      <x:c r="I1245" s="35" t="str">
        <x:v>A27</x:v>
      </x:c>
      <x:c r="J1245" s="85" t="b">
        <x:v>1</x:v>
      </x:c>
      <x:c r="K1245" s="85" t="b">
        <x:v>1</x:v>
      </x:c>
      <x:c r="L1245" s="56" t="str">
        <x:f>'Actions'!BE27</x:f>
        <x:v>OK</x:v>
      </x:c>
      <x:c r="M1245" s="44" t="str">
        <x:v>Источник Actions.Action ID</x:v>
      </x:c>
    </x:row>
    <x:row r="1246" ht="36" customHeight="1">
      <x:c r="A1246" s="118" t="n">
        <x:v>1241</x:v>
      </x:c>
      <x:c r="B1246" s="35" t="str">
        <x:v>action</x:v>
      </x:c>
      <x:c r="C1246" s="35" t="str">
        <x:v>gorilla_pivot_throw</x:v>
      </x:c>
      <x:c r="D1246" s="35" t="str">
        <x:v>animal_id</x:v>
      </x:c>
      <x:c r="E1246" s="38" t="str">
        <x:v>string</x:v>
      </x:c>
      <x:c r="F1246" s="56" t="str">
        <x:f>'Actions'!B27</x:f>
        <x:v>gorilla</x:v>
      </x:c>
      <x:c r="G1246" s="38" t="str"/>
      <x:c r="H1246" s="35" t="str">
        <x:v>Actions</x:v>
      </x:c>
      <x:c r="I1246" s="35" t="str">
        <x:v>B27</x:v>
      </x:c>
      <x:c r="J1246" s="85" t="b">
        <x:v>1</x:v>
      </x:c>
      <x:c r="K1246" s="85" t="b">
        <x:v>1</x:v>
      </x:c>
      <x:c r="L1246" s="56" t="str">
        <x:f>'Actions'!BE27</x:f>
        <x:v>OK</x:v>
      </x:c>
      <x:c r="M1246" s="44" t="str">
        <x:v>Источник Actions.Animal ID</x:v>
      </x:c>
    </x:row>
    <x:row r="1247" ht="36" customHeight="1">
      <x:c r="A1247" s="118" t="n">
        <x:v>1242</x:v>
      </x:c>
      <x:c r="B1247" s="35" t="str">
        <x:v>action</x:v>
      </x:c>
      <x:c r="C1247" s="35" t="str">
        <x:v>gorilla_pivot_throw</x:v>
      </x:c>
      <x:c r="D1247" s="35" t="str">
        <x:v>slot_type</x:v>
      </x:c>
      <x:c r="E1247" s="38" t="str">
        <x:v>string</x:v>
      </x:c>
      <x:c r="F1247" s="56" t="str">
        <x:f>'Actions'!D27</x:f>
        <x:v>Special</x:v>
      </x:c>
      <x:c r="G1247" s="38" t="str"/>
      <x:c r="H1247" s="35" t="str">
        <x:v>Actions</x:v>
      </x:c>
      <x:c r="I1247" s="35" t="str">
        <x:v>D27</x:v>
      </x:c>
      <x:c r="J1247" s="85" t="b">
        <x:v>1</x:v>
      </x:c>
      <x:c r="K1247" s="85" t="b">
        <x:v>1</x:v>
      </x:c>
      <x:c r="L1247" s="56" t="str">
        <x:f>'Actions'!BE27</x:f>
        <x:v>OK</x:v>
      </x:c>
      <x:c r="M1247" s="44" t="str">
        <x:v>Источник Actions.Slot Type</x:v>
      </x:c>
    </x:row>
    <x:row r="1248" ht="36" customHeight="1">
      <x:c r="A1248" s="118" t="n">
        <x:v>1243</x:v>
      </x:c>
      <x:c r="B1248" s="35" t="str">
        <x:v>action</x:v>
      </x:c>
      <x:c r="C1248" s="35" t="str">
        <x:v>gorilla_pivot_throw</x:v>
      </x:c>
      <x:c r="D1248" s="35" t="str">
        <x:v>category</x:v>
      </x:c>
      <x:c r="E1248" s="38" t="str">
        <x:v>string</x:v>
      </x:c>
      <x:c r="F1248" s="56" t="str">
        <x:f>'Actions'!E27</x:f>
        <x:v>SignatureGrab</x:v>
      </x:c>
      <x:c r="G1248" s="38" t="str"/>
      <x:c r="H1248" s="35" t="str">
        <x:v>Actions</x:v>
      </x:c>
      <x:c r="I1248" s="35" t="str">
        <x:v>E27</x:v>
      </x:c>
      <x:c r="J1248" s="85" t="b">
        <x:v>1</x:v>
      </x:c>
      <x:c r="K1248" s="85" t="b">
        <x:v>1</x:v>
      </x:c>
      <x:c r="L1248" s="56" t="str">
        <x:f>'Actions'!BE27</x:f>
        <x:v>OK</x:v>
      </x:c>
      <x:c r="M1248" s="44" t="str">
        <x:v>Источник Actions.Category</x:v>
      </x:c>
    </x:row>
    <x:row r="1249" ht="36" customHeight="1">
      <x:c r="A1249" s="118" t="n">
        <x:v>1244</x:v>
      </x:c>
      <x:c r="B1249" s="35" t="str">
        <x:v>action</x:v>
      </x:c>
      <x:c r="C1249" s="35" t="str">
        <x:v>gorilla_pivot_throw</x:v>
      </x:c>
      <x:c r="D1249" s="35" t="str">
        <x:v>tags</x:v>
      </x:c>
      <x:c r="E1249" s="38" t="str">
        <x:v>string</x:v>
      </x:c>
      <x:c r="F1249" s="56" t="str">
        <x:f>'Actions'!F27</x:f>
        <x:v>special|signature|grab|throw|swap|knockdown</x:v>
      </x:c>
      <x:c r="G1249" s="38" t="str"/>
      <x:c r="H1249" s="35" t="str">
        <x:v>Actions</x:v>
      </x:c>
      <x:c r="I1249" s="35" t="str">
        <x:v>F27</x:v>
      </x:c>
      <x:c r="J1249" s="85" t="b">
        <x:v>1</x:v>
      </x:c>
      <x:c r="K1249" s="85" t="b">
        <x:v>1</x:v>
      </x:c>
      <x:c r="L1249" s="56" t="str">
        <x:f>'Actions'!BE27</x:f>
        <x:v>OK</x:v>
      </x:c>
      <x:c r="M1249" s="44" t="str">
        <x:v>Источник Actions.Tags</x:v>
      </x:c>
    </x:row>
    <x:row r="1250" ht="36" customHeight="1">
      <x:c r="A1250" s="118" t="n">
        <x:v>1245</x:v>
      </x:c>
      <x:c r="B1250" s="35" t="str">
        <x:v>action</x:v>
      </x:c>
      <x:c r="C1250" s="35" t="str">
        <x:v>gorilla_pivot_throw</x:v>
      </x:c>
      <x:c r="D1250" s="35" t="str">
        <x:v>base_weight</x:v>
      </x:c>
      <x:c r="E1250" s="38" t="str">
        <x:v>int</x:v>
      </x:c>
      <x:c r="F1250" s="56" t="n">
        <x:f>'Actions'!G27</x:f>
        <x:v>500</x:v>
      </x:c>
      <x:c r="G1250" s="38" t="str"/>
      <x:c r="H1250" s="35" t="str">
        <x:v>Actions</x:v>
      </x:c>
      <x:c r="I1250" s="35" t="str">
        <x:v>G27</x:v>
      </x:c>
      <x:c r="J1250" s="85" t="b">
        <x:v>1</x:v>
      </x:c>
      <x:c r="K1250" s="85" t="b">
        <x:v>1</x:v>
      </x:c>
      <x:c r="L1250" s="56" t="str">
        <x:f>'Actions'!BE27</x:f>
        <x:v>OK</x:v>
      </x:c>
      <x:c r="M1250" s="44" t="str">
        <x:v>Источник Actions.Base Weight</x:v>
      </x:c>
    </x:row>
    <x:row r="1251" ht="36" customHeight="1">
      <x:c r="A1251" s="118" t="n">
        <x:v>1246</x:v>
      </x:c>
      <x:c r="B1251" s="35" t="str">
        <x:v>action</x:v>
      </x:c>
      <x:c r="C1251" s="35" t="str">
        <x:v>gorilla_pivot_throw</x:v>
      </x:c>
      <x:c r="D1251" s="35" t="str">
        <x:v>preferred_range_min</x:v>
      </x:c>
      <x:c r="E1251" s="38" t="str">
        <x:v>int</x:v>
      </x:c>
      <x:c r="F1251" s="56" t="n">
        <x:f>'Actions'!H27</x:f>
        <x:v>0</x:v>
      </x:c>
      <x:c r="G1251" s="38" t="str"/>
      <x:c r="H1251" s="35" t="str">
        <x:v>Actions</x:v>
      </x:c>
      <x:c r="I1251" s="35" t="str">
        <x:v>H27</x:v>
      </x:c>
      <x:c r="J1251" s="85" t="b">
        <x:v>1</x:v>
      </x:c>
      <x:c r="K1251" s="85" t="b">
        <x:v>1</x:v>
      </x:c>
      <x:c r="L1251" s="56" t="str">
        <x:f>'Actions'!BE27</x:f>
        <x:v>OK</x:v>
      </x:c>
      <x:c r="M1251" s="44" t="str">
        <x:v>Источник Actions.Preferred Range Min</x:v>
      </x:c>
    </x:row>
    <x:row r="1252" ht="36" customHeight="1">
      <x:c r="A1252" s="118" t="n">
        <x:v>1247</x:v>
      </x:c>
      <x:c r="B1252" s="35" t="str">
        <x:v>action</x:v>
      </x:c>
      <x:c r="C1252" s="35" t="str">
        <x:v>gorilla_pivot_throw</x:v>
      </x:c>
      <x:c r="D1252" s="35" t="str">
        <x:v>preferred_range_max</x:v>
      </x:c>
      <x:c r="E1252" s="38" t="str">
        <x:v>int</x:v>
      </x:c>
      <x:c r="F1252" s="56" t="n">
        <x:f>'Actions'!I27</x:f>
        <x:v>650</x:v>
      </x:c>
      <x:c r="G1252" s="38" t="str"/>
      <x:c r="H1252" s="35" t="str">
        <x:v>Actions</x:v>
      </x:c>
      <x:c r="I1252" s="35" t="str">
        <x:v>I27</x:v>
      </x:c>
      <x:c r="J1252" s="85" t="b">
        <x:v>1</x:v>
      </x:c>
      <x:c r="K1252" s="85" t="b">
        <x:v>1</x:v>
      </x:c>
      <x:c r="L1252" s="56" t="str">
        <x:f>'Actions'!BE27</x:f>
        <x:v>OK</x:v>
      </x:c>
      <x:c r="M1252" s="44" t="str">
        <x:v>Источник Actions.Preferred Range Max</x:v>
      </x:c>
    </x:row>
    <x:row r="1253" ht="36" customHeight="1">
      <x:c r="A1253" s="118" t="n">
        <x:v>1248</x:v>
      </x:c>
      <x:c r="B1253" s="35" t="str">
        <x:v>action</x:v>
      </x:c>
      <x:c r="C1253" s="35" t="str">
        <x:v>gorilla_pivot_throw</x:v>
      </x:c>
      <x:c r="D1253" s="35" t="str">
        <x:v>hit_range_min</x:v>
      </x:c>
      <x:c r="E1253" s="38" t="str">
        <x:v>int</x:v>
      </x:c>
      <x:c r="F1253" s="56" t="n">
        <x:f>'Actions'!J27</x:f>
        <x:v>0</x:v>
      </x:c>
      <x:c r="G1253" s="38" t="str"/>
      <x:c r="H1253" s="35" t="str">
        <x:v>Actions</x:v>
      </x:c>
      <x:c r="I1253" s="35" t="str">
        <x:v>J27</x:v>
      </x:c>
      <x:c r="J1253" s="85" t="b">
        <x:v>1</x:v>
      </x:c>
      <x:c r="K1253" s="85" t="b">
        <x:v>1</x:v>
      </x:c>
      <x:c r="L1253" s="56" t="str">
        <x:f>'Actions'!BE27</x:f>
        <x:v>OK</x:v>
      </x:c>
      <x:c r="M1253" s="44" t="str">
        <x:v>Источник Actions.Hit Range Min</x:v>
      </x:c>
    </x:row>
    <x:row r="1254" ht="36" customHeight="1">
      <x:c r="A1254" s="118" t="n">
        <x:v>1249</x:v>
      </x:c>
      <x:c r="B1254" s="35" t="str">
        <x:v>action</x:v>
      </x:c>
      <x:c r="C1254" s="35" t="str">
        <x:v>gorilla_pivot_throw</x:v>
      </x:c>
      <x:c r="D1254" s="35" t="str">
        <x:v>hit_range_max</x:v>
      </x:c>
      <x:c r="E1254" s="38" t="str">
        <x:v>int</x:v>
      </x:c>
      <x:c r="F1254" s="56" t="n">
        <x:f>'Actions'!K27</x:f>
        <x:v>700</x:v>
      </x:c>
      <x:c r="G1254" s="38" t="str"/>
      <x:c r="H1254" s="35" t="str">
        <x:v>Actions</x:v>
      </x:c>
      <x:c r="I1254" s="35" t="str">
        <x:v>K27</x:v>
      </x:c>
      <x:c r="J1254" s="85" t="b">
        <x:v>1</x:v>
      </x:c>
      <x:c r="K1254" s="85" t="b">
        <x:v>1</x:v>
      </x:c>
      <x:c r="L1254" s="56" t="str">
        <x:f>'Actions'!BE27</x:f>
        <x:v>OK</x:v>
      </x:c>
      <x:c r="M1254" s="44" t="str">
        <x:v>Источник Actions.Hit Range Max</x:v>
      </x:c>
    </x:row>
    <x:row r="1255" ht="36" customHeight="1">
      <x:c r="A1255" s="118" t="n">
        <x:v>1250</x:v>
      </x:c>
      <x:c r="B1255" s="35" t="str">
        <x:v>action</x:v>
      </x:c>
      <x:c r="C1255" s="35" t="str">
        <x:v>gorilla_pivot_throw</x:v>
      </x:c>
      <x:c r="D1255" s="35" t="str">
        <x:v>energy_cost</x:v>
      </x:c>
      <x:c r="E1255" s="38" t="str">
        <x:v>int</x:v>
      </x:c>
      <x:c r="F1255" s="56" t="n">
        <x:f>'Actions'!L27</x:f>
        <x:v>230</x:v>
      </x:c>
      <x:c r="G1255" s="38" t="str"/>
      <x:c r="H1255" s="35" t="str">
        <x:v>Actions</x:v>
      </x:c>
      <x:c r="I1255" s="35" t="str">
        <x:v>L27</x:v>
      </x:c>
      <x:c r="J1255" s="85" t="b">
        <x:v>1</x:v>
      </x:c>
      <x:c r="K1255" s="85" t="b">
        <x:v>1</x:v>
      </x:c>
      <x:c r="L1255" s="56" t="str">
        <x:f>'Actions'!BE27</x:f>
        <x:v>OK</x:v>
      </x:c>
      <x:c r="M1255" s="44" t="str">
        <x:v>Источник Actions.Energy Cost</x:v>
      </x:c>
    </x:row>
    <x:row r="1256" ht="36" customHeight="1">
      <x:c r="A1256" s="118" t="n">
        <x:v>1251</x:v>
      </x:c>
      <x:c r="B1256" s="35" t="str">
        <x:v>action</x:v>
      </x:c>
      <x:c r="C1256" s="35" t="str">
        <x:v>gorilla_pivot_throw</x:v>
      </x:c>
      <x:c r="D1256" s="35" t="str">
        <x:v>resource_cost</x:v>
      </x:c>
      <x:c r="E1256" s="38" t="str">
        <x:v>int</x:v>
      </x:c>
      <x:c r="F1256" s="56" t="n">
        <x:f>'Actions'!M27</x:f>
        <x:v>400</x:v>
      </x:c>
      <x:c r="G1256" s="38" t="str"/>
      <x:c r="H1256" s="35" t="str">
        <x:v>Actions</x:v>
      </x:c>
      <x:c r="I1256" s="35" t="str">
        <x:v>M27</x:v>
      </x:c>
      <x:c r="J1256" s="85" t="b">
        <x:v>1</x:v>
      </x:c>
      <x:c r="K1256" s="85" t="b">
        <x:v>1</x:v>
      </x:c>
      <x:c r="L1256" s="56" t="str">
        <x:f>'Actions'!BE27</x:f>
        <x:v>OK</x:v>
      </x:c>
      <x:c r="M1256" s="44" t="str">
        <x:v>Источник Actions.Resource Cost</x:v>
      </x:c>
    </x:row>
    <x:row r="1257" ht="36" customHeight="1">
      <x:c r="A1257" s="118" t="n">
        <x:v>1252</x:v>
      </x:c>
      <x:c r="B1257" s="35" t="str">
        <x:v>action</x:v>
      </x:c>
      <x:c r="C1257" s="35" t="str">
        <x:v>gorilla_pivot_throw</x:v>
      </x:c>
      <x:c r="D1257" s="35" t="str">
        <x:v>base_damage</x:v>
      </x:c>
      <x:c r="E1257" s="38" t="str">
        <x:v>int</x:v>
      </x:c>
      <x:c r="F1257" s="56" t="n">
        <x:f>'Actions'!N27</x:f>
        <x:v>60</x:v>
      </x:c>
      <x:c r="G1257" s="38" t="str"/>
      <x:c r="H1257" s="35" t="str">
        <x:v>Actions</x:v>
      </x:c>
      <x:c r="I1257" s="35" t="str">
        <x:v>N27</x:v>
      </x:c>
      <x:c r="J1257" s="85" t="b">
        <x:v>1</x:v>
      </x:c>
      <x:c r="K1257" s="85" t="b">
        <x:v>1</x:v>
      </x:c>
      <x:c r="L1257" s="56" t="str">
        <x:f>'Actions'!BE27</x:f>
        <x:v>OK</x:v>
      </x:c>
      <x:c r="M1257" s="44" t="str">
        <x:v>Источник Actions.Base Damage / hit</x:v>
      </x:c>
    </x:row>
    <x:row r="1258" ht="36" customHeight="1">
      <x:c r="A1258" s="118" t="n">
        <x:v>1253</x:v>
      </x:c>
      <x:c r="B1258" s="35" t="str">
        <x:v>action</x:v>
      </x:c>
      <x:c r="C1258" s="35" t="str">
        <x:v>gorilla_pivot_throw</x:v>
      </x:c>
      <x:c r="D1258" s="35" t="str">
        <x:v>power_ratio_fp</x:v>
      </x:c>
      <x:c r="E1258" s="38" t="str">
        <x:v>int</x:v>
      </x:c>
      <x:c r="F1258" s="56" t="n">
        <x:f>'Actions'!O27</x:f>
        <x:v>700</x:v>
      </x:c>
      <x:c r="G1258" s="38" t="str"/>
      <x:c r="H1258" s="35" t="str">
        <x:v>Actions</x:v>
      </x:c>
      <x:c r="I1258" s="35" t="str">
        <x:v>O27</x:v>
      </x:c>
      <x:c r="J1258" s="85" t="b">
        <x:v>1</x:v>
      </x:c>
      <x:c r="K1258" s="85" t="b">
        <x:v>1</x:v>
      </x:c>
      <x:c r="L1258" s="56" t="str">
        <x:f>'Actions'!BE27</x:f>
        <x:v>OK</x:v>
      </x:c>
      <x:c r="M1258" s="44" t="str">
        <x:v>Источник Actions.Power Ratio FP</x:v>
      </x:c>
    </x:row>
    <x:row r="1259" ht="36" customHeight="1">
      <x:c r="A1259" s="118" t="n">
        <x:v>1254</x:v>
      </x:c>
      <x:c r="B1259" s="35" t="str">
        <x:v>action</x:v>
      </x:c>
      <x:c r="C1259" s="35" t="str">
        <x:v>gorilla_pivot_throw</x:v>
      </x:c>
      <x:c r="D1259" s="35" t="str">
        <x:v>min_damage</x:v>
      </x:c>
      <x:c r="E1259" s="38" t="str">
        <x:v>int</x:v>
      </x:c>
      <x:c r="F1259" s="56" t="n">
        <x:f>'Actions'!P27</x:f>
        <x:v>22</x:v>
      </x:c>
      <x:c r="G1259" s="38" t="str"/>
      <x:c r="H1259" s="35" t="str">
        <x:v>Actions</x:v>
      </x:c>
      <x:c r="I1259" s="35" t="str">
        <x:v>P27</x:v>
      </x:c>
      <x:c r="J1259" s="85" t="b">
        <x:v>1</x:v>
      </x:c>
      <x:c r="K1259" s="85" t="b">
        <x:v>1</x:v>
      </x:c>
      <x:c r="L1259" s="56" t="str">
        <x:f>'Actions'!BE27</x:f>
        <x:v>OK</x:v>
      </x:c>
      <x:c r="M1259" s="44" t="str">
        <x:v>Источник Actions.Min Damage</x:v>
      </x:c>
    </x:row>
    <x:row r="1260" ht="36" customHeight="1">
      <x:c r="A1260" s="118" t="n">
        <x:v>1255</x:v>
      </x:c>
      <x:c r="B1260" s="35" t="str">
        <x:v>action</x:v>
      </x:c>
      <x:c r="C1260" s="35" t="str">
        <x:v>gorilla_pivot_throw</x:v>
      </x:c>
      <x:c r="D1260" s="35" t="str">
        <x:v>chip_min</x:v>
      </x:c>
      <x:c r="E1260" s="38" t="str">
        <x:v>int</x:v>
      </x:c>
      <x:c r="F1260" s="56" t="n">
        <x:f>'Actions'!Q27</x:f>
        <x:v>0</x:v>
      </x:c>
      <x:c r="G1260" s="38" t="str"/>
      <x:c r="H1260" s="35" t="str">
        <x:v>Actions</x:v>
      </x:c>
      <x:c r="I1260" s="35" t="str">
        <x:v>Q27</x:v>
      </x:c>
      <x:c r="J1260" s="85" t="b">
        <x:v>1</x:v>
      </x:c>
      <x:c r="K1260" s="85" t="b">
        <x:v>1</x:v>
      </x:c>
      <x:c r="L1260" s="56" t="str">
        <x:f>'Actions'!BE27</x:f>
        <x:v>OK</x:v>
      </x:c>
      <x:c r="M1260" s="44" t="str">
        <x:v>Источник Actions.Chip Min</x:v>
      </x:c>
    </x:row>
    <x:row r="1261" ht="36" customHeight="1">
      <x:c r="A1261" s="118" t="n">
        <x:v>1256</x:v>
      </x:c>
      <x:c r="B1261" s="35" t="str">
        <x:v>action</x:v>
      </x:c>
      <x:c r="C1261" s="35" t="str">
        <x:v>gorilla_pivot_throw</x:v>
      </x:c>
      <x:c r="D1261" s="35" t="str">
        <x:v>startup_base_ticks</x:v>
      </x:c>
      <x:c r="E1261" s="38" t="str">
        <x:v>int</x:v>
      </x:c>
      <x:c r="F1261" s="56" t="n">
        <x:f>'Actions'!R27</x:f>
        <x:v>7</x:v>
      </x:c>
      <x:c r="G1261" s="38" t="str"/>
      <x:c r="H1261" s="35" t="str">
        <x:v>Actions</x:v>
      </x:c>
      <x:c r="I1261" s="35" t="str">
        <x:v>R27</x:v>
      </x:c>
      <x:c r="J1261" s="85" t="b">
        <x:v>1</x:v>
      </x:c>
      <x:c r="K1261" s="85" t="b">
        <x:v>1</x:v>
      </x:c>
      <x:c r="L1261" s="56" t="str">
        <x:f>'Actions'!BE27</x:f>
        <x:v>OK</x:v>
      </x:c>
      <x:c r="M1261" s="44" t="str">
        <x:v>Источник Actions.Startup Base Ticks</x:v>
      </x:c>
    </x:row>
    <x:row r="1262" ht="36" customHeight="1">
      <x:c r="A1262" s="118" t="n">
        <x:v>1257</x:v>
      </x:c>
      <x:c r="B1262" s="35" t="str">
        <x:v>action</x:v>
      </x:c>
      <x:c r="C1262" s="35" t="str">
        <x:v>gorilla_pivot_throw</x:v>
      </x:c>
      <x:c r="D1262" s="35" t="str">
        <x:v>startup_min_ticks</x:v>
      </x:c>
      <x:c r="E1262" s="38" t="str">
        <x:v>int</x:v>
      </x:c>
      <x:c r="F1262" s="56" t="n">
        <x:f>'Actions'!S27</x:f>
        <x:v>4</x:v>
      </x:c>
      <x:c r="G1262" s="38" t="str"/>
      <x:c r="H1262" s="35" t="str">
        <x:v>Actions</x:v>
      </x:c>
      <x:c r="I1262" s="35" t="str">
        <x:v>S27</x:v>
      </x:c>
      <x:c r="J1262" s="85" t="b">
        <x:v>1</x:v>
      </x:c>
      <x:c r="K1262" s="85" t="b">
        <x:v>1</x:v>
      </x:c>
      <x:c r="L1262" s="56" t="str">
        <x:f>'Actions'!BE27</x:f>
        <x:v>OK</x:v>
      </x:c>
      <x:c r="M1262" s="44" t="str">
        <x:v>Источник Actions.Startup Min Ticks</x:v>
      </x:c>
    </x:row>
    <x:row r="1263" ht="36" customHeight="1">
      <x:c r="A1263" s="118" t="n">
        <x:v>1258</x:v>
      </x:c>
      <x:c r="B1263" s="35" t="str">
        <x:v>action</x:v>
      </x:c>
      <x:c r="C1263" s="35" t="str">
        <x:v>gorilla_pivot_throw</x:v>
      </x:c>
      <x:c r="D1263" s="35" t="str">
        <x:v>startup_max_ticks</x:v>
      </x:c>
      <x:c r="E1263" s="38" t="str">
        <x:v>int</x:v>
      </x:c>
      <x:c r="F1263" s="56" t="n">
        <x:f>'Actions'!T27</x:f>
        <x:v>11</x:v>
      </x:c>
      <x:c r="G1263" s="38" t="str"/>
      <x:c r="H1263" s="35" t="str">
        <x:v>Actions</x:v>
      </x:c>
      <x:c r="I1263" s="35" t="str">
        <x:v>T27</x:v>
      </x:c>
      <x:c r="J1263" s="85" t="b">
        <x:v>1</x:v>
      </x:c>
      <x:c r="K1263" s="85" t="b">
        <x:v>1</x:v>
      </x:c>
      <x:c r="L1263" s="56" t="str">
        <x:f>'Actions'!BE27</x:f>
        <x:v>OK</x:v>
      </x:c>
      <x:c r="M1263" s="44" t="str">
        <x:v>Источник Actions.Startup Max Ticks</x:v>
      </x:c>
    </x:row>
    <x:row r="1264" ht="36" customHeight="1">
      <x:c r="A1264" s="118" t="n">
        <x:v>1259</x:v>
      </x:c>
      <x:c r="B1264" s="35" t="str">
        <x:v>action</x:v>
      </x:c>
      <x:c r="C1264" s="35" t="str">
        <x:v>gorilla_pivot_throw</x:v>
      </x:c>
      <x:c r="D1264" s="35" t="str">
        <x:v>active_ticks</x:v>
      </x:c>
      <x:c r="E1264" s="38" t="str">
        <x:v>int</x:v>
      </x:c>
      <x:c r="F1264" s="56" t="n">
        <x:f>'Actions'!U27</x:f>
        <x:v>6</x:v>
      </x:c>
      <x:c r="G1264" s="38" t="str"/>
      <x:c r="H1264" s="35" t="str">
        <x:v>Actions</x:v>
      </x:c>
      <x:c r="I1264" s="35" t="str">
        <x:v>U27</x:v>
      </x:c>
      <x:c r="J1264" s="85" t="b">
        <x:v>1</x:v>
      </x:c>
      <x:c r="K1264" s="85" t="b">
        <x:v>1</x:v>
      </x:c>
      <x:c r="L1264" s="56" t="str">
        <x:f>'Actions'!BE27</x:f>
        <x:v>OK</x:v>
      </x:c>
      <x:c r="M1264" s="44" t="str">
        <x:v>Источник Actions.Active Ticks</x:v>
      </x:c>
    </x:row>
    <x:row r="1265" ht="36" customHeight="1">
      <x:c r="A1265" s="118" t="n">
        <x:v>1260</x:v>
      </x:c>
      <x:c r="B1265" s="35" t="str">
        <x:v>action</x:v>
      </x:c>
      <x:c r="C1265" s="35" t="str">
        <x:v>gorilla_pivot_throw</x:v>
      </x:c>
      <x:c r="D1265" s="35" t="str">
        <x:v>hit_schedule</x:v>
      </x:c>
      <x:c r="E1265" s="38" t="str">
        <x:v>string</x:v>
      </x:c>
      <x:c r="F1265" s="56" t="str">
        <x:f>'Actions'!V27</x:f>
        <x:v>grab:0|throw:5</x:v>
      </x:c>
      <x:c r="G1265" s="38" t="str"/>
      <x:c r="H1265" s="35" t="str">
        <x:v>Actions</x:v>
      </x:c>
      <x:c r="I1265" s="35" t="str">
        <x:v>V27</x:v>
      </x:c>
      <x:c r="J1265" s="85" t="b">
        <x:v>1</x:v>
      </x:c>
      <x:c r="K1265" s="85" t="b">
        <x:v>1</x:v>
      </x:c>
      <x:c r="L1265" s="56" t="str">
        <x:f>'Actions'!BE27</x:f>
        <x:v>OK</x:v>
      </x:c>
      <x:c r="M1265" s="44" t="str">
        <x:v>Источник Actions.Hit Schedule</x:v>
      </x:c>
    </x:row>
    <x:row r="1266" ht="36" customHeight="1">
      <x:c r="A1266" s="118" t="n">
        <x:v>1261</x:v>
      </x:c>
      <x:c r="B1266" s="35" t="str">
        <x:v>action</x:v>
      </x:c>
      <x:c r="C1266" s="35" t="str">
        <x:v>gorilla_pivot_throw</x:v>
      </x:c>
      <x:c r="D1266" s="35" t="str">
        <x:v>hit_count</x:v>
      </x:c>
      <x:c r="E1266" s="38" t="str">
        <x:v>int</x:v>
      </x:c>
      <x:c r="F1266" s="56" t="n">
        <x:f>'Actions'!W27</x:f>
        <x:v>1</x:v>
      </x:c>
      <x:c r="G1266" s="38" t="str"/>
      <x:c r="H1266" s="35" t="str">
        <x:v>Actions</x:v>
      </x:c>
      <x:c r="I1266" s="35" t="str">
        <x:v>W27</x:v>
      </x:c>
      <x:c r="J1266" s="85" t="b">
        <x:v>1</x:v>
      </x:c>
      <x:c r="K1266" s="85" t="b">
        <x:v>1</x:v>
      </x:c>
      <x:c r="L1266" s="56" t="str">
        <x:f>'Actions'!BE27</x:f>
        <x:v>OK</x:v>
      </x:c>
      <x:c r="M1266" s="44" t="str">
        <x:v>Источник Actions.Hit Count</x:v>
      </x:c>
    </x:row>
    <x:row r="1267" ht="36" customHeight="1">
      <x:c r="A1267" s="118" t="n">
        <x:v>1262</x:v>
      </x:c>
      <x:c r="B1267" s="35" t="str">
        <x:v>action</x:v>
      </x:c>
      <x:c r="C1267" s="35" t="str">
        <x:v>gorilla_pivot_throw</x:v>
      </x:c>
      <x:c r="D1267" s="35" t="str">
        <x:v>recovery_base_ticks</x:v>
      </x:c>
      <x:c r="E1267" s="38" t="str">
        <x:v>int</x:v>
      </x:c>
      <x:c r="F1267" s="56" t="n">
        <x:f>'Actions'!X27</x:f>
        <x:v>15</x:v>
      </x:c>
      <x:c r="G1267" s="38" t="str"/>
      <x:c r="H1267" s="35" t="str">
        <x:v>Actions</x:v>
      </x:c>
      <x:c r="I1267" s="35" t="str">
        <x:v>X27</x:v>
      </x:c>
      <x:c r="J1267" s="85" t="b">
        <x:v>1</x:v>
      </x:c>
      <x:c r="K1267" s="85" t="b">
        <x:v>1</x:v>
      </x:c>
      <x:c r="L1267" s="56" t="str">
        <x:f>'Actions'!BE27</x:f>
        <x:v>OK</x:v>
      </x:c>
      <x:c r="M1267" s="44" t="str">
        <x:v>Источник Actions.Recovery Base Ticks</x:v>
      </x:c>
    </x:row>
    <x:row r="1268" ht="36" customHeight="1">
      <x:c r="A1268" s="118" t="n">
        <x:v>1263</x:v>
      </x:c>
      <x:c r="B1268" s="35" t="str">
        <x:v>action</x:v>
      </x:c>
      <x:c r="C1268" s="35" t="str">
        <x:v>gorilla_pivot_throw</x:v>
      </x:c>
      <x:c r="D1268" s="35" t="str">
        <x:v>recovery_min_ticks</x:v>
      </x:c>
      <x:c r="E1268" s="38" t="str">
        <x:v>int</x:v>
      </x:c>
      <x:c r="F1268" s="56" t="n">
        <x:f>'Actions'!Y27</x:f>
        <x:v>10</x:v>
      </x:c>
      <x:c r="G1268" s="38" t="str"/>
      <x:c r="H1268" s="35" t="str">
        <x:v>Actions</x:v>
      </x:c>
      <x:c r="I1268" s="35" t="str">
        <x:v>Y27</x:v>
      </x:c>
      <x:c r="J1268" s="85" t="b">
        <x:v>1</x:v>
      </x:c>
      <x:c r="K1268" s="85" t="b">
        <x:v>1</x:v>
      </x:c>
      <x:c r="L1268" s="56" t="str">
        <x:f>'Actions'!BE27</x:f>
        <x:v>OK</x:v>
      </x:c>
      <x:c r="M1268" s="44" t="str">
        <x:v>Источник Actions.Recovery Min Ticks</x:v>
      </x:c>
    </x:row>
    <x:row r="1269" ht="36" customHeight="1">
      <x:c r="A1269" s="118" t="n">
        <x:v>1264</x:v>
      </x:c>
      <x:c r="B1269" s="35" t="str">
        <x:v>action</x:v>
      </x:c>
      <x:c r="C1269" s="35" t="str">
        <x:v>gorilla_pivot_throw</x:v>
      </x:c>
      <x:c r="D1269" s="35" t="str">
        <x:v>recovery_max_ticks</x:v>
      </x:c>
      <x:c r="E1269" s="38" t="str">
        <x:v>int</x:v>
      </x:c>
      <x:c r="F1269" s="56" t="n">
        <x:f>'Actions'!Z27</x:f>
        <x:v>23</x:v>
      </x:c>
      <x:c r="G1269" s="38" t="str"/>
      <x:c r="H1269" s="35" t="str">
        <x:v>Actions</x:v>
      </x:c>
      <x:c r="I1269" s="35" t="str">
        <x:v>Z27</x:v>
      </x:c>
      <x:c r="J1269" s="85" t="b">
        <x:v>1</x:v>
      </x:c>
      <x:c r="K1269" s="85" t="b">
        <x:v>1</x:v>
      </x:c>
      <x:c r="L1269" s="56" t="str">
        <x:f>'Actions'!BE27</x:f>
        <x:v>OK</x:v>
      </x:c>
      <x:c r="M1269" s="44" t="str">
        <x:v>Источник Actions.Recovery Max Ticks</x:v>
      </x:c>
    </x:row>
    <x:row r="1270" ht="36" customHeight="1">
      <x:c r="A1270" s="118" t="n">
        <x:v>1265</x:v>
      </x:c>
      <x:c r="B1270" s="35" t="str">
        <x:v>action</x:v>
      </x:c>
      <x:c r="C1270" s="35" t="str">
        <x:v>gorilla_pivot_throw</x:v>
      </x:c>
      <x:c r="D1270" s="35" t="str">
        <x:v>cooldown_ticks</x:v>
      </x:c>
      <x:c r="E1270" s="38" t="str">
        <x:v>int</x:v>
      </x:c>
      <x:c r="F1270" s="56" t="n">
        <x:f>'Actions'!AA27</x:f>
        <x:v>70</x:v>
      </x:c>
      <x:c r="G1270" s="38" t="str"/>
      <x:c r="H1270" s="35" t="str">
        <x:v>Actions</x:v>
      </x:c>
      <x:c r="I1270" s="35" t="str">
        <x:v>AA27</x:v>
      </x:c>
      <x:c r="J1270" s="85" t="b">
        <x:v>1</x:v>
      </x:c>
      <x:c r="K1270" s="85" t="b">
        <x:v>1</x:v>
      </x:c>
      <x:c r="L1270" s="56" t="str">
        <x:f>'Actions'!BE27</x:f>
        <x:v>OK</x:v>
      </x:c>
      <x:c r="M1270" s="44" t="str">
        <x:v>Источник Actions.Cooldown Ticks</x:v>
      </x:c>
    </x:row>
    <x:row r="1271" ht="36" customHeight="1">
      <x:c r="A1271" s="118" t="n">
        <x:v>1266</x:v>
      </x:c>
      <x:c r="B1271" s="35" t="str">
        <x:v>action</x:v>
      </x:c>
      <x:c r="C1271" s="35" t="str">
        <x:v>gorilla_pivot_throw</x:v>
      </x:c>
      <x:c r="D1271" s="35" t="str">
        <x:v>action_priority</x:v>
      </x:c>
      <x:c r="E1271" s="38" t="str">
        <x:v>int</x:v>
      </x:c>
      <x:c r="F1271" s="56" t="n">
        <x:f>'Actions'!AB27</x:f>
        <x:v>70</x:v>
      </x:c>
      <x:c r="G1271" s="38" t="str"/>
      <x:c r="H1271" s="35" t="str">
        <x:v>Actions</x:v>
      </x:c>
      <x:c r="I1271" s="35" t="str">
        <x:v>AB27</x:v>
      </x:c>
      <x:c r="J1271" s="85" t="b">
        <x:v>1</x:v>
      </x:c>
      <x:c r="K1271" s="85" t="b">
        <x:v>1</x:v>
      </x:c>
      <x:c r="L1271" s="56" t="str">
        <x:f>'Actions'!BE27</x:f>
        <x:v>OK</x:v>
      </x:c>
      <x:c r="M1271" s="44" t="str">
        <x:v>Источник Actions.Action Priority</x:v>
      </x:c>
    </x:row>
    <x:row r="1272" ht="36" customHeight="1">
      <x:c r="A1272" s="118" t="n">
        <x:v>1267</x:v>
      </x:c>
      <x:c r="B1272" s="35" t="str">
        <x:v>action</x:v>
      </x:c>
      <x:c r="C1272" s="35" t="str">
        <x:v>gorilla_pivot_throw</x:v>
      </x:c>
      <x:c r="D1272" s="35" t="str">
        <x:v>clash_priority</x:v>
      </x:c>
      <x:c r="E1272" s="38" t="str">
        <x:v>int</x:v>
      </x:c>
      <x:c r="F1272" s="56" t="n">
        <x:f>'Actions'!AC27</x:f>
        <x:v>0</x:v>
      </x:c>
      <x:c r="G1272" s="38" t="str"/>
      <x:c r="H1272" s="35" t="str">
        <x:v>Actions</x:v>
      </x:c>
      <x:c r="I1272" s="35" t="str">
        <x:v>AC27</x:v>
      </x:c>
      <x:c r="J1272" s="85" t="b">
        <x:v>1</x:v>
      </x:c>
      <x:c r="K1272" s="85" t="b">
        <x:v>1</x:v>
      </x:c>
      <x:c r="L1272" s="56" t="str">
        <x:f>'Actions'!BE27</x:f>
        <x:v>OK</x:v>
      </x:c>
      <x:c r="M1272" s="44" t="str">
        <x:v>Источник Actions.Clash Priority</x:v>
      </x:c>
    </x:row>
    <x:row r="1273" ht="36" customHeight="1">
      <x:c r="A1273" s="118" t="n">
        <x:v>1268</x:v>
      </x:c>
      <x:c r="B1273" s="35" t="str">
        <x:v>action</x:v>
      </x:c>
      <x:c r="C1273" s="35" t="str">
        <x:v>gorilla_pivot_throw</x:v>
      </x:c>
      <x:c r="D1273" s="35" t="str">
        <x:v>grab_priority</x:v>
      </x:c>
      <x:c r="E1273" s="38" t="str">
        <x:v>int</x:v>
      </x:c>
      <x:c r="F1273" s="56" t="n">
        <x:f>'Actions'!AD27</x:f>
        <x:v>75</x:v>
      </x:c>
      <x:c r="G1273" s="38" t="str"/>
      <x:c r="H1273" s="35" t="str">
        <x:v>Actions</x:v>
      </x:c>
      <x:c r="I1273" s="35" t="str">
        <x:v>AD27</x:v>
      </x:c>
      <x:c r="J1273" s="85" t="b">
        <x:v>1</x:v>
      </x:c>
      <x:c r="K1273" s="85" t="b">
        <x:v>1</x:v>
      </x:c>
      <x:c r="L1273" s="56" t="str">
        <x:f>'Actions'!BE27</x:f>
        <x:v>OK</x:v>
      </x:c>
      <x:c r="M1273" s="44" t="str">
        <x:v>Источник Actions.Grab Priority</x:v>
      </x:c>
    </x:row>
    <x:row r="1274" ht="36" customHeight="1">
      <x:c r="A1274" s="118" t="n">
        <x:v>1269</x:v>
      </x:c>
      <x:c r="B1274" s="35" t="str">
        <x:v>action</x:v>
      </x:c>
      <x:c r="C1274" s="35" t="str">
        <x:v>gorilla_pivot_throw</x:v>
      </x:c>
      <x:c r="D1274" s="35" t="str">
        <x:v>resolution_priority</x:v>
      </x:c>
      <x:c r="E1274" s="38" t="str">
        <x:v>int</x:v>
      </x:c>
      <x:c r="F1274" s="56" t="n">
        <x:f>'Actions'!AE27</x:f>
        <x:v>75</x:v>
      </x:c>
      <x:c r="G1274" s="38" t="str"/>
      <x:c r="H1274" s="35" t="str">
        <x:v>Actions</x:v>
      </x:c>
      <x:c r="I1274" s="35" t="str">
        <x:v>AE27</x:v>
      </x:c>
      <x:c r="J1274" s="85" t="b">
        <x:v>1</x:v>
      </x:c>
      <x:c r="K1274" s="85" t="b">
        <x:v>1</x:v>
      </x:c>
      <x:c r="L1274" s="56" t="str">
        <x:f>'Actions'!BE27</x:f>
        <x:v>OK</x:v>
      </x:c>
      <x:c r="M1274" s="44" t="str">
        <x:v>Источник Actions.Resolution Priority</x:v>
      </x:c>
    </x:row>
    <x:row r="1275" ht="36" customHeight="1">
      <x:c r="A1275" s="118" t="n">
        <x:v>1270</x:v>
      </x:c>
      <x:c r="B1275" s="35" t="str">
        <x:v>action</x:v>
      </x:c>
      <x:c r="C1275" s="35" t="str">
        <x:v>gorilla_pivot_throw</x:v>
      </x:c>
      <x:c r="D1275" s="35" t="str">
        <x:v>interrupt_profile</x:v>
      </x:c>
      <x:c r="E1275" s="38" t="str">
        <x:v>string</x:v>
      </x:c>
      <x:c r="F1275" s="56" t="str">
        <x:f>'Actions'!AF27</x:f>
        <x:v>Committed</x:v>
      </x:c>
      <x:c r="G1275" s="38" t="str"/>
      <x:c r="H1275" s="35" t="str">
        <x:v>Actions</x:v>
      </x:c>
      <x:c r="I1275" s="35" t="str">
        <x:v>AF27</x:v>
      </x:c>
      <x:c r="J1275" s="85" t="b">
        <x:v>1</x:v>
      </x:c>
      <x:c r="K1275" s="85" t="b">
        <x:v>1</x:v>
      </x:c>
      <x:c r="L1275" s="56" t="str">
        <x:f>'Actions'!BE27</x:f>
        <x:v>OK</x:v>
      </x:c>
      <x:c r="M1275" s="44" t="str">
        <x:v>Источник Actions.Interrupt Profile</x:v>
      </x:c>
    </x:row>
    <x:row r="1276" ht="36" customHeight="1">
      <x:c r="A1276" s="118" t="n">
        <x:v>1271</x:v>
      </x:c>
      <x:c r="B1276" s="35" t="str">
        <x:v>action</x:v>
      </x:c>
      <x:c r="C1276" s="35" t="str">
        <x:v>gorilla_pivot_throw</x:v>
      </x:c>
      <x:c r="D1276" s="35" t="str">
        <x:v>blockable</x:v>
      </x:c>
      <x:c r="E1276" s="38" t="str">
        <x:v>bool</x:v>
      </x:c>
      <x:c r="F1276" s="56" t="b">
        <x:f>'Actions'!AG27</x:f>
        <x:v>0</x:v>
      </x:c>
      <x:c r="G1276" s="38" t="str"/>
      <x:c r="H1276" s="35" t="str">
        <x:v>Actions</x:v>
      </x:c>
      <x:c r="I1276" s="35" t="str">
        <x:v>AG27</x:v>
      </x:c>
      <x:c r="J1276" s="85" t="b">
        <x:v>1</x:v>
      </x:c>
      <x:c r="K1276" s="85" t="b">
        <x:v>1</x:v>
      </x:c>
      <x:c r="L1276" s="56" t="str">
        <x:f>'Actions'!BE27</x:f>
        <x:v>OK</x:v>
      </x:c>
      <x:c r="M1276" s="44" t="str">
        <x:v>Источник Actions.Blockable</x:v>
      </x:c>
    </x:row>
    <x:row r="1277" ht="36" customHeight="1">
      <x:c r="A1277" s="118" t="n">
        <x:v>1272</x:v>
      </x:c>
      <x:c r="B1277" s="35" t="str">
        <x:v>action</x:v>
      </x:c>
      <x:c r="C1277" s="35" t="str">
        <x:v>gorilla_pivot_throw</x:v>
      </x:c>
      <x:c r="D1277" s="35" t="str">
        <x:v>dodgeable</x:v>
      </x:c>
      <x:c r="E1277" s="38" t="str">
        <x:v>bool</x:v>
      </x:c>
      <x:c r="F1277" s="56" t="b">
        <x:f>'Actions'!AH27</x:f>
        <x:v>0</x:v>
      </x:c>
      <x:c r="G1277" s="38" t="str"/>
      <x:c r="H1277" s="35" t="str">
        <x:v>Actions</x:v>
      </x:c>
      <x:c r="I1277" s="35" t="str">
        <x:v>AH27</x:v>
      </x:c>
      <x:c r="J1277" s="85" t="b">
        <x:v>1</x:v>
      </x:c>
      <x:c r="K1277" s="85" t="b">
        <x:v>1</x:v>
      </x:c>
      <x:c r="L1277" s="56" t="str">
        <x:f>'Actions'!BE27</x:f>
        <x:v>OK</x:v>
      </x:c>
      <x:c r="M1277" s="44" t="str">
        <x:v>Источник Actions.Dodgeable</x:v>
      </x:c>
    </x:row>
    <x:row r="1278" ht="36" customHeight="1">
      <x:c r="A1278" s="118" t="n">
        <x:v>1273</x:v>
      </x:c>
      <x:c r="B1278" s="35" t="str">
        <x:v>action</x:v>
      </x:c>
      <x:c r="C1278" s="35" t="str">
        <x:v>gorilla_pivot_throw</x:v>
      </x:c>
      <x:c r="D1278" s="35" t="str">
        <x:v>undodgeable</x:v>
      </x:c>
      <x:c r="E1278" s="38" t="str">
        <x:v>bool</x:v>
      </x:c>
      <x:c r="F1278" s="56" t="b">
        <x:f>'Actions'!AI27</x:f>
        <x:v>0</x:v>
      </x:c>
      <x:c r="G1278" s="38" t="str"/>
      <x:c r="H1278" s="35" t="str">
        <x:v>Actions</x:v>
      </x:c>
      <x:c r="I1278" s="35" t="str">
        <x:v>AI27</x:v>
      </x:c>
      <x:c r="J1278" s="85" t="b">
        <x:v>1</x:v>
      </x:c>
      <x:c r="K1278" s="85" t="b">
        <x:v>1</x:v>
      </x:c>
      <x:c r="L1278" s="56" t="str">
        <x:f>'Actions'!BE27</x:f>
        <x:v>OK</x:v>
      </x:c>
      <x:c r="M1278" s="44" t="str">
        <x:v>Источник Actions.Undodgeable</x:v>
      </x:c>
    </x:row>
    <x:row r="1279" ht="36" customHeight="1">
      <x:c r="A1279" s="118" t="n">
        <x:v>1274</x:v>
      </x:c>
      <x:c r="B1279" s="35" t="str">
        <x:v>action</x:v>
      </x:c>
      <x:c r="C1279" s="35" t="str">
        <x:v>gorilla_pivot_throw</x:v>
      </x:c>
      <x:c r="D1279" s="35" t="str">
        <x:v>wall_impact</x:v>
      </x:c>
      <x:c r="E1279" s="38" t="str">
        <x:v>bool</x:v>
      </x:c>
      <x:c r="F1279" s="56" t="b">
        <x:f>'Actions'!AJ27</x:f>
        <x:v>0</x:v>
      </x:c>
      <x:c r="G1279" s="38" t="str"/>
      <x:c r="H1279" s="35" t="str">
        <x:v>Actions</x:v>
      </x:c>
      <x:c r="I1279" s="35" t="str">
        <x:v>AJ27</x:v>
      </x:c>
      <x:c r="J1279" s="85" t="b">
        <x:v>1</x:v>
      </x:c>
      <x:c r="K1279" s="85" t="b">
        <x:v>1</x:v>
      </x:c>
      <x:c r="L1279" s="56" t="str">
        <x:f>'Actions'!BE27</x:f>
        <x:v>OK</x:v>
      </x:c>
      <x:c r="M1279" s="44" t="str">
        <x:v>Источник Actions.Wall Impact</x:v>
      </x:c>
    </x:row>
    <x:row r="1280" ht="36" customHeight="1">
      <x:c r="A1280" s="118" t="n">
        <x:v>1275</x:v>
      </x:c>
      <x:c r="B1280" s="35" t="str">
        <x:v>action</x:v>
      </x:c>
      <x:c r="C1280" s="35" t="str">
        <x:v>gorilla_pivot_throw</x:v>
      </x:c>
      <x:c r="D1280" s="35" t="str">
        <x:v>track_target</x:v>
      </x:c>
      <x:c r="E1280" s="38" t="str">
        <x:v>bool</x:v>
      </x:c>
      <x:c r="F1280" s="56" t="b">
        <x:f>'Actions'!AK27</x:f>
        <x:v>1</x:v>
      </x:c>
      <x:c r="G1280" s="38" t="str"/>
      <x:c r="H1280" s="35" t="str">
        <x:v>Actions</x:v>
      </x:c>
      <x:c r="I1280" s="35" t="str">
        <x:v>AK27</x:v>
      </x:c>
      <x:c r="J1280" s="85" t="b">
        <x:v>1</x:v>
      </x:c>
      <x:c r="K1280" s="85" t="b">
        <x:v>1</x:v>
      </x:c>
      <x:c r="L1280" s="56" t="str">
        <x:f>'Actions'!BE27</x:f>
        <x:v>OK</x:v>
      </x:c>
      <x:c r="M1280" s="44" t="str">
        <x:v>Источник Actions.Track Target</x:v>
      </x:c>
    </x:row>
    <x:row r="1281" ht="36" customHeight="1">
      <x:c r="A1281" s="118" t="n">
        <x:v>1276</x:v>
      </x:c>
      <x:c r="B1281" s="35" t="str">
        <x:v>action</x:v>
      </x:c>
      <x:c r="C1281" s="35" t="str">
        <x:v>gorilla_pivot_throw</x:v>
      </x:c>
      <x:c r="D1281" s="35" t="str">
        <x:v>block_base_chance_fp</x:v>
      </x:c>
      <x:c r="E1281" s="38" t="str">
        <x:v>int</x:v>
      </x:c>
      <x:c r="F1281" s="56" t="n">
        <x:f>'Actions'!AL27</x:f>
        <x:v>0</x:v>
      </x:c>
      <x:c r="G1281" s="38" t="str"/>
      <x:c r="H1281" s="35" t="str">
        <x:v>Actions</x:v>
      </x:c>
      <x:c r="I1281" s="35" t="str">
        <x:v>AL27</x:v>
      </x:c>
      <x:c r="J1281" s="85" t="b">
        <x:v>1</x:v>
      </x:c>
      <x:c r="K1281" s="85" t="b">
        <x:v>1</x:v>
      </x:c>
      <x:c r="L1281" s="56" t="str">
        <x:f>'Actions'!BE27</x:f>
        <x:v>OK</x:v>
      </x:c>
      <x:c r="M1281" s="44" t="str">
        <x:v>Источник Actions.Block Base Chance FP</x:v>
      </x:c>
    </x:row>
    <x:row r="1282" ht="36" customHeight="1">
      <x:c r="A1282" s="118" t="n">
        <x:v>1277</x:v>
      </x:c>
      <x:c r="B1282" s="35" t="str">
        <x:v>action</x:v>
      </x:c>
      <x:c r="C1282" s="35" t="str">
        <x:v>gorilla_pivot_throw</x:v>
      </x:c>
      <x:c r="D1282" s="35" t="str">
        <x:v>block_reduction_fp</x:v>
      </x:c>
      <x:c r="E1282" s="38" t="str">
        <x:v>int</x:v>
      </x:c>
      <x:c r="F1282" s="56" t="n">
        <x:f>'Actions'!AM27</x:f>
        <x:v>0</x:v>
      </x:c>
      <x:c r="G1282" s="38" t="str"/>
      <x:c r="H1282" s="35" t="str">
        <x:v>Actions</x:v>
      </x:c>
      <x:c r="I1282" s="35" t="str">
        <x:v>AM27</x:v>
      </x:c>
      <x:c r="J1282" s="85" t="b">
        <x:v>1</x:v>
      </x:c>
      <x:c r="K1282" s="85" t="b">
        <x:v>1</x:v>
      </x:c>
      <x:c r="L1282" s="56" t="str">
        <x:f>'Actions'!BE27</x:f>
        <x:v>OK</x:v>
      </x:c>
      <x:c r="M1282" s="44" t="str">
        <x:v>Источник Actions.Block Reduction FP</x:v>
      </x:c>
    </x:row>
    <x:row r="1283" ht="36" customHeight="1">
      <x:c r="A1283" s="118" t="n">
        <x:v>1278</x:v>
      </x:c>
      <x:c r="B1283" s="35" t="str">
        <x:v>action</x:v>
      </x:c>
      <x:c r="C1283" s="35" t="str">
        <x:v>gorilla_pivot_throw</x:v>
      </x:c>
      <x:c r="D1283" s="35" t="str">
        <x:v>dodge_base_chance_fp</x:v>
      </x:c>
      <x:c r="E1283" s="38" t="str">
        <x:v>int</x:v>
      </x:c>
      <x:c r="F1283" s="56" t="n">
        <x:f>'Actions'!AN27</x:f>
        <x:v>0</x:v>
      </x:c>
      <x:c r="G1283" s="38" t="str"/>
      <x:c r="H1283" s="35" t="str">
        <x:v>Actions</x:v>
      </x:c>
      <x:c r="I1283" s="35" t="str">
        <x:v>AN27</x:v>
      </x:c>
      <x:c r="J1283" s="85" t="b">
        <x:v>1</x:v>
      </x:c>
      <x:c r="K1283" s="85" t="b">
        <x:v>1</x:v>
      </x:c>
      <x:c r="L1283" s="56" t="str">
        <x:f>'Actions'!BE27</x:f>
        <x:v>OK</x:v>
      </x:c>
      <x:c r="M1283" s="44" t="str">
        <x:v>Источник Actions.Dodge Base Chance FP</x:v>
      </x:c>
    </x:row>
    <x:row r="1284" ht="36" customHeight="1">
      <x:c r="A1284" s="118" t="n">
        <x:v>1279</x:v>
      </x:c>
      <x:c r="B1284" s="35" t="str">
        <x:v>action</x:v>
      </x:c>
      <x:c r="C1284" s="35" t="str">
        <x:v>gorilla_pivot_throw</x:v>
      </x:c>
      <x:c r="D1284" s="35" t="str">
        <x:v>movement_mode</x:v>
      </x:c>
      <x:c r="E1284" s="38" t="str">
        <x:v>string</x:v>
      </x:c>
      <x:c r="F1284" s="56" t="str">
        <x:f>'Actions'!AO27</x:f>
        <x:v>Swap</x:v>
      </x:c>
      <x:c r="G1284" s="38" t="str"/>
      <x:c r="H1284" s="35" t="str">
        <x:v>Actions</x:v>
      </x:c>
      <x:c r="I1284" s="35" t="str">
        <x:v>AO27</x:v>
      </x:c>
      <x:c r="J1284" s="85" t="b">
        <x:v>1</x:v>
      </x:c>
      <x:c r="K1284" s="85" t="b">
        <x:v>1</x:v>
      </x:c>
      <x:c r="L1284" s="56" t="str">
        <x:f>'Actions'!BE27</x:f>
        <x:v>OK</x:v>
      </x:c>
      <x:c r="M1284" s="44" t="str">
        <x:v>Источник Actions.Movement Mode</x:v>
      </x:c>
    </x:row>
    <x:row r="1285" ht="36" customHeight="1">
      <x:c r="A1285" s="118" t="n">
        <x:v>1280</x:v>
      </x:c>
      <x:c r="B1285" s="35" t="str">
        <x:v>action</x:v>
      </x:c>
      <x:c r="C1285" s="35" t="str">
        <x:v>gorilla_pivot_throw</x:v>
      </x:c>
      <x:c r="D1285" s="35" t="str">
        <x:v>move_distance</x:v>
      </x:c>
      <x:c r="E1285" s="38" t="str">
        <x:v>int</x:v>
      </x:c>
      <x:c r="F1285" s="56" t="n">
        <x:f>'Actions'!AP27</x:f>
        <x:v>900</x:v>
      </x:c>
      <x:c r="G1285" s="38" t="str"/>
      <x:c r="H1285" s="35" t="str">
        <x:v>Actions</x:v>
      </x:c>
      <x:c r="I1285" s="35" t="str">
        <x:v>AP27</x:v>
      </x:c>
      <x:c r="J1285" s="85" t="b">
        <x:v>1</x:v>
      </x:c>
      <x:c r="K1285" s="85" t="b">
        <x:v>1</x:v>
      </x:c>
      <x:c r="L1285" s="56" t="str">
        <x:f>'Actions'!BE27</x:f>
        <x:v>OK</x:v>
      </x:c>
      <x:c r="M1285" s="44" t="str">
        <x:v>Источник Actions.Move Distance</x:v>
      </x:c>
    </x:row>
    <x:row r="1286" ht="36" customHeight="1">
      <x:c r="A1286" s="118" t="n">
        <x:v>1281</x:v>
      </x:c>
      <x:c r="B1286" s="35" t="str">
        <x:v>action</x:v>
      </x:c>
      <x:c r="C1286" s="35" t="str">
        <x:v>gorilla_pivot_throw</x:v>
      </x:c>
      <x:c r="D1286" s="35" t="str">
        <x:v>base_stagger</x:v>
      </x:c>
      <x:c r="E1286" s="38" t="str">
        <x:v>int</x:v>
      </x:c>
      <x:c r="F1286" s="56" t="n">
        <x:f>'Actions'!AQ27</x:f>
        <x:v>170</x:v>
      </x:c>
      <x:c r="G1286" s="38" t="str"/>
      <x:c r="H1286" s="35" t="str">
        <x:v>Actions</x:v>
      </x:c>
      <x:c r="I1286" s="35" t="str">
        <x:v>AQ27</x:v>
      </x:c>
      <x:c r="J1286" s="85" t="b">
        <x:v>1</x:v>
      </x:c>
      <x:c r="K1286" s="85" t="b">
        <x:v>1</x:v>
      </x:c>
      <x:c r="L1286" s="56" t="str">
        <x:f>'Actions'!BE27</x:f>
        <x:v>OK</x:v>
      </x:c>
      <x:c r="M1286" s="44" t="str">
        <x:v>Источник Actions.Base Stagger</x:v>
      </x:c>
    </x:row>
    <x:row r="1287" ht="36" customHeight="1">
      <x:c r="A1287" s="118" t="n">
        <x:v>1282</x:v>
      </x:c>
      <x:c r="B1287" s="35" t="str">
        <x:v>action</x:v>
      </x:c>
      <x:c r="C1287" s="35" t="str">
        <x:v>gorilla_pivot_throw</x:v>
      </x:c>
      <x:c r="D1287" s="35" t="str">
        <x:v>base_stun_ticks</x:v>
      </x:c>
      <x:c r="E1287" s="38" t="str">
        <x:v>int</x:v>
      </x:c>
      <x:c r="F1287" s="56" t="n">
        <x:f>'Actions'!AR27</x:f>
        <x:v>8</x:v>
      </x:c>
      <x:c r="G1287" s="38" t="str"/>
      <x:c r="H1287" s="35" t="str">
        <x:v>Actions</x:v>
      </x:c>
      <x:c r="I1287" s="35" t="str">
        <x:v>AR27</x:v>
      </x:c>
      <x:c r="J1287" s="85" t="b">
        <x:v>1</x:v>
      </x:c>
      <x:c r="K1287" s="85" t="b">
        <x:v>1</x:v>
      </x:c>
      <x:c r="L1287" s="56" t="str">
        <x:f>'Actions'!BE27</x:f>
        <x:v>OK</x:v>
      </x:c>
      <x:c r="M1287" s="44" t="str">
        <x:v>Источник Actions.Base Stun Ticks</x:v>
      </x:c>
    </x:row>
    <x:row r="1288" ht="36" customHeight="1">
      <x:c r="A1288" s="118" t="n">
        <x:v>1283</x:v>
      </x:c>
      <x:c r="B1288" s="35" t="str">
        <x:v>action</x:v>
      </x:c>
      <x:c r="C1288" s="35" t="str">
        <x:v>gorilla_pivot_throw</x:v>
      </x:c>
      <x:c r="D1288" s="35" t="str">
        <x:v>base_knockback</x:v>
      </x:c>
      <x:c r="E1288" s="38" t="str">
        <x:v>int</x:v>
      </x:c>
      <x:c r="F1288" s="56" t="n">
        <x:f>'Actions'!AS27</x:f>
        <x:v>900</x:v>
      </x:c>
      <x:c r="G1288" s="38" t="str"/>
      <x:c r="H1288" s="35" t="str">
        <x:v>Actions</x:v>
      </x:c>
      <x:c r="I1288" s="35" t="str">
        <x:v>AS27</x:v>
      </x:c>
      <x:c r="J1288" s="85" t="b">
        <x:v>1</x:v>
      </x:c>
      <x:c r="K1288" s="85" t="b">
        <x:v>1</x:v>
      </x:c>
      <x:c r="L1288" s="56" t="str">
        <x:f>'Actions'!BE27</x:f>
        <x:v>OK</x:v>
      </x:c>
      <x:c r="M1288" s="44" t="str">
        <x:v>Источник Actions.Base Knockback</x:v>
      </x:c>
    </x:row>
    <x:row r="1289" ht="36" customHeight="1">
      <x:c r="A1289" s="118" t="n">
        <x:v>1284</x:v>
      </x:c>
      <x:c r="B1289" s="35" t="str">
        <x:v>action</x:v>
      </x:c>
      <x:c r="C1289" s="35" t="str">
        <x:v>gorilla_pivot_throw</x:v>
      </x:c>
      <x:c r="D1289" s="35" t="str">
        <x:v>knockback_min</x:v>
      </x:c>
      <x:c r="E1289" s="38" t="str">
        <x:v>int</x:v>
      </x:c>
      <x:c r="F1289" s="56" t="n">
        <x:f>'Actions'!AT27</x:f>
        <x:v>400</x:v>
      </x:c>
      <x:c r="G1289" s="38" t="str"/>
      <x:c r="H1289" s="35" t="str">
        <x:v>Actions</x:v>
      </x:c>
      <x:c r="I1289" s="35" t="str">
        <x:v>AT27</x:v>
      </x:c>
      <x:c r="J1289" s="85" t="b">
        <x:v>1</x:v>
      </x:c>
      <x:c r="K1289" s="85" t="b">
        <x:v>1</x:v>
      </x:c>
      <x:c r="L1289" s="56" t="str">
        <x:f>'Actions'!BE27</x:f>
        <x:v>OK</x:v>
      </x:c>
      <x:c r="M1289" s="44" t="str">
        <x:v>Источник Actions.Knockback Min</x:v>
      </x:c>
    </x:row>
    <x:row r="1290" ht="36" customHeight="1">
      <x:c r="A1290" s="118" t="n">
        <x:v>1285</x:v>
      </x:c>
      <x:c r="B1290" s="35" t="str">
        <x:v>action</x:v>
      </x:c>
      <x:c r="C1290" s="35" t="str">
        <x:v>gorilla_pivot_throw</x:v>
      </x:c>
      <x:c r="D1290" s="35" t="str">
        <x:v>knockback_max</x:v>
      </x:c>
      <x:c r="E1290" s="38" t="str">
        <x:v>int</x:v>
      </x:c>
      <x:c r="F1290" s="56" t="n">
        <x:f>'Actions'!AU27</x:f>
        <x:v>1300</x:v>
      </x:c>
      <x:c r="G1290" s="38" t="str"/>
      <x:c r="H1290" s="35" t="str">
        <x:v>Actions</x:v>
      </x:c>
      <x:c r="I1290" s="35" t="str">
        <x:v>AU27</x:v>
      </x:c>
      <x:c r="J1290" s="85" t="b">
        <x:v>1</x:v>
      </x:c>
      <x:c r="K1290" s="85" t="b">
        <x:v>1</x:v>
      </x:c>
      <x:c r="L1290" s="56" t="str">
        <x:f>'Actions'!BE27</x:f>
        <x:v>OK</x:v>
      </x:c>
      <x:c r="M1290" s="44" t="str">
        <x:v>Источник Actions.Knockback Max</x:v>
      </x:c>
    </x:row>
    <x:row r="1291" ht="36" customHeight="1">
      <x:c r="A1291" s="118" t="n">
        <x:v>1286</x:v>
      </x:c>
      <x:c r="B1291" s="35" t="str">
        <x:v>action</x:v>
      </x:c>
      <x:c r="C1291" s="35" t="str">
        <x:v>gorilla_pivot_throw</x:v>
      </x:c>
      <x:c r="D1291" s="35" t="str">
        <x:v>wall_damage_per_unit_fp</x:v>
      </x:c>
      <x:c r="E1291" s="38" t="str">
        <x:v>int</x:v>
      </x:c>
      <x:c r="F1291" s="56" t="n">
        <x:f>'Actions'!AV27</x:f>
        <x:v>0</x:v>
      </x:c>
      <x:c r="G1291" s="38" t="str"/>
      <x:c r="H1291" s="35" t="str">
        <x:v>Actions</x:v>
      </x:c>
      <x:c r="I1291" s="35" t="str">
        <x:v>AV27</x:v>
      </x:c>
      <x:c r="J1291" s="85" t="b">
        <x:v>1</x:v>
      </x:c>
      <x:c r="K1291" s="85" t="b">
        <x:v>1</x:v>
      </x:c>
      <x:c r="L1291" s="56" t="str">
        <x:f>'Actions'!BE27</x:f>
        <x:v>OK</x:v>
      </x:c>
      <x:c r="M1291" s="44" t="str">
        <x:v>Источник Actions.Wall Damage / Unit FP</x:v>
      </x:c>
    </x:row>
    <x:row r="1292" ht="36" customHeight="1">
      <x:c r="A1292" s="118" t="n">
        <x:v>1287</x:v>
      </x:c>
      <x:c r="B1292" s="35" t="str">
        <x:v>action</x:v>
      </x:c>
      <x:c r="C1292" s="35" t="str">
        <x:v>gorilla_pivot_throw</x:v>
      </x:c>
      <x:c r="D1292" s="35" t="str">
        <x:v>wall_damage_min</x:v>
      </x:c>
      <x:c r="E1292" s="38" t="str">
        <x:v>int</x:v>
      </x:c>
      <x:c r="F1292" s="56" t="n">
        <x:f>'Actions'!AW27</x:f>
        <x:v>0</x:v>
      </x:c>
      <x:c r="G1292" s="38" t="str"/>
      <x:c r="H1292" s="35" t="str">
        <x:v>Actions</x:v>
      </x:c>
      <x:c r="I1292" s="35" t="str">
        <x:v>AW27</x:v>
      </x:c>
      <x:c r="J1292" s="85" t="b">
        <x:v>1</x:v>
      </x:c>
      <x:c r="K1292" s="85" t="b">
        <x:v>1</x:v>
      </x:c>
      <x:c r="L1292" s="56" t="str">
        <x:f>'Actions'!BE27</x:f>
        <x:v>OK</x:v>
      </x:c>
      <x:c r="M1292" s="44" t="str">
        <x:v>Источник Actions.Wall Damage Min</x:v>
      </x:c>
    </x:row>
    <x:row r="1293" ht="36" customHeight="1">
      <x:c r="A1293" s="118" t="n">
        <x:v>1288</x:v>
      </x:c>
      <x:c r="B1293" s="35" t="str">
        <x:v>action</x:v>
      </x:c>
      <x:c r="C1293" s="35" t="str">
        <x:v>gorilla_pivot_throw</x:v>
      </x:c>
      <x:c r="D1293" s="35" t="str">
        <x:v>wall_damage_max</x:v>
      </x:c>
      <x:c r="E1293" s="38" t="str">
        <x:v>int</x:v>
      </x:c>
      <x:c r="F1293" s="56" t="n">
        <x:f>'Actions'!AX27</x:f>
        <x:v>0</x:v>
      </x:c>
      <x:c r="G1293" s="38" t="str"/>
      <x:c r="H1293" s="35" t="str">
        <x:v>Actions</x:v>
      </x:c>
      <x:c r="I1293" s="35" t="str">
        <x:v>AX27</x:v>
      </x:c>
      <x:c r="J1293" s="85" t="b">
        <x:v>1</x:v>
      </x:c>
      <x:c r="K1293" s="85" t="b">
        <x:v>1</x:v>
      </x:c>
      <x:c r="L1293" s="56" t="str">
        <x:f>'Actions'!BE27</x:f>
        <x:v>OK</x:v>
      </x:c>
      <x:c r="M1293" s="44" t="str">
        <x:v>Источник Actions.Wall Damage Max</x:v>
      </x:c>
    </x:row>
    <x:row r="1294" ht="36" customHeight="1">
      <x:c r="A1294" s="118" t="n">
        <x:v>1289</x:v>
      </x:c>
      <x:c r="B1294" s="35" t="str">
        <x:v>action</x:v>
      </x:c>
      <x:c r="C1294" s="35" t="str">
        <x:v>gorilla_pivot_throw</x:v>
      </x:c>
      <x:c r="D1294" s="35" t="str">
        <x:v>max_consecutive_uses</x:v>
      </x:c>
      <x:c r="E1294" s="38" t="str">
        <x:v>int</x:v>
      </x:c>
      <x:c r="F1294" s="56" t="n">
        <x:f>'Actions'!AY27</x:f>
        <x:v>1</x:v>
      </x:c>
      <x:c r="G1294" s="38" t="str"/>
      <x:c r="H1294" s="35" t="str">
        <x:v>Actions</x:v>
      </x:c>
      <x:c r="I1294" s="35" t="str">
        <x:v>AY27</x:v>
      </x:c>
      <x:c r="J1294" s="85" t="b">
        <x:v>1</x:v>
      </x:c>
      <x:c r="K1294" s="85" t="b">
        <x:v>1</x:v>
      </x:c>
      <x:c r="L1294" s="56" t="str">
        <x:f>'Actions'!BE27</x:f>
        <x:v>OK</x:v>
      </x:c>
      <x:c r="M1294" s="44" t="str">
        <x:v>Источник Actions.Max Consecutive Uses</x:v>
      </x:c>
    </x:row>
    <x:row r="1295" ht="36" customHeight="1">
      <x:c r="A1295" s="118" t="n">
        <x:v>1290</x:v>
      </x:c>
      <x:c r="B1295" s="35" t="str">
        <x:v>action</x:v>
      </x:c>
      <x:c r="C1295" s="35" t="str">
        <x:v>gorilla_pivot_throw</x:v>
      </x:c>
      <x:c r="D1295" s="35" t="str">
        <x:v>opportunity_cap_fp</x:v>
      </x:c>
      <x:c r="E1295" s="38" t="str">
        <x:v>int</x:v>
      </x:c>
      <x:c r="F1295" s="56" t="n">
        <x:f>'Actions'!AZ27</x:f>
        <x:v>2500</x:v>
      </x:c>
      <x:c r="G1295" s="38" t="str"/>
      <x:c r="H1295" s="35" t="str">
        <x:v>Actions</x:v>
      </x:c>
      <x:c r="I1295" s="35" t="str">
        <x:v>AZ27</x:v>
      </x:c>
      <x:c r="J1295" s="85" t="b">
        <x:v>1</x:v>
      </x:c>
      <x:c r="K1295" s="85" t="b">
        <x:v>1</x:v>
      </x:c>
      <x:c r="L1295" s="56" t="str">
        <x:f>'Actions'!BE27</x:f>
        <x:v>OK</x:v>
      </x:c>
      <x:c r="M1295" s="44" t="str">
        <x:v>Источник Actions.Opportunity Cap FP</x:v>
      </x:c>
    </x:row>
    <x:row r="1296" ht="36" customHeight="1">
      <x:c r="A1296" s="118" t="n">
        <x:v>1291</x:v>
      </x:c>
      <x:c r="B1296" s="35" t="str">
        <x:v>action</x:v>
      </x:c>
      <x:c r="C1296" s="35" t="str">
        <x:v>gorilla_pivot_throw</x:v>
      </x:c>
      <x:c r="D1296" s="35" t="str">
        <x:v>hard_opportunity_misses</x:v>
      </x:c>
      <x:c r="E1296" s="38" t="str">
        <x:v>int</x:v>
      </x:c>
      <x:c r="F1296" s="56" t="n">
        <x:f>'Actions'!BA27</x:f>
        <x:v>4</x:v>
      </x:c>
      <x:c r="G1296" s="38" t="str"/>
      <x:c r="H1296" s="35" t="str">
        <x:v>Actions</x:v>
      </x:c>
      <x:c r="I1296" s="35" t="str">
        <x:v>BA27</x:v>
      </x:c>
      <x:c r="J1296" s="85" t="b">
        <x:v>1</x:v>
      </x:c>
      <x:c r="K1296" s="85" t="b">
        <x:v>1</x:v>
      </x:c>
      <x:c r="L1296" s="56" t="str">
        <x:f>'Actions'!BE27</x:f>
        <x:v>OK</x:v>
      </x:c>
      <x:c r="M1296" s="44" t="str">
        <x:v>Источник Actions.Hard Opportunity Misses</x:v>
      </x:c>
    </x:row>
    <x:row r="1297" ht="36" customHeight="1">
      <x:c r="A1297" s="118" t="n">
        <x:v>1292</x:v>
      </x:c>
      <x:c r="B1297" s="35" t="str">
        <x:v>action</x:v>
      </x:c>
      <x:c r="C1297" s="35" t="str">
        <x:v>gorilla_overhead_pound</x:v>
      </x:c>
      <x:c r="D1297" s="35" t="str">
        <x:v>action_id</x:v>
      </x:c>
      <x:c r="E1297" s="38" t="str">
        <x:v>string</x:v>
      </x:c>
      <x:c r="F1297" s="56" t="str">
        <x:f>'Actions'!A28</x:f>
        <x:v>gorilla_overhead_pound</x:v>
      </x:c>
      <x:c r="G1297" s="38" t="str"/>
      <x:c r="H1297" s="35" t="str">
        <x:v>Actions</x:v>
      </x:c>
      <x:c r="I1297" s="35" t="str">
        <x:v>A28</x:v>
      </x:c>
      <x:c r="J1297" s="85" t="b">
        <x:v>1</x:v>
      </x:c>
      <x:c r="K1297" s="85" t="b">
        <x:v>1</x:v>
      </x:c>
      <x:c r="L1297" s="56" t="str">
        <x:f>'Actions'!BE28</x:f>
        <x:v>OK</x:v>
      </x:c>
      <x:c r="M1297" s="44" t="str">
        <x:v>Источник Actions.Action ID</x:v>
      </x:c>
    </x:row>
    <x:row r="1298" ht="36" customHeight="1">
      <x:c r="A1298" s="118" t="n">
        <x:v>1293</x:v>
      </x:c>
      <x:c r="B1298" s="35" t="str">
        <x:v>action</x:v>
      </x:c>
      <x:c r="C1298" s="35" t="str">
        <x:v>gorilla_overhead_pound</x:v>
      </x:c>
      <x:c r="D1298" s="35" t="str">
        <x:v>animal_id</x:v>
      </x:c>
      <x:c r="E1298" s="38" t="str">
        <x:v>string</x:v>
      </x:c>
      <x:c r="F1298" s="56" t="str">
        <x:f>'Actions'!B28</x:f>
        <x:v>gorilla</x:v>
      </x:c>
      <x:c r="G1298" s="38" t="str"/>
      <x:c r="H1298" s="35" t="str">
        <x:v>Actions</x:v>
      </x:c>
      <x:c r="I1298" s="35" t="str">
        <x:v>B28</x:v>
      </x:c>
      <x:c r="J1298" s="85" t="b">
        <x:v>1</x:v>
      </x:c>
      <x:c r="K1298" s="85" t="b">
        <x:v>1</x:v>
      </x:c>
      <x:c r="L1298" s="56" t="str">
        <x:f>'Actions'!BE28</x:f>
        <x:v>OK</x:v>
      </x:c>
      <x:c r="M1298" s="44" t="str">
        <x:v>Источник Actions.Animal ID</x:v>
      </x:c>
    </x:row>
    <x:row r="1299" ht="36" customHeight="1">
      <x:c r="A1299" s="118" t="n">
        <x:v>1294</x:v>
      </x:c>
      <x:c r="B1299" s="35" t="str">
        <x:v>action</x:v>
      </x:c>
      <x:c r="C1299" s="35" t="str">
        <x:v>gorilla_overhead_pound</x:v>
      </x:c>
      <x:c r="D1299" s="35" t="str">
        <x:v>slot_type</x:v>
      </x:c>
      <x:c r="E1299" s="38" t="str">
        <x:v>string</x:v>
      </x:c>
      <x:c r="F1299" s="56" t="str">
        <x:f>'Actions'!D28</x:f>
        <x:v>Special</x:v>
      </x:c>
      <x:c r="G1299" s="38" t="str"/>
      <x:c r="H1299" s="35" t="str">
        <x:v>Actions</x:v>
      </x:c>
      <x:c r="I1299" s="35" t="str">
        <x:v>D28</x:v>
      </x:c>
      <x:c r="J1299" s="85" t="b">
        <x:v>1</x:v>
      </x:c>
      <x:c r="K1299" s="85" t="b">
        <x:v>1</x:v>
      </x:c>
      <x:c r="L1299" s="56" t="str">
        <x:f>'Actions'!BE28</x:f>
        <x:v>OK</x:v>
      </x:c>
      <x:c r="M1299" s="44" t="str">
        <x:v>Источник Actions.Slot Type</x:v>
      </x:c>
    </x:row>
    <x:row r="1300" ht="36" customHeight="1">
      <x:c r="A1300" s="118" t="n">
        <x:v>1295</x:v>
      </x:c>
      <x:c r="B1300" s="35" t="str">
        <x:v>action</x:v>
      </x:c>
      <x:c r="C1300" s="35" t="str">
        <x:v>gorilla_overhead_pound</x:v>
      </x:c>
      <x:c r="D1300" s="35" t="str">
        <x:v>category</x:v>
      </x:c>
      <x:c r="E1300" s="38" t="str">
        <x:v>string</x:v>
      </x:c>
      <x:c r="F1300" s="56" t="str">
        <x:f>'Actions'!E28</x:f>
        <x:v>HeavyGround</x:v>
      </x:c>
      <x:c r="G1300" s="38" t="str"/>
      <x:c r="H1300" s="35" t="str">
        <x:v>Actions</x:v>
      </x:c>
      <x:c r="I1300" s="35" t="str">
        <x:v>E28</x:v>
      </x:c>
      <x:c r="J1300" s="85" t="b">
        <x:v>1</x:v>
      </x:c>
      <x:c r="K1300" s="85" t="b">
        <x:v>1</x:v>
      </x:c>
      <x:c r="L1300" s="56" t="str">
        <x:f>'Actions'!BE28</x:f>
        <x:v>OK</x:v>
      </x:c>
      <x:c r="M1300" s="44" t="str">
        <x:v>Источник Actions.Category</x:v>
      </x:c>
    </x:row>
    <x:row r="1301" ht="36" customHeight="1">
      <x:c r="A1301" s="118" t="n">
        <x:v>1296</x:v>
      </x:c>
      <x:c r="B1301" s="35" t="str">
        <x:v>action</x:v>
      </x:c>
      <x:c r="C1301" s="35" t="str">
        <x:v>gorilla_overhead_pound</x:v>
      </x:c>
      <x:c r="D1301" s="35" t="str">
        <x:v>tags</x:v>
      </x:c>
      <x:c r="E1301" s="38" t="str">
        <x:v>string</x:v>
      </x:c>
      <x:c r="F1301" s="56" t="str">
        <x:f>'Actions'!F28</x:f>
        <x:v>special|heavy|ground_hit|stagger|punish</x:v>
      </x:c>
      <x:c r="G1301" s="38" t="str"/>
      <x:c r="H1301" s="35" t="str">
        <x:v>Actions</x:v>
      </x:c>
      <x:c r="I1301" s="35" t="str">
        <x:v>F28</x:v>
      </x:c>
      <x:c r="J1301" s="85" t="b">
        <x:v>1</x:v>
      </x:c>
      <x:c r="K1301" s="85" t="b">
        <x:v>1</x:v>
      </x:c>
      <x:c r="L1301" s="56" t="str">
        <x:f>'Actions'!BE28</x:f>
        <x:v>OK</x:v>
      </x:c>
      <x:c r="M1301" s="44" t="str">
        <x:v>Источник Actions.Tags</x:v>
      </x:c>
    </x:row>
    <x:row r="1302" ht="36" customHeight="1">
      <x:c r="A1302" s="118" t="n">
        <x:v>1297</x:v>
      </x:c>
      <x:c r="B1302" s="35" t="str">
        <x:v>action</x:v>
      </x:c>
      <x:c r="C1302" s="35" t="str">
        <x:v>gorilla_overhead_pound</x:v>
      </x:c>
      <x:c r="D1302" s="35" t="str">
        <x:v>base_weight</x:v>
      </x:c>
      <x:c r="E1302" s="38" t="str">
        <x:v>int</x:v>
      </x:c>
      <x:c r="F1302" s="56" t="n">
        <x:f>'Actions'!G28</x:f>
        <x:v>440</x:v>
      </x:c>
      <x:c r="G1302" s="38" t="str"/>
      <x:c r="H1302" s="35" t="str">
        <x:v>Actions</x:v>
      </x:c>
      <x:c r="I1302" s="35" t="str">
        <x:v>G28</x:v>
      </x:c>
      <x:c r="J1302" s="85" t="b">
        <x:v>1</x:v>
      </x:c>
      <x:c r="K1302" s="85" t="b">
        <x:v>1</x:v>
      </x:c>
      <x:c r="L1302" s="56" t="str">
        <x:f>'Actions'!BE28</x:f>
        <x:v>OK</x:v>
      </x:c>
      <x:c r="M1302" s="44" t="str">
        <x:v>Источник Actions.Base Weight</x:v>
      </x:c>
    </x:row>
    <x:row r="1303" ht="36" customHeight="1">
      <x:c r="A1303" s="118" t="n">
        <x:v>1298</x:v>
      </x:c>
      <x:c r="B1303" s="35" t="str">
        <x:v>action</x:v>
      </x:c>
      <x:c r="C1303" s="35" t="str">
        <x:v>gorilla_overhead_pound</x:v>
      </x:c>
      <x:c r="D1303" s="35" t="str">
        <x:v>preferred_range_min</x:v>
      </x:c>
      <x:c r="E1303" s="38" t="str">
        <x:v>int</x:v>
      </x:c>
      <x:c r="F1303" s="56" t="n">
        <x:f>'Actions'!H28</x:f>
        <x:v>100</x:v>
      </x:c>
      <x:c r="G1303" s="38" t="str"/>
      <x:c r="H1303" s="35" t="str">
        <x:v>Actions</x:v>
      </x:c>
      <x:c r="I1303" s="35" t="str">
        <x:v>H28</x:v>
      </x:c>
      <x:c r="J1303" s="85" t="b">
        <x:v>1</x:v>
      </x:c>
      <x:c r="K1303" s="85" t="b">
        <x:v>1</x:v>
      </x:c>
      <x:c r="L1303" s="56" t="str">
        <x:f>'Actions'!BE28</x:f>
        <x:v>OK</x:v>
      </x:c>
      <x:c r="M1303" s="44" t="str">
        <x:v>Источник Actions.Preferred Range Min</x:v>
      </x:c>
    </x:row>
    <x:row r="1304" ht="36" customHeight="1">
      <x:c r="A1304" s="118" t="n">
        <x:v>1299</x:v>
      </x:c>
      <x:c r="B1304" s="35" t="str">
        <x:v>action</x:v>
      </x:c>
      <x:c r="C1304" s="35" t="str">
        <x:v>gorilla_overhead_pound</x:v>
      </x:c>
      <x:c r="D1304" s="35" t="str">
        <x:v>preferred_range_max</x:v>
      </x:c>
      <x:c r="E1304" s="38" t="str">
        <x:v>int</x:v>
      </x:c>
      <x:c r="F1304" s="56" t="n">
        <x:f>'Actions'!I28</x:f>
        <x:v>950</x:v>
      </x:c>
      <x:c r="G1304" s="38" t="str"/>
      <x:c r="H1304" s="35" t="str">
        <x:v>Actions</x:v>
      </x:c>
      <x:c r="I1304" s="35" t="str">
        <x:v>I28</x:v>
      </x:c>
      <x:c r="J1304" s="85" t="b">
        <x:v>1</x:v>
      </x:c>
      <x:c r="K1304" s="85" t="b">
        <x:v>1</x:v>
      </x:c>
      <x:c r="L1304" s="56" t="str">
        <x:f>'Actions'!BE28</x:f>
        <x:v>OK</x:v>
      </x:c>
      <x:c r="M1304" s="44" t="str">
        <x:v>Источник Actions.Preferred Range Max</x:v>
      </x:c>
    </x:row>
    <x:row r="1305" ht="36" customHeight="1">
      <x:c r="A1305" s="118" t="n">
        <x:v>1300</x:v>
      </x:c>
      <x:c r="B1305" s="35" t="str">
        <x:v>action</x:v>
      </x:c>
      <x:c r="C1305" s="35" t="str">
        <x:v>gorilla_overhead_pound</x:v>
      </x:c>
      <x:c r="D1305" s="35" t="str">
        <x:v>hit_range_min</x:v>
      </x:c>
      <x:c r="E1305" s="38" t="str">
        <x:v>int</x:v>
      </x:c>
      <x:c r="F1305" s="56" t="n">
        <x:f>'Actions'!J28</x:f>
        <x:v>0</x:v>
      </x:c>
      <x:c r="G1305" s="38" t="str"/>
      <x:c r="H1305" s="35" t="str">
        <x:v>Actions</x:v>
      </x:c>
      <x:c r="I1305" s="35" t="str">
        <x:v>J28</x:v>
      </x:c>
      <x:c r="J1305" s="85" t="b">
        <x:v>1</x:v>
      </x:c>
      <x:c r="K1305" s="85" t="b">
        <x:v>1</x:v>
      </x:c>
      <x:c r="L1305" s="56" t="str">
        <x:f>'Actions'!BE28</x:f>
        <x:v>OK</x:v>
      </x:c>
      <x:c r="M1305" s="44" t="str">
        <x:v>Источник Actions.Hit Range Min</x:v>
      </x:c>
    </x:row>
    <x:row r="1306" ht="36" customHeight="1">
      <x:c r="A1306" s="118" t="n">
        <x:v>1301</x:v>
      </x:c>
      <x:c r="B1306" s="35" t="str">
        <x:v>action</x:v>
      </x:c>
      <x:c r="C1306" s="35" t="str">
        <x:v>gorilla_overhead_pound</x:v>
      </x:c>
      <x:c r="D1306" s="35" t="str">
        <x:v>hit_range_max</x:v>
      </x:c>
      <x:c r="E1306" s="38" t="str">
        <x:v>int</x:v>
      </x:c>
      <x:c r="F1306" s="56" t="n">
        <x:f>'Actions'!K28</x:f>
        <x:v>1050</x:v>
      </x:c>
      <x:c r="G1306" s="38" t="str"/>
      <x:c r="H1306" s="35" t="str">
        <x:v>Actions</x:v>
      </x:c>
      <x:c r="I1306" s="35" t="str">
        <x:v>K28</x:v>
      </x:c>
      <x:c r="J1306" s="85" t="b">
        <x:v>1</x:v>
      </x:c>
      <x:c r="K1306" s="85" t="b">
        <x:v>1</x:v>
      </x:c>
      <x:c r="L1306" s="56" t="str">
        <x:f>'Actions'!BE28</x:f>
        <x:v>OK</x:v>
      </x:c>
      <x:c r="M1306" s="44" t="str">
        <x:v>Источник Actions.Hit Range Max</x:v>
      </x:c>
    </x:row>
    <x:row r="1307" ht="36" customHeight="1">
      <x:c r="A1307" s="118" t="n">
        <x:v>1302</x:v>
      </x:c>
      <x:c r="B1307" s="35" t="str">
        <x:v>action</x:v>
      </x:c>
      <x:c r="C1307" s="35" t="str">
        <x:v>gorilla_overhead_pound</x:v>
      </x:c>
      <x:c r="D1307" s="35" t="str">
        <x:v>energy_cost</x:v>
      </x:c>
      <x:c r="E1307" s="38" t="str">
        <x:v>int</x:v>
      </x:c>
      <x:c r="F1307" s="56" t="n">
        <x:f>'Actions'!L28</x:f>
        <x:v>260</x:v>
      </x:c>
      <x:c r="G1307" s="38" t="str"/>
      <x:c r="H1307" s="35" t="str">
        <x:v>Actions</x:v>
      </x:c>
      <x:c r="I1307" s="35" t="str">
        <x:v>L28</x:v>
      </x:c>
      <x:c r="J1307" s="85" t="b">
        <x:v>1</x:v>
      </x:c>
      <x:c r="K1307" s="85" t="b">
        <x:v>1</x:v>
      </x:c>
      <x:c r="L1307" s="56" t="str">
        <x:f>'Actions'!BE28</x:f>
        <x:v>OK</x:v>
      </x:c>
      <x:c r="M1307" s="44" t="str">
        <x:v>Источник Actions.Energy Cost</x:v>
      </x:c>
    </x:row>
    <x:row r="1308" ht="36" customHeight="1">
      <x:c r="A1308" s="118" t="n">
        <x:v>1303</x:v>
      </x:c>
      <x:c r="B1308" s="35" t="str">
        <x:v>action</x:v>
      </x:c>
      <x:c r="C1308" s="35" t="str">
        <x:v>gorilla_overhead_pound</x:v>
      </x:c>
      <x:c r="D1308" s="35" t="str">
        <x:v>resource_cost</x:v>
      </x:c>
      <x:c r="E1308" s="38" t="str">
        <x:v>int</x:v>
      </x:c>
      <x:c r="F1308" s="56" t="n">
        <x:f>'Actions'!M28</x:f>
        <x:v>350</x:v>
      </x:c>
      <x:c r="G1308" s="38" t="str"/>
      <x:c r="H1308" s="35" t="str">
        <x:v>Actions</x:v>
      </x:c>
      <x:c r="I1308" s="35" t="str">
        <x:v>M28</x:v>
      </x:c>
      <x:c r="J1308" s="85" t="b">
        <x:v>1</x:v>
      </x:c>
      <x:c r="K1308" s="85" t="b">
        <x:v>1</x:v>
      </x:c>
      <x:c r="L1308" s="56" t="str">
        <x:f>'Actions'!BE28</x:f>
        <x:v>OK</x:v>
      </x:c>
      <x:c r="M1308" s="44" t="str">
        <x:v>Источник Actions.Resource Cost</x:v>
      </x:c>
    </x:row>
    <x:row r="1309" ht="36" customHeight="1">
      <x:c r="A1309" s="118" t="n">
        <x:v>1304</x:v>
      </x:c>
      <x:c r="B1309" s="35" t="str">
        <x:v>action</x:v>
      </x:c>
      <x:c r="C1309" s="35" t="str">
        <x:v>gorilla_overhead_pound</x:v>
      </x:c>
      <x:c r="D1309" s="35" t="str">
        <x:v>base_damage</x:v>
      </x:c>
      <x:c r="E1309" s="38" t="str">
        <x:v>int</x:v>
      </x:c>
      <x:c r="F1309" s="56" t="n">
        <x:f>'Actions'!N28</x:f>
        <x:v>85</x:v>
      </x:c>
      <x:c r="G1309" s="38" t="str"/>
      <x:c r="H1309" s="35" t="str">
        <x:v>Actions</x:v>
      </x:c>
      <x:c r="I1309" s="35" t="str">
        <x:v>N28</x:v>
      </x:c>
      <x:c r="J1309" s="85" t="b">
        <x:v>1</x:v>
      </x:c>
      <x:c r="K1309" s="85" t="b">
        <x:v>1</x:v>
      </x:c>
      <x:c r="L1309" s="56" t="str">
        <x:f>'Actions'!BE28</x:f>
        <x:v>OK</x:v>
      </x:c>
      <x:c r="M1309" s="44" t="str">
        <x:v>Источник Actions.Base Damage / hit</x:v>
      </x:c>
    </x:row>
    <x:row r="1310" ht="36" customHeight="1">
      <x:c r="A1310" s="118" t="n">
        <x:v>1305</x:v>
      </x:c>
      <x:c r="B1310" s="35" t="str">
        <x:v>action</x:v>
      </x:c>
      <x:c r="C1310" s="35" t="str">
        <x:v>gorilla_overhead_pound</x:v>
      </x:c>
      <x:c r="D1310" s="35" t="str">
        <x:v>power_ratio_fp</x:v>
      </x:c>
      <x:c r="E1310" s="38" t="str">
        <x:v>int</x:v>
      </x:c>
      <x:c r="F1310" s="56" t="n">
        <x:f>'Actions'!O28</x:f>
        <x:v>1050</x:v>
      </x:c>
      <x:c r="G1310" s="38" t="str"/>
      <x:c r="H1310" s="35" t="str">
        <x:v>Actions</x:v>
      </x:c>
      <x:c r="I1310" s="35" t="str">
        <x:v>O28</x:v>
      </x:c>
      <x:c r="J1310" s="85" t="b">
        <x:v>1</x:v>
      </x:c>
      <x:c r="K1310" s="85" t="b">
        <x:v>1</x:v>
      </x:c>
      <x:c r="L1310" s="56" t="str">
        <x:f>'Actions'!BE28</x:f>
        <x:v>OK</x:v>
      </x:c>
      <x:c r="M1310" s="44" t="str">
        <x:v>Источник Actions.Power Ratio FP</x:v>
      </x:c>
    </x:row>
    <x:row r="1311" ht="36" customHeight="1">
      <x:c r="A1311" s="118" t="n">
        <x:v>1306</x:v>
      </x:c>
      <x:c r="B1311" s="35" t="str">
        <x:v>action</x:v>
      </x:c>
      <x:c r="C1311" s="35" t="str">
        <x:v>gorilla_overhead_pound</x:v>
      </x:c>
      <x:c r="D1311" s="35" t="str">
        <x:v>min_damage</x:v>
      </x:c>
      <x:c r="E1311" s="38" t="str">
        <x:v>int</x:v>
      </x:c>
      <x:c r="F1311" s="56" t="n">
        <x:f>'Actions'!P28</x:f>
        <x:v>30</x:v>
      </x:c>
      <x:c r="G1311" s="38" t="str"/>
      <x:c r="H1311" s="35" t="str">
        <x:v>Actions</x:v>
      </x:c>
      <x:c r="I1311" s="35" t="str">
        <x:v>P28</x:v>
      </x:c>
      <x:c r="J1311" s="85" t="b">
        <x:v>1</x:v>
      </x:c>
      <x:c r="K1311" s="85" t="b">
        <x:v>1</x:v>
      </x:c>
      <x:c r="L1311" s="56" t="str">
        <x:f>'Actions'!BE28</x:f>
        <x:v>OK</x:v>
      </x:c>
      <x:c r="M1311" s="44" t="str">
        <x:v>Источник Actions.Min Damage</x:v>
      </x:c>
    </x:row>
    <x:row r="1312" ht="36" customHeight="1">
      <x:c r="A1312" s="118" t="n">
        <x:v>1307</x:v>
      </x:c>
      <x:c r="B1312" s="35" t="str">
        <x:v>action</x:v>
      </x:c>
      <x:c r="C1312" s="35" t="str">
        <x:v>gorilla_overhead_pound</x:v>
      </x:c>
      <x:c r="D1312" s="35" t="str">
        <x:v>chip_min</x:v>
      </x:c>
      <x:c r="E1312" s="38" t="str">
        <x:v>int</x:v>
      </x:c>
      <x:c r="F1312" s="56" t="n">
        <x:f>'Actions'!Q28</x:f>
        <x:v>9</x:v>
      </x:c>
      <x:c r="G1312" s="38" t="str"/>
      <x:c r="H1312" s="35" t="str">
        <x:v>Actions</x:v>
      </x:c>
      <x:c r="I1312" s="35" t="str">
        <x:v>Q28</x:v>
      </x:c>
      <x:c r="J1312" s="85" t="b">
        <x:v>1</x:v>
      </x:c>
      <x:c r="K1312" s="85" t="b">
        <x:v>1</x:v>
      </x:c>
      <x:c r="L1312" s="56" t="str">
        <x:f>'Actions'!BE28</x:f>
        <x:v>OK</x:v>
      </x:c>
      <x:c r="M1312" s="44" t="str">
        <x:v>Источник Actions.Chip Min</x:v>
      </x:c>
    </x:row>
    <x:row r="1313" ht="36" customHeight="1">
      <x:c r="A1313" s="118" t="n">
        <x:v>1308</x:v>
      </x:c>
      <x:c r="B1313" s="35" t="str">
        <x:v>action</x:v>
      </x:c>
      <x:c r="C1313" s="35" t="str">
        <x:v>gorilla_overhead_pound</x:v>
      </x:c>
      <x:c r="D1313" s="35" t="str">
        <x:v>startup_base_ticks</x:v>
      </x:c>
      <x:c r="E1313" s="38" t="str">
        <x:v>int</x:v>
      </x:c>
      <x:c r="F1313" s="56" t="n">
        <x:f>'Actions'!R28</x:f>
        <x:v>12</x:v>
      </x:c>
      <x:c r="G1313" s="38" t="str"/>
      <x:c r="H1313" s="35" t="str">
        <x:v>Actions</x:v>
      </x:c>
      <x:c r="I1313" s="35" t="str">
        <x:v>R28</x:v>
      </x:c>
      <x:c r="J1313" s="85" t="b">
        <x:v>1</x:v>
      </x:c>
      <x:c r="K1313" s="85" t="b">
        <x:v>1</x:v>
      </x:c>
      <x:c r="L1313" s="56" t="str">
        <x:f>'Actions'!BE28</x:f>
        <x:v>OK</x:v>
      </x:c>
      <x:c r="M1313" s="44" t="str">
        <x:v>Источник Actions.Startup Base Ticks</x:v>
      </x:c>
    </x:row>
    <x:row r="1314" ht="36" customHeight="1">
      <x:c r="A1314" s="118" t="n">
        <x:v>1309</x:v>
      </x:c>
      <x:c r="B1314" s="35" t="str">
        <x:v>action</x:v>
      </x:c>
      <x:c r="C1314" s="35" t="str">
        <x:v>gorilla_overhead_pound</x:v>
      </x:c>
      <x:c r="D1314" s="35" t="str">
        <x:v>startup_min_ticks</x:v>
      </x:c>
      <x:c r="E1314" s="38" t="str">
        <x:v>int</x:v>
      </x:c>
      <x:c r="F1314" s="56" t="n">
        <x:f>'Actions'!S28</x:f>
        <x:v>8</x:v>
      </x:c>
      <x:c r="G1314" s="38" t="str"/>
      <x:c r="H1314" s="35" t="str">
        <x:v>Actions</x:v>
      </x:c>
      <x:c r="I1314" s="35" t="str">
        <x:v>S28</x:v>
      </x:c>
      <x:c r="J1314" s="85" t="b">
        <x:v>1</x:v>
      </x:c>
      <x:c r="K1314" s="85" t="b">
        <x:v>1</x:v>
      </x:c>
      <x:c r="L1314" s="56" t="str">
        <x:f>'Actions'!BE28</x:f>
        <x:v>OK</x:v>
      </x:c>
      <x:c r="M1314" s="44" t="str">
        <x:v>Источник Actions.Startup Min Ticks</x:v>
      </x:c>
    </x:row>
    <x:row r="1315" ht="36" customHeight="1">
      <x:c r="A1315" s="118" t="n">
        <x:v>1310</x:v>
      </x:c>
      <x:c r="B1315" s="35" t="str">
        <x:v>action</x:v>
      </x:c>
      <x:c r="C1315" s="35" t="str">
        <x:v>gorilla_overhead_pound</x:v>
      </x:c>
      <x:c r="D1315" s="35" t="str">
        <x:v>startup_max_ticks</x:v>
      </x:c>
      <x:c r="E1315" s="38" t="str">
        <x:v>int</x:v>
      </x:c>
      <x:c r="F1315" s="56" t="n">
        <x:f>'Actions'!T28</x:f>
        <x:v>18</x:v>
      </x:c>
      <x:c r="G1315" s="38" t="str"/>
      <x:c r="H1315" s="35" t="str">
        <x:v>Actions</x:v>
      </x:c>
      <x:c r="I1315" s="35" t="str">
        <x:v>T28</x:v>
      </x:c>
      <x:c r="J1315" s="85" t="b">
        <x:v>1</x:v>
      </x:c>
      <x:c r="K1315" s="85" t="b">
        <x:v>1</x:v>
      </x:c>
      <x:c r="L1315" s="56" t="str">
        <x:f>'Actions'!BE28</x:f>
        <x:v>OK</x:v>
      </x:c>
      <x:c r="M1315" s="44" t="str">
        <x:v>Источник Actions.Startup Max Ticks</x:v>
      </x:c>
    </x:row>
    <x:row r="1316" ht="36" customHeight="1">
      <x:c r="A1316" s="118" t="n">
        <x:v>1311</x:v>
      </x:c>
      <x:c r="B1316" s="35" t="str">
        <x:v>action</x:v>
      </x:c>
      <x:c r="C1316" s="35" t="str">
        <x:v>gorilla_overhead_pound</x:v>
      </x:c>
      <x:c r="D1316" s="35" t="str">
        <x:v>active_ticks</x:v>
      </x:c>
      <x:c r="E1316" s="38" t="str">
        <x:v>int</x:v>
      </x:c>
      <x:c r="F1316" s="56" t="n">
        <x:f>'Actions'!U28</x:f>
        <x:v>1</x:v>
      </x:c>
      <x:c r="G1316" s="38" t="str"/>
      <x:c r="H1316" s="35" t="str">
        <x:v>Actions</x:v>
      </x:c>
      <x:c r="I1316" s="35" t="str">
        <x:v>U28</x:v>
      </x:c>
      <x:c r="J1316" s="85" t="b">
        <x:v>1</x:v>
      </x:c>
      <x:c r="K1316" s="85" t="b">
        <x:v>1</x:v>
      </x:c>
      <x:c r="L1316" s="56" t="str">
        <x:f>'Actions'!BE28</x:f>
        <x:v>OK</x:v>
      </x:c>
      <x:c r="M1316" s="44" t="str">
        <x:v>Источник Actions.Active Ticks</x:v>
      </x:c>
    </x:row>
    <x:row r="1317" ht="36" customHeight="1">
      <x:c r="A1317" s="118" t="n">
        <x:v>1312</x:v>
      </x:c>
      <x:c r="B1317" s="35" t="str">
        <x:v>action</x:v>
      </x:c>
      <x:c r="C1317" s="35" t="str">
        <x:v>gorilla_overhead_pound</x:v>
      </x:c>
      <x:c r="D1317" s="35" t="str">
        <x:v>hit_schedule</x:v>
      </x:c>
      <x:c r="E1317" s="38" t="str">
        <x:v>string</x:v>
      </x:c>
      <x:c r="F1317" s="56" t="str">
        <x:f>'Actions'!V28</x:f>
        <x:v>0</x:v>
      </x:c>
      <x:c r="G1317" s="38" t="str"/>
      <x:c r="H1317" s="35" t="str">
        <x:v>Actions</x:v>
      </x:c>
      <x:c r="I1317" s="35" t="str">
        <x:v>V28</x:v>
      </x:c>
      <x:c r="J1317" s="85" t="b">
        <x:v>1</x:v>
      </x:c>
      <x:c r="K1317" s="85" t="b">
        <x:v>1</x:v>
      </x:c>
      <x:c r="L1317" s="56" t="str">
        <x:f>'Actions'!BE28</x:f>
        <x:v>OK</x:v>
      </x:c>
      <x:c r="M1317" s="44" t="str">
        <x:v>Источник Actions.Hit Schedule</x:v>
      </x:c>
    </x:row>
    <x:row r="1318" ht="36" customHeight="1">
      <x:c r="A1318" s="118" t="n">
        <x:v>1313</x:v>
      </x:c>
      <x:c r="B1318" s="35" t="str">
        <x:v>action</x:v>
      </x:c>
      <x:c r="C1318" s="35" t="str">
        <x:v>gorilla_overhead_pound</x:v>
      </x:c>
      <x:c r="D1318" s="35" t="str">
        <x:v>hit_count</x:v>
      </x:c>
      <x:c r="E1318" s="38" t="str">
        <x:v>int</x:v>
      </x:c>
      <x:c r="F1318" s="56" t="n">
        <x:f>'Actions'!W28</x:f>
        <x:v>1</x:v>
      </x:c>
      <x:c r="G1318" s="38" t="str"/>
      <x:c r="H1318" s="35" t="str">
        <x:v>Actions</x:v>
      </x:c>
      <x:c r="I1318" s="35" t="str">
        <x:v>W28</x:v>
      </x:c>
      <x:c r="J1318" s="85" t="b">
        <x:v>1</x:v>
      </x:c>
      <x:c r="K1318" s="85" t="b">
        <x:v>1</x:v>
      </x:c>
      <x:c r="L1318" s="56" t="str">
        <x:f>'Actions'!BE28</x:f>
        <x:v>OK</x:v>
      </x:c>
      <x:c r="M1318" s="44" t="str">
        <x:v>Источник Actions.Hit Count</x:v>
      </x:c>
    </x:row>
    <x:row r="1319" ht="36" customHeight="1">
      <x:c r="A1319" s="118" t="n">
        <x:v>1314</x:v>
      </x:c>
      <x:c r="B1319" s="35" t="str">
        <x:v>action</x:v>
      </x:c>
      <x:c r="C1319" s="35" t="str">
        <x:v>gorilla_overhead_pound</x:v>
      </x:c>
      <x:c r="D1319" s="35" t="str">
        <x:v>recovery_base_ticks</x:v>
      </x:c>
      <x:c r="E1319" s="38" t="str">
        <x:v>int</x:v>
      </x:c>
      <x:c r="F1319" s="56" t="n">
        <x:f>'Actions'!X28</x:f>
        <x:v>16</x:v>
      </x:c>
      <x:c r="G1319" s="38" t="str"/>
      <x:c r="H1319" s="35" t="str">
        <x:v>Actions</x:v>
      </x:c>
      <x:c r="I1319" s="35" t="str">
        <x:v>X28</x:v>
      </x:c>
      <x:c r="J1319" s="85" t="b">
        <x:v>1</x:v>
      </x:c>
      <x:c r="K1319" s="85" t="b">
        <x:v>1</x:v>
      </x:c>
      <x:c r="L1319" s="56" t="str">
        <x:f>'Actions'!BE28</x:f>
        <x:v>OK</x:v>
      </x:c>
      <x:c r="M1319" s="44" t="str">
        <x:v>Источник Actions.Recovery Base Ticks</x:v>
      </x:c>
    </x:row>
    <x:row r="1320" ht="36" customHeight="1">
      <x:c r="A1320" s="118" t="n">
        <x:v>1315</x:v>
      </x:c>
      <x:c r="B1320" s="35" t="str">
        <x:v>action</x:v>
      </x:c>
      <x:c r="C1320" s="35" t="str">
        <x:v>gorilla_overhead_pound</x:v>
      </x:c>
      <x:c r="D1320" s="35" t="str">
        <x:v>recovery_min_ticks</x:v>
      </x:c>
      <x:c r="E1320" s="38" t="str">
        <x:v>int</x:v>
      </x:c>
      <x:c r="F1320" s="56" t="n">
        <x:f>'Actions'!Y28</x:f>
        <x:v>11</x:v>
      </x:c>
      <x:c r="G1320" s="38" t="str"/>
      <x:c r="H1320" s="35" t="str">
        <x:v>Actions</x:v>
      </x:c>
      <x:c r="I1320" s="35" t="str">
        <x:v>Y28</x:v>
      </x:c>
      <x:c r="J1320" s="85" t="b">
        <x:v>1</x:v>
      </x:c>
      <x:c r="K1320" s="85" t="b">
        <x:v>1</x:v>
      </x:c>
      <x:c r="L1320" s="56" t="str">
        <x:f>'Actions'!BE28</x:f>
        <x:v>OK</x:v>
      </x:c>
      <x:c r="M1320" s="44" t="str">
        <x:v>Источник Actions.Recovery Min Ticks</x:v>
      </x:c>
    </x:row>
    <x:row r="1321" ht="36" customHeight="1">
      <x:c r="A1321" s="118" t="n">
        <x:v>1316</x:v>
      </x:c>
      <x:c r="B1321" s="35" t="str">
        <x:v>action</x:v>
      </x:c>
      <x:c r="C1321" s="35" t="str">
        <x:v>gorilla_overhead_pound</x:v>
      </x:c>
      <x:c r="D1321" s="35" t="str">
        <x:v>recovery_max_ticks</x:v>
      </x:c>
      <x:c r="E1321" s="38" t="str">
        <x:v>int</x:v>
      </x:c>
      <x:c r="F1321" s="56" t="n">
        <x:f>'Actions'!Z28</x:f>
        <x:v>24</x:v>
      </x:c>
      <x:c r="G1321" s="38" t="str"/>
      <x:c r="H1321" s="35" t="str">
        <x:v>Actions</x:v>
      </x:c>
      <x:c r="I1321" s="35" t="str">
        <x:v>Z28</x:v>
      </x:c>
      <x:c r="J1321" s="85" t="b">
        <x:v>1</x:v>
      </x:c>
      <x:c r="K1321" s="85" t="b">
        <x:v>1</x:v>
      </x:c>
      <x:c r="L1321" s="56" t="str">
        <x:f>'Actions'!BE28</x:f>
        <x:v>OK</x:v>
      </x:c>
      <x:c r="M1321" s="44" t="str">
        <x:v>Источник Actions.Recovery Max Ticks</x:v>
      </x:c>
    </x:row>
    <x:row r="1322" ht="36" customHeight="1">
      <x:c r="A1322" s="118" t="n">
        <x:v>1317</x:v>
      </x:c>
      <x:c r="B1322" s="35" t="str">
        <x:v>action</x:v>
      </x:c>
      <x:c r="C1322" s="35" t="str">
        <x:v>gorilla_overhead_pound</x:v>
      </x:c>
      <x:c r="D1322" s="35" t="str">
        <x:v>cooldown_ticks</x:v>
      </x:c>
      <x:c r="E1322" s="38" t="str">
        <x:v>int</x:v>
      </x:c>
      <x:c r="F1322" s="56" t="n">
        <x:f>'Actions'!AA28</x:f>
        <x:v>70</x:v>
      </x:c>
      <x:c r="G1322" s="38" t="str"/>
      <x:c r="H1322" s="35" t="str">
        <x:v>Actions</x:v>
      </x:c>
      <x:c r="I1322" s="35" t="str">
        <x:v>AA28</x:v>
      </x:c>
      <x:c r="J1322" s="85" t="b">
        <x:v>1</x:v>
      </x:c>
      <x:c r="K1322" s="85" t="b">
        <x:v>1</x:v>
      </x:c>
      <x:c r="L1322" s="56" t="str">
        <x:f>'Actions'!BE28</x:f>
        <x:v>OK</x:v>
      </x:c>
      <x:c r="M1322" s="44" t="str">
        <x:v>Источник Actions.Cooldown Ticks</x:v>
      </x:c>
    </x:row>
    <x:row r="1323" ht="36" customHeight="1">
      <x:c r="A1323" s="118" t="n">
        <x:v>1318</x:v>
      </x:c>
      <x:c r="B1323" s="35" t="str">
        <x:v>action</x:v>
      </x:c>
      <x:c r="C1323" s="35" t="str">
        <x:v>gorilla_overhead_pound</x:v>
      </x:c>
      <x:c r="D1323" s="35" t="str">
        <x:v>action_priority</x:v>
      </x:c>
      <x:c r="E1323" s="38" t="str">
        <x:v>int</x:v>
      </x:c>
      <x:c r="F1323" s="56" t="n">
        <x:f>'Actions'!AB28</x:f>
        <x:v>63</x:v>
      </x:c>
      <x:c r="G1323" s="38" t="str"/>
      <x:c r="H1323" s="35" t="str">
        <x:v>Actions</x:v>
      </x:c>
      <x:c r="I1323" s="35" t="str">
        <x:v>AB28</x:v>
      </x:c>
      <x:c r="J1323" s="85" t="b">
        <x:v>1</x:v>
      </x:c>
      <x:c r="K1323" s="85" t="b">
        <x:v>1</x:v>
      </x:c>
      <x:c r="L1323" s="56" t="str">
        <x:f>'Actions'!BE28</x:f>
        <x:v>OK</x:v>
      </x:c>
      <x:c r="M1323" s="44" t="str">
        <x:v>Источник Actions.Action Priority</x:v>
      </x:c>
    </x:row>
    <x:row r="1324" ht="36" customHeight="1">
      <x:c r="A1324" s="118" t="n">
        <x:v>1319</x:v>
      </x:c>
      <x:c r="B1324" s="35" t="str">
        <x:v>action</x:v>
      </x:c>
      <x:c r="C1324" s="35" t="str">
        <x:v>gorilla_overhead_pound</x:v>
      </x:c>
      <x:c r="D1324" s="35" t="str">
        <x:v>clash_priority</x:v>
      </x:c>
      <x:c r="E1324" s="38" t="str">
        <x:v>int</x:v>
      </x:c>
      <x:c r="F1324" s="56" t="n">
        <x:f>'Actions'!AC28</x:f>
        <x:v>65</x:v>
      </x:c>
      <x:c r="G1324" s="38" t="str"/>
      <x:c r="H1324" s="35" t="str">
        <x:v>Actions</x:v>
      </x:c>
      <x:c r="I1324" s="35" t="str">
        <x:v>AC28</x:v>
      </x:c>
      <x:c r="J1324" s="85" t="b">
        <x:v>1</x:v>
      </x:c>
      <x:c r="K1324" s="85" t="b">
        <x:v>1</x:v>
      </x:c>
      <x:c r="L1324" s="56" t="str">
        <x:f>'Actions'!BE28</x:f>
        <x:v>OK</x:v>
      </x:c>
      <x:c r="M1324" s="44" t="str">
        <x:v>Источник Actions.Clash Priority</x:v>
      </x:c>
    </x:row>
    <x:row r="1325" ht="36" customHeight="1">
      <x:c r="A1325" s="118" t="n">
        <x:v>1320</x:v>
      </x:c>
      <x:c r="B1325" s="35" t="str">
        <x:v>action</x:v>
      </x:c>
      <x:c r="C1325" s="35" t="str">
        <x:v>gorilla_overhead_pound</x:v>
      </x:c>
      <x:c r="D1325" s="35" t="str">
        <x:v>grab_priority</x:v>
      </x:c>
      <x:c r="E1325" s="38" t="str">
        <x:v>int</x:v>
      </x:c>
      <x:c r="F1325" s="56" t="n">
        <x:f>'Actions'!AD28</x:f>
        <x:v>0</x:v>
      </x:c>
      <x:c r="G1325" s="38" t="str"/>
      <x:c r="H1325" s="35" t="str">
        <x:v>Actions</x:v>
      </x:c>
      <x:c r="I1325" s="35" t="str">
        <x:v>AD28</x:v>
      </x:c>
      <x:c r="J1325" s="85" t="b">
        <x:v>1</x:v>
      </x:c>
      <x:c r="K1325" s="85" t="b">
        <x:v>1</x:v>
      </x:c>
      <x:c r="L1325" s="56" t="str">
        <x:f>'Actions'!BE28</x:f>
        <x:v>OK</x:v>
      </x:c>
      <x:c r="M1325" s="44" t="str">
        <x:v>Источник Actions.Grab Priority</x:v>
      </x:c>
    </x:row>
    <x:row r="1326" ht="36" customHeight="1">
      <x:c r="A1326" s="118" t="n">
        <x:v>1321</x:v>
      </x:c>
      <x:c r="B1326" s="35" t="str">
        <x:v>action</x:v>
      </x:c>
      <x:c r="C1326" s="35" t="str">
        <x:v>gorilla_overhead_pound</x:v>
      </x:c>
      <x:c r="D1326" s="35" t="str">
        <x:v>resolution_priority</x:v>
      </x:c>
      <x:c r="E1326" s="38" t="str">
        <x:v>int</x:v>
      </x:c>
      <x:c r="F1326" s="56" t="n">
        <x:f>'Actions'!AE28</x:f>
        <x:v>63</x:v>
      </x:c>
      <x:c r="G1326" s="38" t="str"/>
      <x:c r="H1326" s="35" t="str">
        <x:v>Actions</x:v>
      </x:c>
      <x:c r="I1326" s="35" t="str">
        <x:v>AE28</x:v>
      </x:c>
      <x:c r="J1326" s="85" t="b">
        <x:v>1</x:v>
      </x:c>
      <x:c r="K1326" s="85" t="b">
        <x:v>1</x:v>
      </x:c>
      <x:c r="L1326" s="56" t="str">
        <x:f>'Actions'!BE28</x:f>
        <x:v>OK</x:v>
      </x:c>
      <x:c r="M1326" s="44" t="str">
        <x:v>Источник Actions.Resolution Priority</x:v>
      </x:c>
    </x:row>
    <x:row r="1327" ht="36" customHeight="1">
      <x:c r="A1327" s="118" t="n">
        <x:v>1322</x:v>
      </x:c>
      <x:c r="B1327" s="35" t="str">
        <x:v>action</x:v>
      </x:c>
      <x:c r="C1327" s="35" t="str">
        <x:v>gorilla_overhead_pound</x:v>
      </x:c>
      <x:c r="D1327" s="35" t="str">
        <x:v>interrupt_profile</x:v>
      </x:c>
      <x:c r="E1327" s="38" t="str">
        <x:v>string</x:v>
      </x:c>
      <x:c r="F1327" s="56" t="str">
        <x:f>'Actions'!AF28</x:f>
        <x:v>Committed</x:v>
      </x:c>
      <x:c r="G1327" s="38" t="str"/>
      <x:c r="H1327" s="35" t="str">
        <x:v>Actions</x:v>
      </x:c>
      <x:c r="I1327" s="35" t="str">
        <x:v>AF28</x:v>
      </x:c>
      <x:c r="J1327" s="85" t="b">
        <x:v>1</x:v>
      </x:c>
      <x:c r="K1327" s="85" t="b">
        <x:v>1</x:v>
      </x:c>
      <x:c r="L1327" s="56" t="str">
        <x:f>'Actions'!BE28</x:f>
        <x:v>OK</x:v>
      </x:c>
      <x:c r="M1327" s="44" t="str">
        <x:v>Источник Actions.Interrupt Profile</x:v>
      </x:c>
    </x:row>
    <x:row r="1328" ht="36" customHeight="1">
      <x:c r="A1328" s="118" t="n">
        <x:v>1323</x:v>
      </x:c>
      <x:c r="B1328" s="35" t="str">
        <x:v>action</x:v>
      </x:c>
      <x:c r="C1328" s="35" t="str">
        <x:v>gorilla_overhead_pound</x:v>
      </x:c>
      <x:c r="D1328" s="35" t="str">
        <x:v>blockable</x:v>
      </x:c>
      <x:c r="E1328" s="38" t="str">
        <x:v>bool</x:v>
      </x:c>
      <x:c r="F1328" s="56" t="b">
        <x:f>'Actions'!AG28</x:f>
        <x:v>1</x:v>
      </x:c>
      <x:c r="G1328" s="38" t="str"/>
      <x:c r="H1328" s="35" t="str">
        <x:v>Actions</x:v>
      </x:c>
      <x:c r="I1328" s="35" t="str">
        <x:v>AG28</x:v>
      </x:c>
      <x:c r="J1328" s="85" t="b">
        <x:v>1</x:v>
      </x:c>
      <x:c r="K1328" s="85" t="b">
        <x:v>1</x:v>
      </x:c>
      <x:c r="L1328" s="56" t="str">
        <x:f>'Actions'!BE28</x:f>
        <x:v>OK</x:v>
      </x:c>
      <x:c r="M1328" s="44" t="str">
        <x:v>Источник Actions.Blockable</x:v>
      </x:c>
    </x:row>
    <x:row r="1329" ht="36" customHeight="1">
      <x:c r="A1329" s="118" t="n">
        <x:v>1324</x:v>
      </x:c>
      <x:c r="B1329" s="35" t="str">
        <x:v>action</x:v>
      </x:c>
      <x:c r="C1329" s="35" t="str">
        <x:v>gorilla_overhead_pound</x:v>
      </x:c>
      <x:c r="D1329" s="35" t="str">
        <x:v>dodgeable</x:v>
      </x:c>
      <x:c r="E1329" s="38" t="str">
        <x:v>bool</x:v>
      </x:c>
      <x:c r="F1329" s="56" t="b">
        <x:f>'Actions'!AH28</x:f>
        <x:v>1</x:v>
      </x:c>
      <x:c r="G1329" s="38" t="str"/>
      <x:c r="H1329" s="35" t="str">
        <x:v>Actions</x:v>
      </x:c>
      <x:c r="I1329" s="35" t="str">
        <x:v>AH28</x:v>
      </x:c>
      <x:c r="J1329" s="85" t="b">
        <x:v>1</x:v>
      </x:c>
      <x:c r="K1329" s="85" t="b">
        <x:v>1</x:v>
      </x:c>
      <x:c r="L1329" s="56" t="str">
        <x:f>'Actions'!BE28</x:f>
        <x:v>OK</x:v>
      </x:c>
      <x:c r="M1329" s="44" t="str">
        <x:v>Источник Actions.Dodgeable</x:v>
      </x:c>
    </x:row>
    <x:row r="1330" ht="36" customHeight="1">
      <x:c r="A1330" s="118" t="n">
        <x:v>1325</x:v>
      </x:c>
      <x:c r="B1330" s="35" t="str">
        <x:v>action</x:v>
      </x:c>
      <x:c r="C1330" s="35" t="str">
        <x:v>gorilla_overhead_pound</x:v>
      </x:c>
      <x:c r="D1330" s="35" t="str">
        <x:v>undodgeable</x:v>
      </x:c>
      <x:c r="E1330" s="38" t="str">
        <x:v>bool</x:v>
      </x:c>
      <x:c r="F1330" s="56" t="b">
        <x:f>'Actions'!AI28</x:f>
        <x:v>0</x:v>
      </x:c>
      <x:c r="G1330" s="38" t="str"/>
      <x:c r="H1330" s="35" t="str">
        <x:v>Actions</x:v>
      </x:c>
      <x:c r="I1330" s="35" t="str">
        <x:v>AI28</x:v>
      </x:c>
      <x:c r="J1330" s="85" t="b">
        <x:v>1</x:v>
      </x:c>
      <x:c r="K1330" s="85" t="b">
        <x:v>1</x:v>
      </x:c>
      <x:c r="L1330" s="56" t="str">
        <x:f>'Actions'!BE28</x:f>
        <x:v>OK</x:v>
      </x:c>
      <x:c r="M1330" s="44" t="str">
        <x:v>Источник Actions.Undodgeable</x:v>
      </x:c>
    </x:row>
    <x:row r="1331" ht="36" customHeight="1">
      <x:c r="A1331" s="118" t="n">
        <x:v>1326</x:v>
      </x:c>
      <x:c r="B1331" s="35" t="str">
        <x:v>action</x:v>
      </x:c>
      <x:c r="C1331" s="35" t="str">
        <x:v>gorilla_overhead_pound</x:v>
      </x:c>
      <x:c r="D1331" s="35" t="str">
        <x:v>wall_impact</x:v>
      </x:c>
      <x:c r="E1331" s="38" t="str">
        <x:v>bool</x:v>
      </x:c>
      <x:c r="F1331" s="56" t="b">
        <x:f>'Actions'!AJ28</x:f>
        <x:v>0</x:v>
      </x:c>
      <x:c r="G1331" s="38" t="str"/>
      <x:c r="H1331" s="35" t="str">
        <x:v>Actions</x:v>
      </x:c>
      <x:c r="I1331" s="35" t="str">
        <x:v>AJ28</x:v>
      </x:c>
      <x:c r="J1331" s="85" t="b">
        <x:v>1</x:v>
      </x:c>
      <x:c r="K1331" s="85" t="b">
        <x:v>1</x:v>
      </x:c>
      <x:c r="L1331" s="56" t="str">
        <x:f>'Actions'!BE28</x:f>
        <x:v>OK</x:v>
      </x:c>
      <x:c r="M1331" s="44" t="str">
        <x:v>Источник Actions.Wall Impact</x:v>
      </x:c>
    </x:row>
    <x:row r="1332" ht="36" customHeight="1">
      <x:c r="A1332" s="118" t="n">
        <x:v>1327</x:v>
      </x:c>
      <x:c r="B1332" s="35" t="str">
        <x:v>action</x:v>
      </x:c>
      <x:c r="C1332" s="35" t="str">
        <x:v>gorilla_overhead_pound</x:v>
      </x:c>
      <x:c r="D1332" s="35" t="str">
        <x:v>track_target</x:v>
      </x:c>
      <x:c r="E1332" s="38" t="str">
        <x:v>bool</x:v>
      </x:c>
      <x:c r="F1332" s="56" t="b">
        <x:f>'Actions'!AK28</x:f>
        <x:v>0</x:v>
      </x:c>
      <x:c r="G1332" s="38" t="str"/>
      <x:c r="H1332" s="35" t="str">
        <x:v>Actions</x:v>
      </x:c>
      <x:c r="I1332" s="35" t="str">
        <x:v>AK28</x:v>
      </x:c>
      <x:c r="J1332" s="85" t="b">
        <x:v>1</x:v>
      </x:c>
      <x:c r="K1332" s="85" t="b">
        <x:v>1</x:v>
      </x:c>
      <x:c r="L1332" s="56" t="str">
        <x:f>'Actions'!BE28</x:f>
        <x:v>OK</x:v>
      </x:c>
      <x:c r="M1332" s="44" t="str">
        <x:v>Источник Actions.Track Target</x:v>
      </x:c>
    </x:row>
    <x:row r="1333" ht="36" customHeight="1">
      <x:c r="A1333" s="118" t="n">
        <x:v>1328</x:v>
      </x:c>
      <x:c r="B1333" s="35" t="str">
        <x:v>action</x:v>
      </x:c>
      <x:c r="C1333" s="35" t="str">
        <x:v>gorilla_overhead_pound</x:v>
      </x:c>
      <x:c r="D1333" s="35" t="str">
        <x:v>block_base_chance_fp</x:v>
      </x:c>
      <x:c r="E1333" s="38" t="str">
        <x:v>int</x:v>
      </x:c>
      <x:c r="F1333" s="56" t="n">
        <x:f>'Actions'!AL28</x:f>
        <x:v>0</x:v>
      </x:c>
      <x:c r="G1333" s="38" t="str"/>
      <x:c r="H1333" s="35" t="str">
        <x:v>Actions</x:v>
      </x:c>
      <x:c r="I1333" s="35" t="str">
        <x:v>AL28</x:v>
      </x:c>
      <x:c r="J1333" s="85" t="b">
        <x:v>1</x:v>
      </x:c>
      <x:c r="K1333" s="85" t="b">
        <x:v>1</x:v>
      </x:c>
      <x:c r="L1333" s="56" t="str">
        <x:f>'Actions'!BE28</x:f>
        <x:v>OK</x:v>
      </x:c>
      <x:c r="M1333" s="44" t="str">
        <x:v>Источник Actions.Block Base Chance FP</x:v>
      </x:c>
    </x:row>
    <x:row r="1334" ht="36" customHeight="1">
      <x:c r="A1334" s="118" t="n">
        <x:v>1329</x:v>
      </x:c>
      <x:c r="B1334" s="35" t="str">
        <x:v>action</x:v>
      </x:c>
      <x:c r="C1334" s="35" t="str">
        <x:v>gorilla_overhead_pound</x:v>
      </x:c>
      <x:c r="D1334" s="35" t="str">
        <x:v>block_reduction_fp</x:v>
      </x:c>
      <x:c r="E1334" s="38" t="str">
        <x:v>int</x:v>
      </x:c>
      <x:c r="F1334" s="56" t="n">
        <x:f>'Actions'!AM28</x:f>
        <x:v>0</x:v>
      </x:c>
      <x:c r="G1334" s="38" t="str"/>
      <x:c r="H1334" s="35" t="str">
        <x:v>Actions</x:v>
      </x:c>
      <x:c r="I1334" s="35" t="str">
        <x:v>AM28</x:v>
      </x:c>
      <x:c r="J1334" s="85" t="b">
        <x:v>1</x:v>
      </x:c>
      <x:c r="K1334" s="85" t="b">
        <x:v>1</x:v>
      </x:c>
      <x:c r="L1334" s="56" t="str">
        <x:f>'Actions'!BE28</x:f>
        <x:v>OK</x:v>
      </x:c>
      <x:c r="M1334" s="44" t="str">
        <x:v>Источник Actions.Block Reduction FP</x:v>
      </x:c>
    </x:row>
    <x:row r="1335" ht="36" customHeight="1">
      <x:c r="A1335" s="118" t="n">
        <x:v>1330</x:v>
      </x:c>
      <x:c r="B1335" s="35" t="str">
        <x:v>action</x:v>
      </x:c>
      <x:c r="C1335" s="35" t="str">
        <x:v>gorilla_overhead_pound</x:v>
      </x:c>
      <x:c r="D1335" s="35" t="str">
        <x:v>dodge_base_chance_fp</x:v>
      </x:c>
      <x:c r="E1335" s="38" t="str">
        <x:v>int</x:v>
      </x:c>
      <x:c r="F1335" s="56" t="n">
        <x:f>'Actions'!AN28</x:f>
        <x:v>0</x:v>
      </x:c>
      <x:c r="G1335" s="38" t="str"/>
      <x:c r="H1335" s="35" t="str">
        <x:v>Actions</x:v>
      </x:c>
      <x:c r="I1335" s="35" t="str">
        <x:v>AN28</x:v>
      </x:c>
      <x:c r="J1335" s="85" t="b">
        <x:v>1</x:v>
      </x:c>
      <x:c r="K1335" s="85" t="b">
        <x:v>1</x:v>
      </x:c>
      <x:c r="L1335" s="56" t="str">
        <x:f>'Actions'!BE28</x:f>
        <x:v>OK</x:v>
      </x:c>
      <x:c r="M1335" s="44" t="str">
        <x:v>Источник Actions.Dodge Base Chance FP</x:v>
      </x:c>
    </x:row>
    <x:row r="1336" ht="36" customHeight="1">
      <x:c r="A1336" s="118" t="n">
        <x:v>1331</x:v>
      </x:c>
      <x:c r="B1336" s="35" t="str">
        <x:v>action</x:v>
      </x:c>
      <x:c r="C1336" s="35" t="str">
        <x:v>gorilla_overhead_pound</x:v>
      </x:c>
      <x:c r="D1336" s="35" t="str">
        <x:v>movement_mode</x:v>
      </x:c>
      <x:c r="E1336" s="38" t="str">
        <x:v>string</x:v>
      </x:c>
      <x:c r="F1336" s="56" t="str">
        <x:f>'Actions'!AO28</x:f>
        <x:v>None</x:v>
      </x:c>
      <x:c r="G1336" s="38" t="str"/>
      <x:c r="H1336" s="35" t="str">
        <x:v>Actions</x:v>
      </x:c>
      <x:c r="I1336" s="35" t="str">
        <x:v>AO28</x:v>
      </x:c>
      <x:c r="J1336" s="85" t="b">
        <x:v>1</x:v>
      </x:c>
      <x:c r="K1336" s="85" t="b">
        <x:v>1</x:v>
      </x:c>
      <x:c r="L1336" s="56" t="str">
        <x:f>'Actions'!BE28</x:f>
        <x:v>OK</x:v>
      </x:c>
      <x:c r="M1336" s="44" t="str">
        <x:v>Источник Actions.Movement Mode</x:v>
      </x:c>
    </x:row>
    <x:row r="1337" ht="36" customHeight="1">
      <x:c r="A1337" s="118" t="n">
        <x:v>1332</x:v>
      </x:c>
      <x:c r="B1337" s="35" t="str">
        <x:v>action</x:v>
      </x:c>
      <x:c r="C1337" s="35" t="str">
        <x:v>gorilla_overhead_pound</x:v>
      </x:c>
      <x:c r="D1337" s="35" t="str">
        <x:v>move_distance</x:v>
      </x:c>
      <x:c r="E1337" s="38" t="str">
        <x:v>int</x:v>
      </x:c>
      <x:c r="F1337" s="56" t="n">
        <x:f>'Actions'!AP28</x:f>
        <x:v>0</x:v>
      </x:c>
      <x:c r="G1337" s="38" t="str"/>
      <x:c r="H1337" s="35" t="str">
        <x:v>Actions</x:v>
      </x:c>
      <x:c r="I1337" s="35" t="str">
        <x:v>AP28</x:v>
      </x:c>
      <x:c r="J1337" s="85" t="b">
        <x:v>1</x:v>
      </x:c>
      <x:c r="K1337" s="85" t="b">
        <x:v>1</x:v>
      </x:c>
      <x:c r="L1337" s="56" t="str">
        <x:f>'Actions'!BE28</x:f>
        <x:v>OK</x:v>
      </x:c>
      <x:c r="M1337" s="44" t="str">
        <x:v>Источник Actions.Move Distance</x:v>
      </x:c>
    </x:row>
    <x:row r="1338" ht="36" customHeight="1">
      <x:c r="A1338" s="118" t="n">
        <x:v>1333</x:v>
      </x:c>
      <x:c r="B1338" s="35" t="str">
        <x:v>action</x:v>
      </x:c>
      <x:c r="C1338" s="35" t="str">
        <x:v>gorilla_overhead_pound</x:v>
      </x:c>
      <x:c r="D1338" s="35" t="str">
        <x:v>base_stagger</x:v>
      </x:c>
      <x:c r="E1338" s="38" t="str">
        <x:v>int</x:v>
      </x:c>
      <x:c r="F1338" s="56" t="n">
        <x:f>'Actions'!AQ28</x:f>
        <x:v>240</x:v>
      </x:c>
      <x:c r="G1338" s="38" t="str"/>
      <x:c r="H1338" s="35" t="str">
        <x:v>Actions</x:v>
      </x:c>
      <x:c r="I1338" s="35" t="str">
        <x:v>AQ28</x:v>
      </x:c>
      <x:c r="J1338" s="85" t="b">
        <x:v>1</x:v>
      </x:c>
      <x:c r="K1338" s="85" t="b">
        <x:v>1</x:v>
      </x:c>
      <x:c r="L1338" s="56" t="str">
        <x:f>'Actions'!BE28</x:f>
        <x:v>OK</x:v>
      </x:c>
      <x:c r="M1338" s="44" t="str">
        <x:v>Источник Actions.Base Stagger</x:v>
      </x:c>
    </x:row>
    <x:row r="1339" ht="36" customHeight="1">
      <x:c r="A1339" s="118" t="n">
        <x:v>1334</x:v>
      </x:c>
      <x:c r="B1339" s="35" t="str">
        <x:v>action</x:v>
      </x:c>
      <x:c r="C1339" s="35" t="str">
        <x:v>gorilla_overhead_pound</x:v>
      </x:c>
      <x:c r="D1339" s="35" t="str">
        <x:v>base_stun_ticks</x:v>
      </x:c>
      <x:c r="E1339" s="38" t="str">
        <x:v>int</x:v>
      </x:c>
      <x:c r="F1339" s="56" t="n">
        <x:f>'Actions'!AR28</x:f>
        <x:v>10</x:v>
      </x:c>
      <x:c r="G1339" s="38" t="str"/>
      <x:c r="H1339" s="35" t="str">
        <x:v>Actions</x:v>
      </x:c>
      <x:c r="I1339" s="35" t="str">
        <x:v>AR28</x:v>
      </x:c>
      <x:c r="J1339" s="85" t="b">
        <x:v>1</x:v>
      </x:c>
      <x:c r="K1339" s="85" t="b">
        <x:v>1</x:v>
      </x:c>
      <x:c r="L1339" s="56" t="str">
        <x:f>'Actions'!BE28</x:f>
        <x:v>OK</x:v>
      </x:c>
      <x:c r="M1339" s="44" t="str">
        <x:v>Источник Actions.Base Stun Ticks</x:v>
      </x:c>
    </x:row>
    <x:row r="1340" ht="36" customHeight="1">
      <x:c r="A1340" s="118" t="n">
        <x:v>1335</x:v>
      </x:c>
      <x:c r="B1340" s="35" t="str">
        <x:v>action</x:v>
      </x:c>
      <x:c r="C1340" s="35" t="str">
        <x:v>gorilla_overhead_pound</x:v>
      </x:c>
      <x:c r="D1340" s="35" t="str">
        <x:v>base_knockback</x:v>
      </x:c>
      <x:c r="E1340" s="38" t="str">
        <x:v>int</x:v>
      </x:c>
      <x:c r="F1340" s="56" t="n">
        <x:f>'Actions'!AS28</x:f>
        <x:v>250</x:v>
      </x:c>
      <x:c r="G1340" s="38" t="str"/>
      <x:c r="H1340" s="35" t="str">
        <x:v>Actions</x:v>
      </x:c>
      <x:c r="I1340" s="35" t="str">
        <x:v>AS28</x:v>
      </x:c>
      <x:c r="J1340" s="85" t="b">
        <x:v>1</x:v>
      </x:c>
      <x:c r="K1340" s="85" t="b">
        <x:v>1</x:v>
      </x:c>
      <x:c r="L1340" s="56" t="str">
        <x:f>'Actions'!BE28</x:f>
        <x:v>OK</x:v>
      </x:c>
      <x:c r="M1340" s="44" t="str">
        <x:v>Источник Actions.Base Knockback</x:v>
      </x:c>
    </x:row>
    <x:row r="1341" ht="36" customHeight="1">
      <x:c r="A1341" s="118" t="n">
        <x:v>1336</x:v>
      </x:c>
      <x:c r="B1341" s="35" t="str">
        <x:v>action</x:v>
      </x:c>
      <x:c r="C1341" s="35" t="str">
        <x:v>gorilla_overhead_pound</x:v>
      </x:c>
      <x:c r="D1341" s="35" t="str">
        <x:v>knockback_min</x:v>
      </x:c>
      <x:c r="E1341" s="38" t="str">
        <x:v>int</x:v>
      </x:c>
      <x:c r="F1341" s="56" t="n">
        <x:f>'Actions'!AT28</x:f>
        <x:v>0</x:v>
      </x:c>
      <x:c r="G1341" s="38" t="str"/>
      <x:c r="H1341" s="35" t="str">
        <x:v>Actions</x:v>
      </x:c>
      <x:c r="I1341" s="35" t="str">
        <x:v>AT28</x:v>
      </x:c>
      <x:c r="J1341" s="85" t="b">
        <x:v>1</x:v>
      </x:c>
      <x:c r="K1341" s="85" t="b">
        <x:v>1</x:v>
      </x:c>
      <x:c r="L1341" s="56" t="str">
        <x:f>'Actions'!BE28</x:f>
        <x:v>OK</x:v>
      </x:c>
      <x:c r="M1341" s="44" t="str">
        <x:v>Источник Actions.Knockback Min</x:v>
      </x:c>
    </x:row>
    <x:row r="1342" ht="36" customHeight="1">
      <x:c r="A1342" s="118" t="n">
        <x:v>1337</x:v>
      </x:c>
      <x:c r="B1342" s="35" t="str">
        <x:v>action</x:v>
      </x:c>
      <x:c r="C1342" s="35" t="str">
        <x:v>gorilla_overhead_pound</x:v>
      </x:c>
      <x:c r="D1342" s="35" t="str">
        <x:v>knockback_max</x:v>
      </x:c>
      <x:c r="E1342" s="38" t="str">
        <x:v>int</x:v>
      </x:c>
      <x:c r="F1342" s="56" t="n">
        <x:f>'Actions'!AU28</x:f>
        <x:v>450</x:v>
      </x:c>
      <x:c r="G1342" s="38" t="str"/>
      <x:c r="H1342" s="35" t="str">
        <x:v>Actions</x:v>
      </x:c>
      <x:c r="I1342" s="35" t="str">
        <x:v>AU28</x:v>
      </x:c>
      <x:c r="J1342" s="85" t="b">
        <x:v>1</x:v>
      </x:c>
      <x:c r="K1342" s="85" t="b">
        <x:v>1</x:v>
      </x:c>
      <x:c r="L1342" s="56" t="str">
        <x:f>'Actions'!BE28</x:f>
        <x:v>OK</x:v>
      </x:c>
      <x:c r="M1342" s="44" t="str">
        <x:v>Источник Actions.Knockback Max</x:v>
      </x:c>
    </x:row>
    <x:row r="1343" ht="36" customHeight="1">
      <x:c r="A1343" s="118" t="n">
        <x:v>1338</x:v>
      </x:c>
      <x:c r="B1343" s="35" t="str">
        <x:v>action</x:v>
      </x:c>
      <x:c r="C1343" s="35" t="str">
        <x:v>gorilla_overhead_pound</x:v>
      </x:c>
      <x:c r="D1343" s="35" t="str">
        <x:v>wall_damage_per_unit_fp</x:v>
      </x:c>
      <x:c r="E1343" s="38" t="str">
        <x:v>int</x:v>
      </x:c>
      <x:c r="F1343" s="56" t="n">
        <x:f>'Actions'!AV28</x:f>
        <x:v>0</x:v>
      </x:c>
      <x:c r="G1343" s="38" t="str"/>
      <x:c r="H1343" s="35" t="str">
        <x:v>Actions</x:v>
      </x:c>
      <x:c r="I1343" s="35" t="str">
        <x:v>AV28</x:v>
      </x:c>
      <x:c r="J1343" s="85" t="b">
        <x:v>1</x:v>
      </x:c>
      <x:c r="K1343" s="85" t="b">
        <x:v>1</x:v>
      </x:c>
      <x:c r="L1343" s="56" t="str">
        <x:f>'Actions'!BE28</x:f>
        <x:v>OK</x:v>
      </x:c>
      <x:c r="M1343" s="44" t="str">
        <x:v>Источник Actions.Wall Damage / Unit FP</x:v>
      </x:c>
    </x:row>
    <x:row r="1344" ht="36" customHeight="1">
      <x:c r="A1344" s="118" t="n">
        <x:v>1339</x:v>
      </x:c>
      <x:c r="B1344" s="35" t="str">
        <x:v>action</x:v>
      </x:c>
      <x:c r="C1344" s="35" t="str">
        <x:v>gorilla_overhead_pound</x:v>
      </x:c>
      <x:c r="D1344" s="35" t="str">
        <x:v>wall_damage_min</x:v>
      </x:c>
      <x:c r="E1344" s="38" t="str">
        <x:v>int</x:v>
      </x:c>
      <x:c r="F1344" s="56" t="n">
        <x:f>'Actions'!AW28</x:f>
        <x:v>0</x:v>
      </x:c>
      <x:c r="G1344" s="38" t="str"/>
      <x:c r="H1344" s="35" t="str">
        <x:v>Actions</x:v>
      </x:c>
      <x:c r="I1344" s="35" t="str">
        <x:v>AW28</x:v>
      </x:c>
      <x:c r="J1344" s="85" t="b">
        <x:v>1</x:v>
      </x:c>
      <x:c r="K1344" s="85" t="b">
        <x:v>1</x:v>
      </x:c>
      <x:c r="L1344" s="56" t="str">
        <x:f>'Actions'!BE28</x:f>
        <x:v>OK</x:v>
      </x:c>
      <x:c r="M1344" s="44" t="str">
        <x:v>Источник Actions.Wall Damage Min</x:v>
      </x:c>
    </x:row>
    <x:row r="1345" ht="36" customHeight="1">
      <x:c r="A1345" s="118" t="n">
        <x:v>1340</x:v>
      </x:c>
      <x:c r="B1345" s="35" t="str">
        <x:v>action</x:v>
      </x:c>
      <x:c r="C1345" s="35" t="str">
        <x:v>gorilla_overhead_pound</x:v>
      </x:c>
      <x:c r="D1345" s="35" t="str">
        <x:v>wall_damage_max</x:v>
      </x:c>
      <x:c r="E1345" s="38" t="str">
        <x:v>int</x:v>
      </x:c>
      <x:c r="F1345" s="56" t="n">
        <x:f>'Actions'!AX28</x:f>
        <x:v>0</x:v>
      </x:c>
      <x:c r="G1345" s="38" t="str"/>
      <x:c r="H1345" s="35" t="str">
        <x:v>Actions</x:v>
      </x:c>
      <x:c r="I1345" s="35" t="str">
        <x:v>AX28</x:v>
      </x:c>
      <x:c r="J1345" s="85" t="b">
        <x:v>1</x:v>
      </x:c>
      <x:c r="K1345" s="85" t="b">
        <x:v>1</x:v>
      </x:c>
      <x:c r="L1345" s="56" t="str">
        <x:f>'Actions'!BE28</x:f>
        <x:v>OK</x:v>
      </x:c>
      <x:c r="M1345" s="44" t="str">
        <x:v>Источник Actions.Wall Damage Max</x:v>
      </x:c>
    </x:row>
    <x:row r="1346" ht="36" customHeight="1">
      <x:c r="A1346" s="118" t="n">
        <x:v>1341</x:v>
      </x:c>
      <x:c r="B1346" s="35" t="str">
        <x:v>action</x:v>
      </x:c>
      <x:c r="C1346" s="35" t="str">
        <x:v>gorilla_overhead_pound</x:v>
      </x:c>
      <x:c r="D1346" s="35" t="str">
        <x:v>max_consecutive_uses</x:v>
      </x:c>
      <x:c r="E1346" s="38" t="str">
        <x:v>int</x:v>
      </x:c>
      <x:c r="F1346" s="56" t="n">
        <x:f>'Actions'!AY28</x:f>
        <x:v>1</x:v>
      </x:c>
      <x:c r="G1346" s="38" t="str"/>
      <x:c r="H1346" s="35" t="str">
        <x:v>Actions</x:v>
      </x:c>
      <x:c r="I1346" s="35" t="str">
        <x:v>AY28</x:v>
      </x:c>
      <x:c r="J1346" s="85" t="b">
        <x:v>1</x:v>
      </x:c>
      <x:c r="K1346" s="85" t="b">
        <x:v>1</x:v>
      </x:c>
      <x:c r="L1346" s="56" t="str">
        <x:f>'Actions'!BE28</x:f>
        <x:v>OK</x:v>
      </x:c>
      <x:c r="M1346" s="44" t="str">
        <x:v>Источник Actions.Max Consecutive Uses</x:v>
      </x:c>
    </x:row>
    <x:row r="1347" ht="36" customHeight="1">
      <x:c r="A1347" s="118" t="n">
        <x:v>1342</x:v>
      </x:c>
      <x:c r="B1347" s="35" t="str">
        <x:v>action</x:v>
      </x:c>
      <x:c r="C1347" s="35" t="str">
        <x:v>gorilla_overhead_pound</x:v>
      </x:c>
      <x:c r="D1347" s="35" t="str">
        <x:v>opportunity_cap_fp</x:v>
      </x:c>
      <x:c r="E1347" s="38" t="str">
        <x:v>int</x:v>
      </x:c>
      <x:c r="F1347" s="56" t="n">
        <x:f>'Actions'!AZ28</x:f>
        <x:v>2200</x:v>
      </x:c>
      <x:c r="G1347" s="38" t="str"/>
      <x:c r="H1347" s="35" t="str">
        <x:v>Actions</x:v>
      </x:c>
      <x:c r="I1347" s="35" t="str">
        <x:v>AZ28</x:v>
      </x:c>
      <x:c r="J1347" s="85" t="b">
        <x:v>1</x:v>
      </x:c>
      <x:c r="K1347" s="85" t="b">
        <x:v>1</x:v>
      </x:c>
      <x:c r="L1347" s="56" t="str">
        <x:f>'Actions'!BE28</x:f>
        <x:v>OK</x:v>
      </x:c>
      <x:c r="M1347" s="44" t="str">
        <x:v>Источник Actions.Opportunity Cap FP</x:v>
      </x:c>
    </x:row>
    <x:row r="1348" ht="36" customHeight="1">
      <x:c r="A1348" s="118" t="n">
        <x:v>1343</x:v>
      </x:c>
      <x:c r="B1348" s="35" t="str">
        <x:v>action</x:v>
      </x:c>
      <x:c r="C1348" s="35" t="str">
        <x:v>gorilla_overhead_pound</x:v>
      </x:c>
      <x:c r="D1348" s="35" t="str">
        <x:v>hard_opportunity_misses</x:v>
      </x:c>
      <x:c r="E1348" s="38" t="str">
        <x:v>int</x:v>
      </x:c>
      <x:c r="F1348" s="56" t="n">
        <x:f>'Actions'!BA28</x:f>
        <x:v>3</x:v>
      </x:c>
      <x:c r="G1348" s="38" t="str"/>
      <x:c r="H1348" s="35" t="str">
        <x:v>Actions</x:v>
      </x:c>
      <x:c r="I1348" s="35" t="str">
        <x:v>BA28</x:v>
      </x:c>
      <x:c r="J1348" s="85" t="b">
        <x:v>1</x:v>
      </x:c>
      <x:c r="K1348" s="85" t="b">
        <x:v>1</x:v>
      </x:c>
      <x:c r="L1348" s="56" t="str">
        <x:f>'Actions'!BE28</x:f>
        <x:v>OK</x:v>
      </x:c>
      <x:c r="M1348" s="44" t="str">
        <x:v>Источник Actions.Hard Opportunity Misses</x:v>
      </x:c>
    </x:row>
    <x:row r="1349" ht="36" customHeight="1">
      <x:c r="A1349" s="118" t="n">
        <x:v>1344</x:v>
      </x:c>
      <x:c r="B1349" s="35" t="str">
        <x:v>action</x:v>
      </x:c>
      <x:c r="C1349" s="35" t="str">
        <x:v>gorilla_wall_breaker</x:v>
      </x:c>
      <x:c r="D1349" s="35" t="str">
        <x:v>action_id</x:v>
      </x:c>
      <x:c r="E1349" s="38" t="str">
        <x:v>string</x:v>
      </x:c>
      <x:c r="F1349" s="56" t="str">
        <x:f>'Actions'!A29</x:f>
        <x:v>gorilla_wall_breaker</x:v>
      </x:c>
      <x:c r="G1349" s="38" t="str"/>
      <x:c r="H1349" s="35" t="str">
        <x:v>Actions</x:v>
      </x:c>
      <x:c r="I1349" s="35" t="str">
        <x:v>A29</x:v>
      </x:c>
      <x:c r="J1349" s="85" t="b">
        <x:v>1</x:v>
      </x:c>
      <x:c r="K1349" s="85" t="b">
        <x:v>1</x:v>
      </x:c>
      <x:c r="L1349" s="56" t="str">
        <x:f>'Actions'!BE29</x:f>
        <x:v>OK</x:v>
      </x:c>
      <x:c r="M1349" s="44" t="str">
        <x:v>Источник Actions.Action ID</x:v>
      </x:c>
    </x:row>
    <x:row r="1350" ht="36" customHeight="1">
      <x:c r="A1350" s="118" t="n">
        <x:v>1345</x:v>
      </x:c>
      <x:c r="B1350" s="35" t="str">
        <x:v>action</x:v>
      </x:c>
      <x:c r="C1350" s="35" t="str">
        <x:v>gorilla_wall_breaker</x:v>
      </x:c>
      <x:c r="D1350" s="35" t="str">
        <x:v>animal_id</x:v>
      </x:c>
      <x:c r="E1350" s="38" t="str">
        <x:v>string</x:v>
      </x:c>
      <x:c r="F1350" s="56" t="str">
        <x:f>'Actions'!B29</x:f>
        <x:v>gorilla</x:v>
      </x:c>
      <x:c r="G1350" s="38" t="str"/>
      <x:c r="H1350" s="35" t="str">
        <x:v>Actions</x:v>
      </x:c>
      <x:c r="I1350" s="35" t="str">
        <x:v>B29</x:v>
      </x:c>
      <x:c r="J1350" s="85" t="b">
        <x:v>1</x:v>
      </x:c>
      <x:c r="K1350" s="85" t="b">
        <x:v>1</x:v>
      </x:c>
      <x:c r="L1350" s="56" t="str">
        <x:f>'Actions'!BE29</x:f>
        <x:v>OK</x:v>
      </x:c>
      <x:c r="M1350" s="44" t="str">
        <x:v>Источник Actions.Animal ID</x:v>
      </x:c>
    </x:row>
    <x:row r="1351" ht="36" customHeight="1">
      <x:c r="A1351" s="118" t="n">
        <x:v>1346</x:v>
      </x:c>
      <x:c r="B1351" s="35" t="str">
        <x:v>action</x:v>
      </x:c>
      <x:c r="C1351" s="35" t="str">
        <x:v>gorilla_wall_breaker</x:v>
      </x:c>
      <x:c r="D1351" s="35" t="str">
        <x:v>slot_type</x:v>
      </x:c>
      <x:c r="E1351" s="38" t="str">
        <x:v>string</x:v>
      </x:c>
      <x:c r="F1351" s="56" t="str">
        <x:f>'Actions'!D29</x:f>
        <x:v>Special</x:v>
      </x:c>
      <x:c r="G1351" s="38" t="str"/>
      <x:c r="H1351" s="35" t="str">
        <x:v>Actions</x:v>
      </x:c>
      <x:c r="I1351" s="35" t="str">
        <x:v>D29</x:v>
      </x:c>
      <x:c r="J1351" s="85" t="b">
        <x:v>1</x:v>
      </x:c>
      <x:c r="K1351" s="85" t="b">
        <x:v>1</x:v>
      </x:c>
      <x:c r="L1351" s="56" t="str">
        <x:f>'Actions'!BE29</x:f>
        <x:v>OK</x:v>
      </x:c>
      <x:c r="M1351" s="44" t="str">
        <x:v>Источник Actions.Slot Type</x:v>
      </x:c>
    </x:row>
    <x:row r="1352" ht="36" customHeight="1">
      <x:c r="A1352" s="118" t="n">
        <x:v>1347</x:v>
      </x:c>
      <x:c r="B1352" s="35" t="str">
        <x:v>action</x:v>
      </x:c>
      <x:c r="C1352" s="35" t="str">
        <x:v>gorilla_wall_breaker</x:v>
      </x:c>
      <x:c r="D1352" s="35" t="str">
        <x:v>category</x:v>
      </x:c>
      <x:c r="E1352" s="38" t="str">
        <x:v>string</x:v>
      </x:c>
      <x:c r="F1352" s="56" t="str">
        <x:f>'Actions'!E29</x:f>
        <x:v>SignatureWallGrab</x:v>
      </x:c>
      <x:c r="G1352" s="38" t="str"/>
      <x:c r="H1352" s="35" t="str">
        <x:v>Actions</x:v>
      </x:c>
      <x:c r="I1352" s="35" t="str">
        <x:v>E29</x:v>
      </x:c>
      <x:c r="J1352" s="85" t="b">
        <x:v>1</x:v>
      </x:c>
      <x:c r="K1352" s="85" t="b">
        <x:v>1</x:v>
      </x:c>
      <x:c r="L1352" s="56" t="str">
        <x:f>'Actions'!BE29</x:f>
        <x:v>OK</x:v>
      </x:c>
      <x:c r="M1352" s="44" t="str">
        <x:v>Источник Actions.Category</x:v>
      </x:c>
    </x:row>
    <x:row r="1353" ht="36" customHeight="1">
      <x:c r="A1353" s="118" t="n">
        <x:v>1348</x:v>
      </x:c>
      <x:c r="B1353" s="35" t="str">
        <x:v>action</x:v>
      </x:c>
      <x:c r="C1353" s="35" t="str">
        <x:v>gorilla_wall_breaker</x:v>
      </x:c>
      <x:c r="D1353" s="35" t="str">
        <x:v>tags</x:v>
      </x:c>
      <x:c r="E1353" s="38" t="str">
        <x:v>string</x:v>
      </x:c>
      <x:c r="F1353" s="56" t="str">
        <x:f>'Actions'!F29</x:f>
        <x:v>special|signature|grab|wall_impact|finisher|knockdown</x:v>
      </x:c>
      <x:c r="G1353" s="38" t="str"/>
      <x:c r="H1353" s="35" t="str">
        <x:v>Actions</x:v>
      </x:c>
      <x:c r="I1353" s="35" t="str">
        <x:v>F29</x:v>
      </x:c>
      <x:c r="J1353" s="85" t="b">
        <x:v>1</x:v>
      </x:c>
      <x:c r="K1353" s="85" t="b">
        <x:v>1</x:v>
      </x:c>
      <x:c r="L1353" s="56" t="str">
        <x:f>'Actions'!BE29</x:f>
        <x:v>OK</x:v>
      </x:c>
      <x:c r="M1353" s="44" t="str">
        <x:v>Источник Actions.Tags</x:v>
      </x:c>
    </x:row>
    <x:row r="1354" ht="36" customHeight="1">
      <x:c r="A1354" s="118" t="n">
        <x:v>1349</x:v>
      </x:c>
      <x:c r="B1354" s="35" t="str">
        <x:v>action</x:v>
      </x:c>
      <x:c r="C1354" s="35" t="str">
        <x:v>gorilla_wall_breaker</x:v>
      </x:c>
      <x:c r="D1354" s="35" t="str">
        <x:v>base_weight</x:v>
      </x:c>
      <x:c r="E1354" s="38" t="str">
        <x:v>int</x:v>
      </x:c>
      <x:c r="F1354" s="56" t="n">
        <x:f>'Actions'!G29</x:f>
        <x:v>400</x:v>
      </x:c>
      <x:c r="G1354" s="38" t="str"/>
      <x:c r="H1354" s="35" t="str">
        <x:v>Actions</x:v>
      </x:c>
      <x:c r="I1354" s="35" t="str">
        <x:v>G29</x:v>
      </x:c>
      <x:c r="J1354" s="85" t="b">
        <x:v>1</x:v>
      </x:c>
      <x:c r="K1354" s="85" t="b">
        <x:v>1</x:v>
      </x:c>
      <x:c r="L1354" s="56" t="str">
        <x:f>'Actions'!BE29</x:f>
        <x:v>OK</x:v>
      </x:c>
      <x:c r="M1354" s="44" t="str">
        <x:v>Источник Actions.Base Weight</x:v>
      </x:c>
    </x:row>
    <x:row r="1355" ht="36" customHeight="1">
      <x:c r="A1355" s="118" t="n">
        <x:v>1350</x:v>
      </x:c>
      <x:c r="B1355" s="35" t="str">
        <x:v>action</x:v>
      </x:c>
      <x:c r="C1355" s="35" t="str">
        <x:v>gorilla_wall_breaker</x:v>
      </x:c>
      <x:c r="D1355" s="35" t="str">
        <x:v>preferred_range_min</x:v>
      </x:c>
      <x:c r="E1355" s="38" t="str">
        <x:v>int</x:v>
      </x:c>
      <x:c r="F1355" s="56" t="n">
        <x:f>'Actions'!H29</x:f>
        <x:v>0</x:v>
      </x:c>
      <x:c r="G1355" s="38" t="str"/>
      <x:c r="H1355" s="35" t="str">
        <x:v>Actions</x:v>
      </x:c>
      <x:c r="I1355" s="35" t="str">
        <x:v>H29</x:v>
      </x:c>
      <x:c r="J1355" s="85" t="b">
        <x:v>1</x:v>
      </x:c>
      <x:c r="K1355" s="85" t="b">
        <x:v>1</x:v>
      </x:c>
      <x:c r="L1355" s="56" t="str">
        <x:f>'Actions'!BE29</x:f>
        <x:v>OK</x:v>
      </x:c>
      <x:c r="M1355" s="44" t="str">
        <x:v>Источник Actions.Preferred Range Min</x:v>
      </x:c>
    </x:row>
    <x:row r="1356" ht="36" customHeight="1">
      <x:c r="A1356" s="118" t="n">
        <x:v>1351</x:v>
      </x:c>
      <x:c r="B1356" s="35" t="str">
        <x:v>action</x:v>
      </x:c>
      <x:c r="C1356" s="35" t="str">
        <x:v>gorilla_wall_breaker</x:v>
      </x:c>
      <x:c r="D1356" s="35" t="str">
        <x:v>preferred_range_max</x:v>
      </x:c>
      <x:c r="E1356" s="38" t="str">
        <x:v>int</x:v>
      </x:c>
      <x:c r="F1356" s="56" t="n">
        <x:f>'Actions'!I29</x:f>
        <x:v>650</x:v>
      </x:c>
      <x:c r="G1356" s="38" t="str"/>
      <x:c r="H1356" s="35" t="str">
        <x:v>Actions</x:v>
      </x:c>
      <x:c r="I1356" s="35" t="str">
        <x:v>I29</x:v>
      </x:c>
      <x:c r="J1356" s="85" t="b">
        <x:v>1</x:v>
      </x:c>
      <x:c r="K1356" s="85" t="b">
        <x:v>1</x:v>
      </x:c>
      <x:c r="L1356" s="56" t="str">
        <x:f>'Actions'!BE29</x:f>
        <x:v>OK</x:v>
      </x:c>
      <x:c r="M1356" s="44" t="str">
        <x:v>Источник Actions.Preferred Range Max</x:v>
      </x:c>
    </x:row>
    <x:row r="1357" ht="36" customHeight="1">
      <x:c r="A1357" s="118" t="n">
        <x:v>1352</x:v>
      </x:c>
      <x:c r="B1357" s="35" t="str">
        <x:v>action</x:v>
      </x:c>
      <x:c r="C1357" s="35" t="str">
        <x:v>gorilla_wall_breaker</x:v>
      </x:c>
      <x:c r="D1357" s="35" t="str">
        <x:v>hit_range_min</x:v>
      </x:c>
      <x:c r="E1357" s="38" t="str">
        <x:v>int</x:v>
      </x:c>
      <x:c r="F1357" s="56" t="n">
        <x:f>'Actions'!J29</x:f>
        <x:v>0</x:v>
      </x:c>
      <x:c r="G1357" s="38" t="str"/>
      <x:c r="H1357" s="35" t="str">
        <x:v>Actions</x:v>
      </x:c>
      <x:c r="I1357" s="35" t="str">
        <x:v>J29</x:v>
      </x:c>
      <x:c r="J1357" s="85" t="b">
        <x:v>1</x:v>
      </x:c>
      <x:c r="K1357" s="85" t="b">
        <x:v>1</x:v>
      </x:c>
      <x:c r="L1357" s="56" t="str">
        <x:f>'Actions'!BE29</x:f>
        <x:v>OK</x:v>
      </x:c>
      <x:c r="M1357" s="44" t="str">
        <x:v>Источник Actions.Hit Range Min</x:v>
      </x:c>
    </x:row>
    <x:row r="1358" ht="36" customHeight="1">
      <x:c r="A1358" s="118" t="n">
        <x:v>1353</x:v>
      </x:c>
      <x:c r="B1358" s="35" t="str">
        <x:v>action</x:v>
      </x:c>
      <x:c r="C1358" s="35" t="str">
        <x:v>gorilla_wall_breaker</x:v>
      </x:c>
      <x:c r="D1358" s="35" t="str">
        <x:v>hit_range_max</x:v>
      </x:c>
      <x:c r="E1358" s="38" t="str">
        <x:v>int</x:v>
      </x:c>
      <x:c r="F1358" s="56" t="n">
        <x:f>'Actions'!K29</x:f>
        <x:v>700</x:v>
      </x:c>
      <x:c r="G1358" s="38" t="str"/>
      <x:c r="H1358" s="35" t="str">
        <x:v>Actions</x:v>
      </x:c>
      <x:c r="I1358" s="35" t="str">
        <x:v>K29</x:v>
      </x:c>
      <x:c r="J1358" s="85" t="b">
        <x:v>1</x:v>
      </x:c>
      <x:c r="K1358" s="85" t="b">
        <x:v>1</x:v>
      </x:c>
      <x:c r="L1358" s="56" t="str">
        <x:f>'Actions'!BE29</x:f>
        <x:v>OK</x:v>
      </x:c>
      <x:c r="M1358" s="44" t="str">
        <x:v>Источник Actions.Hit Range Max</x:v>
      </x:c>
    </x:row>
    <x:row r="1359" ht="36" customHeight="1">
      <x:c r="A1359" s="118" t="n">
        <x:v>1354</x:v>
      </x:c>
      <x:c r="B1359" s="35" t="str">
        <x:v>action</x:v>
      </x:c>
      <x:c r="C1359" s="35" t="str">
        <x:v>gorilla_wall_breaker</x:v>
      </x:c>
      <x:c r="D1359" s="35" t="str">
        <x:v>energy_cost</x:v>
      </x:c>
      <x:c r="E1359" s="38" t="str">
        <x:v>int</x:v>
      </x:c>
      <x:c r="F1359" s="56" t="n">
        <x:f>'Actions'!L29</x:f>
        <x:v>320</x:v>
      </x:c>
      <x:c r="G1359" s="38" t="str"/>
      <x:c r="H1359" s="35" t="str">
        <x:v>Actions</x:v>
      </x:c>
      <x:c r="I1359" s="35" t="str">
        <x:v>L29</x:v>
      </x:c>
      <x:c r="J1359" s="85" t="b">
        <x:v>1</x:v>
      </x:c>
      <x:c r="K1359" s="85" t="b">
        <x:v>1</x:v>
      </x:c>
      <x:c r="L1359" s="56" t="str">
        <x:f>'Actions'!BE29</x:f>
        <x:v>OK</x:v>
      </x:c>
      <x:c r="M1359" s="44" t="str">
        <x:v>Источник Actions.Energy Cost</x:v>
      </x:c>
    </x:row>
    <x:row r="1360" ht="36" customHeight="1">
      <x:c r="A1360" s="118" t="n">
        <x:v>1355</x:v>
      </x:c>
      <x:c r="B1360" s="35" t="str">
        <x:v>action</x:v>
      </x:c>
      <x:c r="C1360" s="35" t="str">
        <x:v>gorilla_wall_breaker</x:v>
      </x:c>
      <x:c r="D1360" s="35" t="str">
        <x:v>resource_cost</x:v>
      </x:c>
      <x:c r="E1360" s="38" t="str">
        <x:v>int</x:v>
      </x:c>
      <x:c r="F1360" s="56" t="n">
        <x:f>'Actions'!M29</x:f>
        <x:v>650</x:v>
      </x:c>
      <x:c r="G1360" s="38" t="str"/>
      <x:c r="H1360" s="35" t="str">
        <x:v>Actions</x:v>
      </x:c>
      <x:c r="I1360" s="35" t="str">
        <x:v>M29</x:v>
      </x:c>
      <x:c r="J1360" s="85" t="b">
        <x:v>1</x:v>
      </x:c>
      <x:c r="K1360" s="85" t="b">
        <x:v>1</x:v>
      </x:c>
      <x:c r="L1360" s="56" t="str">
        <x:f>'Actions'!BE29</x:f>
        <x:v>OK</x:v>
      </x:c>
      <x:c r="M1360" s="44" t="str">
        <x:v>Источник Actions.Resource Cost</x:v>
      </x:c>
    </x:row>
    <x:row r="1361" ht="36" customHeight="1">
      <x:c r="A1361" s="118" t="n">
        <x:v>1356</x:v>
      </x:c>
      <x:c r="B1361" s="35" t="str">
        <x:v>action</x:v>
      </x:c>
      <x:c r="C1361" s="35" t="str">
        <x:v>gorilla_wall_breaker</x:v>
      </x:c>
      <x:c r="D1361" s="35" t="str">
        <x:v>base_damage</x:v>
      </x:c>
      <x:c r="E1361" s="38" t="str">
        <x:v>int</x:v>
      </x:c>
      <x:c r="F1361" s="56" t="n">
        <x:f>'Actions'!N29</x:f>
        <x:v>75</x:v>
      </x:c>
      <x:c r="G1361" s="38" t="str"/>
      <x:c r="H1361" s="35" t="str">
        <x:v>Actions</x:v>
      </x:c>
      <x:c r="I1361" s="35" t="str">
        <x:v>N29</x:v>
      </x:c>
      <x:c r="J1361" s="85" t="b">
        <x:v>1</x:v>
      </x:c>
      <x:c r="K1361" s="85" t="b">
        <x:v>1</x:v>
      </x:c>
      <x:c r="L1361" s="56" t="str">
        <x:f>'Actions'!BE29</x:f>
        <x:v>OK</x:v>
      </x:c>
      <x:c r="M1361" s="44" t="str">
        <x:v>Источник Actions.Base Damage / hit</x:v>
      </x:c>
    </x:row>
    <x:row r="1362" ht="36" customHeight="1">
      <x:c r="A1362" s="118" t="n">
        <x:v>1357</x:v>
      </x:c>
      <x:c r="B1362" s="35" t="str">
        <x:v>action</x:v>
      </x:c>
      <x:c r="C1362" s="35" t="str">
        <x:v>gorilla_wall_breaker</x:v>
      </x:c>
      <x:c r="D1362" s="35" t="str">
        <x:v>power_ratio_fp</x:v>
      </x:c>
      <x:c r="E1362" s="38" t="str">
        <x:v>int</x:v>
      </x:c>
      <x:c r="F1362" s="56" t="n">
        <x:f>'Actions'!O29</x:f>
        <x:v>800</x:v>
      </x:c>
      <x:c r="G1362" s="38" t="str"/>
      <x:c r="H1362" s="35" t="str">
        <x:v>Actions</x:v>
      </x:c>
      <x:c r="I1362" s="35" t="str">
        <x:v>O29</x:v>
      </x:c>
      <x:c r="J1362" s="85" t="b">
        <x:v>1</x:v>
      </x:c>
      <x:c r="K1362" s="85" t="b">
        <x:v>1</x:v>
      </x:c>
      <x:c r="L1362" s="56" t="str">
        <x:f>'Actions'!BE29</x:f>
        <x:v>OK</x:v>
      </x:c>
      <x:c r="M1362" s="44" t="str">
        <x:v>Источник Actions.Power Ratio FP</x:v>
      </x:c>
    </x:row>
    <x:row r="1363" ht="36" customHeight="1">
      <x:c r="A1363" s="118" t="n">
        <x:v>1358</x:v>
      </x:c>
      <x:c r="B1363" s="35" t="str">
        <x:v>action</x:v>
      </x:c>
      <x:c r="C1363" s="35" t="str">
        <x:v>gorilla_wall_breaker</x:v>
      </x:c>
      <x:c r="D1363" s="35" t="str">
        <x:v>min_damage</x:v>
      </x:c>
      <x:c r="E1363" s="38" t="str">
        <x:v>int</x:v>
      </x:c>
      <x:c r="F1363" s="56" t="n">
        <x:f>'Actions'!P29</x:f>
        <x:v>28</x:v>
      </x:c>
      <x:c r="G1363" s="38" t="str"/>
      <x:c r="H1363" s="35" t="str">
        <x:v>Actions</x:v>
      </x:c>
      <x:c r="I1363" s="35" t="str">
        <x:v>P29</x:v>
      </x:c>
      <x:c r="J1363" s="85" t="b">
        <x:v>1</x:v>
      </x:c>
      <x:c r="K1363" s="85" t="b">
        <x:v>1</x:v>
      </x:c>
      <x:c r="L1363" s="56" t="str">
        <x:f>'Actions'!BE29</x:f>
        <x:v>OK</x:v>
      </x:c>
      <x:c r="M1363" s="44" t="str">
        <x:v>Источник Actions.Min Damage</x:v>
      </x:c>
    </x:row>
    <x:row r="1364" ht="36" customHeight="1">
      <x:c r="A1364" s="118" t="n">
        <x:v>1359</x:v>
      </x:c>
      <x:c r="B1364" s="35" t="str">
        <x:v>action</x:v>
      </x:c>
      <x:c r="C1364" s="35" t="str">
        <x:v>gorilla_wall_breaker</x:v>
      </x:c>
      <x:c r="D1364" s="35" t="str">
        <x:v>chip_min</x:v>
      </x:c>
      <x:c r="E1364" s="38" t="str">
        <x:v>int</x:v>
      </x:c>
      <x:c r="F1364" s="56" t="n">
        <x:f>'Actions'!Q29</x:f>
        <x:v>0</x:v>
      </x:c>
      <x:c r="G1364" s="38" t="str"/>
      <x:c r="H1364" s="35" t="str">
        <x:v>Actions</x:v>
      </x:c>
      <x:c r="I1364" s="35" t="str">
        <x:v>Q29</x:v>
      </x:c>
      <x:c r="J1364" s="85" t="b">
        <x:v>1</x:v>
      </x:c>
      <x:c r="K1364" s="85" t="b">
        <x:v>1</x:v>
      </x:c>
      <x:c r="L1364" s="56" t="str">
        <x:f>'Actions'!BE29</x:f>
        <x:v>OK</x:v>
      </x:c>
      <x:c r="M1364" s="44" t="str">
        <x:v>Источник Actions.Chip Min</x:v>
      </x:c>
    </x:row>
    <x:row r="1365" ht="36" customHeight="1">
      <x:c r="A1365" s="118" t="n">
        <x:v>1360</x:v>
      </x:c>
      <x:c r="B1365" s="35" t="str">
        <x:v>action</x:v>
      </x:c>
      <x:c r="C1365" s="35" t="str">
        <x:v>gorilla_wall_breaker</x:v>
      </x:c>
      <x:c r="D1365" s="35" t="str">
        <x:v>startup_base_ticks</x:v>
      </x:c>
      <x:c r="E1365" s="38" t="str">
        <x:v>int</x:v>
      </x:c>
      <x:c r="F1365" s="56" t="n">
        <x:f>'Actions'!R29</x:f>
        <x:v>8</x:v>
      </x:c>
      <x:c r="G1365" s="38" t="str"/>
      <x:c r="H1365" s="35" t="str">
        <x:v>Actions</x:v>
      </x:c>
      <x:c r="I1365" s="35" t="str">
        <x:v>R29</x:v>
      </x:c>
      <x:c r="J1365" s="85" t="b">
        <x:v>1</x:v>
      </x:c>
      <x:c r="K1365" s="85" t="b">
        <x:v>1</x:v>
      </x:c>
      <x:c r="L1365" s="56" t="str">
        <x:f>'Actions'!BE29</x:f>
        <x:v>OK</x:v>
      </x:c>
      <x:c r="M1365" s="44" t="str">
        <x:v>Источник Actions.Startup Base Ticks</x:v>
      </x:c>
    </x:row>
    <x:row r="1366" ht="36" customHeight="1">
      <x:c r="A1366" s="118" t="n">
        <x:v>1361</x:v>
      </x:c>
      <x:c r="B1366" s="35" t="str">
        <x:v>action</x:v>
      </x:c>
      <x:c r="C1366" s="35" t="str">
        <x:v>gorilla_wall_breaker</x:v>
      </x:c>
      <x:c r="D1366" s="35" t="str">
        <x:v>startup_min_ticks</x:v>
      </x:c>
      <x:c r="E1366" s="38" t="str">
        <x:v>int</x:v>
      </x:c>
      <x:c r="F1366" s="56" t="n">
        <x:f>'Actions'!S29</x:f>
        <x:v>5</x:v>
      </x:c>
      <x:c r="G1366" s="38" t="str"/>
      <x:c r="H1366" s="35" t="str">
        <x:v>Actions</x:v>
      </x:c>
      <x:c r="I1366" s="35" t="str">
        <x:v>S29</x:v>
      </x:c>
      <x:c r="J1366" s="85" t="b">
        <x:v>1</x:v>
      </x:c>
      <x:c r="K1366" s="85" t="b">
        <x:v>1</x:v>
      </x:c>
      <x:c r="L1366" s="56" t="str">
        <x:f>'Actions'!BE29</x:f>
        <x:v>OK</x:v>
      </x:c>
      <x:c r="M1366" s="44" t="str">
        <x:v>Источник Actions.Startup Min Ticks</x:v>
      </x:c>
    </x:row>
    <x:row r="1367" ht="36" customHeight="1">
      <x:c r="A1367" s="118" t="n">
        <x:v>1362</x:v>
      </x:c>
      <x:c r="B1367" s="35" t="str">
        <x:v>action</x:v>
      </x:c>
      <x:c r="C1367" s="35" t="str">
        <x:v>gorilla_wall_breaker</x:v>
      </x:c>
      <x:c r="D1367" s="35" t="str">
        <x:v>startup_max_ticks</x:v>
      </x:c>
      <x:c r="E1367" s="38" t="str">
        <x:v>int</x:v>
      </x:c>
      <x:c r="F1367" s="56" t="n">
        <x:f>'Actions'!T29</x:f>
        <x:v>12</x:v>
      </x:c>
      <x:c r="G1367" s="38" t="str"/>
      <x:c r="H1367" s="35" t="str">
        <x:v>Actions</x:v>
      </x:c>
      <x:c r="I1367" s="35" t="str">
        <x:v>T29</x:v>
      </x:c>
      <x:c r="J1367" s="85" t="b">
        <x:v>1</x:v>
      </x:c>
      <x:c r="K1367" s="85" t="b">
        <x:v>1</x:v>
      </x:c>
      <x:c r="L1367" s="56" t="str">
        <x:f>'Actions'!BE29</x:f>
        <x:v>OK</x:v>
      </x:c>
      <x:c r="M1367" s="44" t="str">
        <x:v>Источник Actions.Startup Max Ticks</x:v>
      </x:c>
    </x:row>
    <x:row r="1368" ht="36" customHeight="1">
      <x:c r="A1368" s="118" t="n">
        <x:v>1363</x:v>
      </x:c>
      <x:c r="B1368" s="35" t="str">
        <x:v>action</x:v>
      </x:c>
      <x:c r="C1368" s="35" t="str">
        <x:v>gorilla_wall_breaker</x:v>
      </x:c>
      <x:c r="D1368" s="35" t="str">
        <x:v>active_ticks</x:v>
      </x:c>
      <x:c r="E1368" s="38" t="str">
        <x:v>int</x:v>
      </x:c>
      <x:c r="F1368" s="56" t="n">
        <x:f>'Actions'!U29</x:f>
        <x:v>4</x:v>
      </x:c>
      <x:c r="G1368" s="38" t="str"/>
      <x:c r="H1368" s="35" t="str">
        <x:v>Actions</x:v>
      </x:c>
      <x:c r="I1368" s="35" t="str">
        <x:v>U29</x:v>
      </x:c>
      <x:c r="J1368" s="85" t="b">
        <x:v>1</x:v>
      </x:c>
      <x:c r="K1368" s="85" t="b">
        <x:v>1</x:v>
      </x:c>
      <x:c r="L1368" s="56" t="str">
        <x:f>'Actions'!BE29</x:f>
        <x:v>OK</x:v>
      </x:c>
      <x:c r="M1368" s="44" t="str">
        <x:v>Источник Actions.Active Ticks</x:v>
      </x:c>
    </x:row>
    <x:row r="1369" ht="36" customHeight="1">
      <x:c r="A1369" s="118" t="n">
        <x:v>1364</x:v>
      </x:c>
      <x:c r="B1369" s="35" t="str">
        <x:v>action</x:v>
      </x:c>
      <x:c r="C1369" s="35" t="str">
        <x:v>gorilla_wall_breaker</x:v>
      </x:c>
      <x:c r="D1369" s="35" t="str">
        <x:v>hit_schedule</x:v>
      </x:c>
      <x:c r="E1369" s="38" t="str">
        <x:v>string</x:v>
      </x:c>
      <x:c r="F1369" s="56" t="str">
        <x:f>'Actions'!V29</x:f>
        <x:v>grab:0|wall:3</x:v>
      </x:c>
      <x:c r="G1369" s="38" t="str"/>
      <x:c r="H1369" s="35" t="str">
        <x:v>Actions</x:v>
      </x:c>
      <x:c r="I1369" s="35" t="str">
        <x:v>V29</x:v>
      </x:c>
      <x:c r="J1369" s="85" t="b">
        <x:v>1</x:v>
      </x:c>
      <x:c r="K1369" s="85" t="b">
        <x:v>1</x:v>
      </x:c>
      <x:c r="L1369" s="56" t="str">
        <x:f>'Actions'!BE29</x:f>
        <x:v>OK</x:v>
      </x:c>
      <x:c r="M1369" s="44" t="str">
        <x:v>Источник Actions.Hit Schedule</x:v>
      </x:c>
    </x:row>
    <x:row r="1370" ht="36" customHeight="1">
      <x:c r="A1370" s="118" t="n">
        <x:v>1365</x:v>
      </x:c>
      <x:c r="B1370" s="35" t="str">
        <x:v>action</x:v>
      </x:c>
      <x:c r="C1370" s="35" t="str">
        <x:v>gorilla_wall_breaker</x:v>
      </x:c>
      <x:c r="D1370" s="35" t="str">
        <x:v>hit_count</x:v>
      </x:c>
      <x:c r="E1370" s="38" t="str">
        <x:v>int</x:v>
      </x:c>
      <x:c r="F1370" s="56" t="n">
        <x:f>'Actions'!W29</x:f>
        <x:v>1</x:v>
      </x:c>
      <x:c r="G1370" s="38" t="str"/>
      <x:c r="H1370" s="35" t="str">
        <x:v>Actions</x:v>
      </x:c>
      <x:c r="I1370" s="35" t="str">
        <x:v>W29</x:v>
      </x:c>
      <x:c r="J1370" s="85" t="b">
        <x:v>1</x:v>
      </x:c>
      <x:c r="K1370" s="85" t="b">
        <x:v>1</x:v>
      </x:c>
      <x:c r="L1370" s="56" t="str">
        <x:f>'Actions'!BE29</x:f>
        <x:v>OK</x:v>
      </x:c>
      <x:c r="M1370" s="44" t="str">
        <x:v>Источник Actions.Hit Count</x:v>
      </x:c>
    </x:row>
    <x:row r="1371" ht="36" customHeight="1">
      <x:c r="A1371" s="118" t="n">
        <x:v>1366</x:v>
      </x:c>
      <x:c r="B1371" s="35" t="str">
        <x:v>action</x:v>
      </x:c>
      <x:c r="C1371" s="35" t="str">
        <x:v>gorilla_wall_breaker</x:v>
      </x:c>
      <x:c r="D1371" s="35" t="str">
        <x:v>recovery_base_ticks</x:v>
      </x:c>
      <x:c r="E1371" s="38" t="str">
        <x:v>int</x:v>
      </x:c>
      <x:c r="F1371" s="56" t="n">
        <x:f>'Actions'!X29</x:f>
        <x:v>20</x:v>
      </x:c>
      <x:c r="G1371" s="38" t="str"/>
      <x:c r="H1371" s="35" t="str">
        <x:v>Actions</x:v>
      </x:c>
      <x:c r="I1371" s="35" t="str">
        <x:v>X29</x:v>
      </x:c>
      <x:c r="J1371" s="85" t="b">
        <x:v>1</x:v>
      </x:c>
      <x:c r="K1371" s="85" t="b">
        <x:v>1</x:v>
      </x:c>
      <x:c r="L1371" s="56" t="str">
        <x:f>'Actions'!BE29</x:f>
        <x:v>OK</x:v>
      </x:c>
      <x:c r="M1371" s="44" t="str">
        <x:v>Источник Actions.Recovery Base Ticks</x:v>
      </x:c>
    </x:row>
    <x:row r="1372" ht="36" customHeight="1">
      <x:c r="A1372" s="118" t="n">
        <x:v>1367</x:v>
      </x:c>
      <x:c r="B1372" s="35" t="str">
        <x:v>action</x:v>
      </x:c>
      <x:c r="C1372" s="35" t="str">
        <x:v>gorilla_wall_breaker</x:v>
      </x:c>
      <x:c r="D1372" s="35" t="str">
        <x:v>recovery_min_ticks</x:v>
      </x:c>
      <x:c r="E1372" s="38" t="str">
        <x:v>int</x:v>
      </x:c>
      <x:c r="F1372" s="56" t="n">
        <x:f>'Actions'!Y29</x:f>
        <x:v>14</x:v>
      </x:c>
      <x:c r="G1372" s="38" t="str"/>
      <x:c r="H1372" s="35" t="str">
        <x:v>Actions</x:v>
      </x:c>
      <x:c r="I1372" s="35" t="str">
        <x:v>Y29</x:v>
      </x:c>
      <x:c r="J1372" s="85" t="b">
        <x:v>1</x:v>
      </x:c>
      <x:c r="K1372" s="85" t="b">
        <x:v>1</x:v>
      </x:c>
      <x:c r="L1372" s="56" t="str">
        <x:f>'Actions'!BE29</x:f>
        <x:v>OK</x:v>
      </x:c>
      <x:c r="M1372" s="44" t="str">
        <x:v>Источник Actions.Recovery Min Ticks</x:v>
      </x:c>
    </x:row>
    <x:row r="1373" ht="36" customHeight="1">
      <x:c r="A1373" s="118" t="n">
        <x:v>1368</x:v>
      </x:c>
      <x:c r="B1373" s="35" t="str">
        <x:v>action</x:v>
      </x:c>
      <x:c r="C1373" s="35" t="str">
        <x:v>gorilla_wall_breaker</x:v>
      </x:c>
      <x:c r="D1373" s="35" t="str">
        <x:v>recovery_max_ticks</x:v>
      </x:c>
      <x:c r="E1373" s="38" t="str">
        <x:v>int</x:v>
      </x:c>
      <x:c r="F1373" s="56" t="n">
        <x:f>'Actions'!Z29</x:f>
        <x:v>30</x:v>
      </x:c>
      <x:c r="G1373" s="38" t="str"/>
      <x:c r="H1373" s="35" t="str">
        <x:v>Actions</x:v>
      </x:c>
      <x:c r="I1373" s="35" t="str">
        <x:v>Z29</x:v>
      </x:c>
      <x:c r="J1373" s="85" t="b">
        <x:v>1</x:v>
      </x:c>
      <x:c r="K1373" s="85" t="b">
        <x:v>1</x:v>
      </x:c>
      <x:c r="L1373" s="56" t="str">
        <x:f>'Actions'!BE29</x:f>
        <x:v>OK</x:v>
      </x:c>
      <x:c r="M1373" s="44" t="str">
        <x:v>Источник Actions.Recovery Max Ticks</x:v>
      </x:c>
    </x:row>
    <x:row r="1374" ht="36" customHeight="1">
      <x:c r="A1374" s="118" t="n">
        <x:v>1369</x:v>
      </x:c>
      <x:c r="B1374" s="35" t="str">
        <x:v>action</x:v>
      </x:c>
      <x:c r="C1374" s="35" t="str">
        <x:v>gorilla_wall_breaker</x:v>
      </x:c>
      <x:c r="D1374" s="35" t="str">
        <x:v>cooldown_ticks</x:v>
      </x:c>
      <x:c r="E1374" s="38" t="str">
        <x:v>int</x:v>
      </x:c>
      <x:c r="F1374" s="56" t="n">
        <x:f>'Actions'!AA29</x:f>
        <x:v>100</x:v>
      </x:c>
      <x:c r="G1374" s="38" t="str"/>
      <x:c r="H1374" s="35" t="str">
        <x:v>Actions</x:v>
      </x:c>
      <x:c r="I1374" s="35" t="str">
        <x:v>AA29</x:v>
      </x:c>
      <x:c r="J1374" s="85" t="b">
        <x:v>1</x:v>
      </x:c>
      <x:c r="K1374" s="85" t="b">
        <x:v>1</x:v>
      </x:c>
      <x:c r="L1374" s="56" t="str">
        <x:f>'Actions'!BE29</x:f>
        <x:v>OK</x:v>
      </x:c>
      <x:c r="M1374" s="44" t="str">
        <x:v>Источник Actions.Cooldown Ticks</x:v>
      </x:c>
    </x:row>
    <x:row r="1375" ht="36" customHeight="1">
      <x:c r="A1375" s="118" t="n">
        <x:v>1370</x:v>
      </x:c>
      <x:c r="B1375" s="35" t="str">
        <x:v>action</x:v>
      </x:c>
      <x:c r="C1375" s="35" t="str">
        <x:v>gorilla_wall_breaker</x:v>
      </x:c>
      <x:c r="D1375" s="35" t="str">
        <x:v>action_priority</x:v>
      </x:c>
      <x:c r="E1375" s="38" t="str">
        <x:v>int</x:v>
      </x:c>
      <x:c r="F1375" s="56" t="n">
        <x:f>'Actions'!AB29</x:f>
        <x:v>78</x:v>
      </x:c>
      <x:c r="G1375" s="38" t="str"/>
      <x:c r="H1375" s="35" t="str">
        <x:v>Actions</x:v>
      </x:c>
      <x:c r="I1375" s="35" t="str">
        <x:v>AB29</x:v>
      </x:c>
      <x:c r="J1375" s="85" t="b">
        <x:v>1</x:v>
      </x:c>
      <x:c r="K1375" s="85" t="b">
        <x:v>1</x:v>
      </x:c>
      <x:c r="L1375" s="56" t="str">
        <x:f>'Actions'!BE29</x:f>
        <x:v>OK</x:v>
      </x:c>
      <x:c r="M1375" s="44" t="str">
        <x:v>Источник Actions.Action Priority</x:v>
      </x:c>
    </x:row>
    <x:row r="1376" ht="36" customHeight="1">
      <x:c r="A1376" s="118" t="n">
        <x:v>1371</x:v>
      </x:c>
      <x:c r="B1376" s="35" t="str">
        <x:v>action</x:v>
      </x:c>
      <x:c r="C1376" s="35" t="str">
        <x:v>gorilla_wall_breaker</x:v>
      </x:c>
      <x:c r="D1376" s="35" t="str">
        <x:v>clash_priority</x:v>
      </x:c>
      <x:c r="E1376" s="38" t="str">
        <x:v>int</x:v>
      </x:c>
      <x:c r="F1376" s="56" t="n">
        <x:f>'Actions'!AC29</x:f>
        <x:v>0</x:v>
      </x:c>
      <x:c r="G1376" s="38" t="str"/>
      <x:c r="H1376" s="35" t="str">
        <x:v>Actions</x:v>
      </x:c>
      <x:c r="I1376" s="35" t="str">
        <x:v>AC29</x:v>
      </x:c>
      <x:c r="J1376" s="85" t="b">
        <x:v>1</x:v>
      </x:c>
      <x:c r="K1376" s="85" t="b">
        <x:v>1</x:v>
      </x:c>
      <x:c r="L1376" s="56" t="str">
        <x:f>'Actions'!BE29</x:f>
        <x:v>OK</x:v>
      </x:c>
      <x:c r="M1376" s="44" t="str">
        <x:v>Источник Actions.Clash Priority</x:v>
      </x:c>
    </x:row>
    <x:row r="1377" ht="36" customHeight="1">
      <x:c r="A1377" s="118" t="n">
        <x:v>1372</x:v>
      </x:c>
      <x:c r="B1377" s="35" t="str">
        <x:v>action</x:v>
      </x:c>
      <x:c r="C1377" s="35" t="str">
        <x:v>gorilla_wall_breaker</x:v>
      </x:c>
      <x:c r="D1377" s="35" t="str">
        <x:v>grab_priority</x:v>
      </x:c>
      <x:c r="E1377" s="38" t="str">
        <x:v>int</x:v>
      </x:c>
      <x:c r="F1377" s="56" t="n">
        <x:f>'Actions'!AD29</x:f>
        <x:v>82</x:v>
      </x:c>
      <x:c r="G1377" s="38" t="str"/>
      <x:c r="H1377" s="35" t="str">
        <x:v>Actions</x:v>
      </x:c>
      <x:c r="I1377" s="35" t="str">
        <x:v>AD29</x:v>
      </x:c>
      <x:c r="J1377" s="85" t="b">
        <x:v>1</x:v>
      </x:c>
      <x:c r="K1377" s="85" t="b">
        <x:v>1</x:v>
      </x:c>
      <x:c r="L1377" s="56" t="str">
        <x:f>'Actions'!BE29</x:f>
        <x:v>OK</x:v>
      </x:c>
      <x:c r="M1377" s="44" t="str">
        <x:v>Источник Actions.Grab Priority</x:v>
      </x:c>
    </x:row>
    <x:row r="1378" ht="36" customHeight="1">
      <x:c r="A1378" s="118" t="n">
        <x:v>1373</x:v>
      </x:c>
      <x:c r="B1378" s="35" t="str">
        <x:v>action</x:v>
      </x:c>
      <x:c r="C1378" s="35" t="str">
        <x:v>gorilla_wall_breaker</x:v>
      </x:c>
      <x:c r="D1378" s="35" t="str">
        <x:v>resolution_priority</x:v>
      </x:c>
      <x:c r="E1378" s="38" t="str">
        <x:v>int</x:v>
      </x:c>
      <x:c r="F1378" s="56" t="n">
        <x:f>'Actions'!AE29</x:f>
        <x:v>82</x:v>
      </x:c>
      <x:c r="G1378" s="38" t="str"/>
      <x:c r="H1378" s="35" t="str">
        <x:v>Actions</x:v>
      </x:c>
      <x:c r="I1378" s="35" t="str">
        <x:v>AE29</x:v>
      </x:c>
      <x:c r="J1378" s="85" t="b">
        <x:v>1</x:v>
      </x:c>
      <x:c r="K1378" s="85" t="b">
        <x:v>1</x:v>
      </x:c>
      <x:c r="L1378" s="56" t="str">
        <x:f>'Actions'!BE29</x:f>
        <x:v>OK</x:v>
      </x:c>
      <x:c r="M1378" s="44" t="str">
        <x:v>Источник Actions.Resolution Priority</x:v>
      </x:c>
    </x:row>
    <x:row r="1379" ht="36" customHeight="1">
      <x:c r="A1379" s="118" t="n">
        <x:v>1374</x:v>
      </x:c>
      <x:c r="B1379" s="35" t="str">
        <x:v>action</x:v>
      </x:c>
      <x:c r="C1379" s="35" t="str">
        <x:v>gorilla_wall_breaker</x:v>
      </x:c>
      <x:c r="D1379" s="35" t="str">
        <x:v>interrupt_profile</x:v>
      </x:c>
      <x:c r="E1379" s="38" t="str">
        <x:v>string</x:v>
      </x:c>
      <x:c r="F1379" s="56" t="str">
        <x:f>'Actions'!AF29</x:f>
        <x:v>Committed</x:v>
      </x:c>
      <x:c r="G1379" s="38" t="str"/>
      <x:c r="H1379" s="35" t="str">
        <x:v>Actions</x:v>
      </x:c>
      <x:c r="I1379" s="35" t="str">
        <x:v>AF29</x:v>
      </x:c>
      <x:c r="J1379" s="85" t="b">
        <x:v>1</x:v>
      </x:c>
      <x:c r="K1379" s="85" t="b">
        <x:v>1</x:v>
      </x:c>
      <x:c r="L1379" s="56" t="str">
        <x:f>'Actions'!BE29</x:f>
        <x:v>OK</x:v>
      </x:c>
      <x:c r="M1379" s="44" t="str">
        <x:v>Источник Actions.Interrupt Profile</x:v>
      </x:c>
    </x:row>
    <x:row r="1380" ht="36" customHeight="1">
      <x:c r="A1380" s="118" t="n">
        <x:v>1375</x:v>
      </x:c>
      <x:c r="B1380" s="35" t="str">
        <x:v>action</x:v>
      </x:c>
      <x:c r="C1380" s="35" t="str">
        <x:v>gorilla_wall_breaker</x:v>
      </x:c>
      <x:c r="D1380" s="35" t="str">
        <x:v>blockable</x:v>
      </x:c>
      <x:c r="E1380" s="38" t="str">
        <x:v>bool</x:v>
      </x:c>
      <x:c r="F1380" s="56" t="b">
        <x:f>'Actions'!AG29</x:f>
        <x:v>0</x:v>
      </x:c>
      <x:c r="G1380" s="38" t="str"/>
      <x:c r="H1380" s="35" t="str">
        <x:v>Actions</x:v>
      </x:c>
      <x:c r="I1380" s="35" t="str">
        <x:v>AG29</x:v>
      </x:c>
      <x:c r="J1380" s="85" t="b">
        <x:v>1</x:v>
      </x:c>
      <x:c r="K1380" s="85" t="b">
        <x:v>1</x:v>
      </x:c>
      <x:c r="L1380" s="56" t="str">
        <x:f>'Actions'!BE29</x:f>
        <x:v>OK</x:v>
      </x:c>
      <x:c r="M1380" s="44" t="str">
        <x:v>Источник Actions.Blockable</x:v>
      </x:c>
    </x:row>
    <x:row r="1381" ht="36" customHeight="1">
      <x:c r="A1381" s="118" t="n">
        <x:v>1376</x:v>
      </x:c>
      <x:c r="B1381" s="35" t="str">
        <x:v>action</x:v>
      </x:c>
      <x:c r="C1381" s="35" t="str">
        <x:v>gorilla_wall_breaker</x:v>
      </x:c>
      <x:c r="D1381" s="35" t="str">
        <x:v>dodgeable</x:v>
      </x:c>
      <x:c r="E1381" s="38" t="str">
        <x:v>bool</x:v>
      </x:c>
      <x:c r="F1381" s="56" t="b">
        <x:f>'Actions'!AH29</x:f>
        <x:v>0</x:v>
      </x:c>
      <x:c r="G1381" s="38" t="str"/>
      <x:c r="H1381" s="35" t="str">
        <x:v>Actions</x:v>
      </x:c>
      <x:c r="I1381" s="35" t="str">
        <x:v>AH29</x:v>
      </x:c>
      <x:c r="J1381" s="85" t="b">
        <x:v>1</x:v>
      </x:c>
      <x:c r="K1381" s="85" t="b">
        <x:v>1</x:v>
      </x:c>
      <x:c r="L1381" s="56" t="str">
        <x:f>'Actions'!BE29</x:f>
        <x:v>OK</x:v>
      </x:c>
      <x:c r="M1381" s="44" t="str">
        <x:v>Источник Actions.Dodgeable</x:v>
      </x:c>
    </x:row>
    <x:row r="1382" ht="36" customHeight="1">
      <x:c r="A1382" s="118" t="n">
        <x:v>1377</x:v>
      </x:c>
      <x:c r="B1382" s="35" t="str">
        <x:v>action</x:v>
      </x:c>
      <x:c r="C1382" s="35" t="str">
        <x:v>gorilla_wall_breaker</x:v>
      </x:c>
      <x:c r="D1382" s="35" t="str">
        <x:v>undodgeable</x:v>
      </x:c>
      <x:c r="E1382" s="38" t="str">
        <x:v>bool</x:v>
      </x:c>
      <x:c r="F1382" s="56" t="b">
        <x:f>'Actions'!AI29</x:f>
        <x:v>0</x:v>
      </x:c>
      <x:c r="G1382" s="38" t="str"/>
      <x:c r="H1382" s="35" t="str">
        <x:v>Actions</x:v>
      </x:c>
      <x:c r="I1382" s="35" t="str">
        <x:v>AI29</x:v>
      </x:c>
      <x:c r="J1382" s="85" t="b">
        <x:v>1</x:v>
      </x:c>
      <x:c r="K1382" s="85" t="b">
        <x:v>1</x:v>
      </x:c>
      <x:c r="L1382" s="56" t="str">
        <x:f>'Actions'!BE29</x:f>
        <x:v>OK</x:v>
      </x:c>
      <x:c r="M1382" s="44" t="str">
        <x:v>Источник Actions.Undodgeable</x:v>
      </x:c>
    </x:row>
    <x:row r="1383" ht="36" customHeight="1">
      <x:c r="A1383" s="118" t="n">
        <x:v>1378</x:v>
      </x:c>
      <x:c r="B1383" s="35" t="str">
        <x:v>action</x:v>
      </x:c>
      <x:c r="C1383" s="35" t="str">
        <x:v>gorilla_wall_breaker</x:v>
      </x:c>
      <x:c r="D1383" s="35" t="str">
        <x:v>wall_impact</x:v>
      </x:c>
      <x:c r="E1383" s="38" t="str">
        <x:v>bool</x:v>
      </x:c>
      <x:c r="F1383" s="56" t="b">
        <x:f>'Actions'!AJ29</x:f>
        <x:v>1</x:v>
      </x:c>
      <x:c r="G1383" s="38" t="str"/>
      <x:c r="H1383" s="35" t="str">
        <x:v>Actions</x:v>
      </x:c>
      <x:c r="I1383" s="35" t="str">
        <x:v>AJ29</x:v>
      </x:c>
      <x:c r="J1383" s="85" t="b">
        <x:v>1</x:v>
      </x:c>
      <x:c r="K1383" s="85" t="b">
        <x:v>1</x:v>
      </x:c>
      <x:c r="L1383" s="56" t="str">
        <x:f>'Actions'!BE29</x:f>
        <x:v>OK</x:v>
      </x:c>
      <x:c r="M1383" s="44" t="str">
        <x:v>Источник Actions.Wall Impact</x:v>
      </x:c>
    </x:row>
    <x:row r="1384" ht="36" customHeight="1">
      <x:c r="A1384" s="118" t="n">
        <x:v>1379</x:v>
      </x:c>
      <x:c r="B1384" s="35" t="str">
        <x:v>action</x:v>
      </x:c>
      <x:c r="C1384" s="35" t="str">
        <x:v>gorilla_wall_breaker</x:v>
      </x:c>
      <x:c r="D1384" s="35" t="str">
        <x:v>track_target</x:v>
      </x:c>
      <x:c r="E1384" s="38" t="str">
        <x:v>bool</x:v>
      </x:c>
      <x:c r="F1384" s="56" t="b">
        <x:f>'Actions'!AK29</x:f>
        <x:v>1</x:v>
      </x:c>
      <x:c r="G1384" s="38" t="str"/>
      <x:c r="H1384" s="35" t="str">
        <x:v>Actions</x:v>
      </x:c>
      <x:c r="I1384" s="35" t="str">
        <x:v>AK29</x:v>
      </x:c>
      <x:c r="J1384" s="85" t="b">
        <x:v>1</x:v>
      </x:c>
      <x:c r="K1384" s="85" t="b">
        <x:v>1</x:v>
      </x:c>
      <x:c r="L1384" s="56" t="str">
        <x:f>'Actions'!BE29</x:f>
        <x:v>OK</x:v>
      </x:c>
      <x:c r="M1384" s="44" t="str">
        <x:v>Источник Actions.Track Target</x:v>
      </x:c>
    </x:row>
    <x:row r="1385" ht="36" customHeight="1">
      <x:c r="A1385" s="118" t="n">
        <x:v>1380</x:v>
      </x:c>
      <x:c r="B1385" s="35" t="str">
        <x:v>action</x:v>
      </x:c>
      <x:c r="C1385" s="35" t="str">
        <x:v>gorilla_wall_breaker</x:v>
      </x:c>
      <x:c r="D1385" s="35" t="str">
        <x:v>block_base_chance_fp</x:v>
      </x:c>
      <x:c r="E1385" s="38" t="str">
        <x:v>int</x:v>
      </x:c>
      <x:c r="F1385" s="56" t="n">
        <x:f>'Actions'!AL29</x:f>
        <x:v>0</x:v>
      </x:c>
      <x:c r="G1385" s="38" t="str"/>
      <x:c r="H1385" s="35" t="str">
        <x:v>Actions</x:v>
      </x:c>
      <x:c r="I1385" s="35" t="str">
        <x:v>AL29</x:v>
      </x:c>
      <x:c r="J1385" s="85" t="b">
        <x:v>1</x:v>
      </x:c>
      <x:c r="K1385" s="85" t="b">
        <x:v>1</x:v>
      </x:c>
      <x:c r="L1385" s="56" t="str">
        <x:f>'Actions'!BE29</x:f>
        <x:v>OK</x:v>
      </x:c>
      <x:c r="M1385" s="44" t="str">
        <x:v>Источник Actions.Block Base Chance FP</x:v>
      </x:c>
    </x:row>
    <x:row r="1386" ht="36" customHeight="1">
      <x:c r="A1386" s="118" t="n">
        <x:v>1381</x:v>
      </x:c>
      <x:c r="B1386" s="35" t="str">
        <x:v>action</x:v>
      </x:c>
      <x:c r="C1386" s="35" t="str">
        <x:v>gorilla_wall_breaker</x:v>
      </x:c>
      <x:c r="D1386" s="35" t="str">
        <x:v>block_reduction_fp</x:v>
      </x:c>
      <x:c r="E1386" s="38" t="str">
        <x:v>int</x:v>
      </x:c>
      <x:c r="F1386" s="56" t="n">
        <x:f>'Actions'!AM29</x:f>
        <x:v>0</x:v>
      </x:c>
      <x:c r="G1386" s="38" t="str"/>
      <x:c r="H1386" s="35" t="str">
        <x:v>Actions</x:v>
      </x:c>
      <x:c r="I1386" s="35" t="str">
        <x:v>AM29</x:v>
      </x:c>
      <x:c r="J1386" s="85" t="b">
        <x:v>1</x:v>
      </x:c>
      <x:c r="K1386" s="85" t="b">
        <x:v>1</x:v>
      </x:c>
      <x:c r="L1386" s="56" t="str">
        <x:f>'Actions'!BE29</x:f>
        <x:v>OK</x:v>
      </x:c>
      <x:c r="M1386" s="44" t="str">
        <x:v>Источник Actions.Block Reduction FP</x:v>
      </x:c>
    </x:row>
    <x:row r="1387" ht="36" customHeight="1">
      <x:c r="A1387" s="118" t="n">
        <x:v>1382</x:v>
      </x:c>
      <x:c r="B1387" s="35" t="str">
        <x:v>action</x:v>
      </x:c>
      <x:c r="C1387" s="35" t="str">
        <x:v>gorilla_wall_breaker</x:v>
      </x:c>
      <x:c r="D1387" s="35" t="str">
        <x:v>dodge_base_chance_fp</x:v>
      </x:c>
      <x:c r="E1387" s="38" t="str">
        <x:v>int</x:v>
      </x:c>
      <x:c r="F1387" s="56" t="n">
        <x:f>'Actions'!AN29</x:f>
        <x:v>0</x:v>
      </x:c>
      <x:c r="G1387" s="38" t="str"/>
      <x:c r="H1387" s="35" t="str">
        <x:v>Actions</x:v>
      </x:c>
      <x:c r="I1387" s="35" t="str">
        <x:v>AN29</x:v>
      </x:c>
      <x:c r="J1387" s="85" t="b">
        <x:v>1</x:v>
      </x:c>
      <x:c r="K1387" s="85" t="b">
        <x:v>1</x:v>
      </x:c>
      <x:c r="L1387" s="56" t="str">
        <x:f>'Actions'!BE29</x:f>
        <x:v>OK</x:v>
      </x:c>
      <x:c r="M1387" s="44" t="str">
        <x:v>Источник Actions.Dodge Base Chance FP</x:v>
      </x:c>
    </x:row>
    <x:row r="1388" ht="36" customHeight="1">
      <x:c r="A1388" s="118" t="n">
        <x:v>1383</x:v>
      </x:c>
      <x:c r="B1388" s="35" t="str">
        <x:v>action</x:v>
      </x:c>
      <x:c r="C1388" s="35" t="str">
        <x:v>gorilla_wall_breaker</x:v>
      </x:c>
      <x:c r="D1388" s="35" t="str">
        <x:v>movement_mode</x:v>
      </x:c>
      <x:c r="E1388" s="38" t="str">
        <x:v>string</x:v>
      </x:c>
      <x:c r="F1388" s="56" t="str">
        <x:f>'Actions'!AO29</x:f>
        <x:v>Push</x:v>
      </x:c>
      <x:c r="G1388" s="38" t="str"/>
      <x:c r="H1388" s="35" t="str">
        <x:v>Actions</x:v>
      </x:c>
      <x:c r="I1388" s="35" t="str">
        <x:v>AO29</x:v>
      </x:c>
      <x:c r="J1388" s="85" t="b">
        <x:v>1</x:v>
      </x:c>
      <x:c r="K1388" s="85" t="b">
        <x:v>1</x:v>
      </x:c>
      <x:c r="L1388" s="56" t="str">
        <x:f>'Actions'!BE29</x:f>
        <x:v>OK</x:v>
      </x:c>
      <x:c r="M1388" s="44" t="str">
        <x:v>Источник Actions.Movement Mode</x:v>
      </x:c>
    </x:row>
    <x:row r="1389" ht="36" customHeight="1">
      <x:c r="A1389" s="118" t="n">
        <x:v>1384</x:v>
      </x:c>
      <x:c r="B1389" s="35" t="str">
        <x:v>action</x:v>
      </x:c>
      <x:c r="C1389" s="35" t="str">
        <x:v>gorilla_wall_breaker</x:v>
      </x:c>
      <x:c r="D1389" s="35" t="str">
        <x:v>move_distance</x:v>
      </x:c>
      <x:c r="E1389" s="38" t="str">
        <x:v>int</x:v>
      </x:c>
      <x:c r="F1389" s="56" t="n">
        <x:f>'Actions'!AP29</x:f>
        <x:v>1000</x:v>
      </x:c>
      <x:c r="G1389" s="38" t="str"/>
      <x:c r="H1389" s="35" t="str">
        <x:v>Actions</x:v>
      </x:c>
      <x:c r="I1389" s="35" t="str">
        <x:v>AP29</x:v>
      </x:c>
      <x:c r="J1389" s="85" t="b">
        <x:v>1</x:v>
      </x:c>
      <x:c r="K1389" s="85" t="b">
        <x:v>1</x:v>
      </x:c>
      <x:c r="L1389" s="56" t="str">
        <x:f>'Actions'!BE29</x:f>
        <x:v>OK</x:v>
      </x:c>
      <x:c r="M1389" s="44" t="str">
        <x:v>Источник Actions.Move Distance</x:v>
      </x:c>
    </x:row>
    <x:row r="1390" ht="36" customHeight="1">
      <x:c r="A1390" s="118" t="n">
        <x:v>1385</x:v>
      </x:c>
      <x:c r="B1390" s="35" t="str">
        <x:v>action</x:v>
      </x:c>
      <x:c r="C1390" s="35" t="str">
        <x:v>gorilla_wall_breaker</x:v>
      </x:c>
      <x:c r="D1390" s="35" t="str">
        <x:v>base_stagger</x:v>
      </x:c>
      <x:c r="E1390" s="38" t="str">
        <x:v>int</x:v>
      </x:c>
      <x:c r="F1390" s="56" t="n">
        <x:f>'Actions'!AQ29</x:f>
        <x:v>230</x:v>
      </x:c>
      <x:c r="G1390" s="38" t="str"/>
      <x:c r="H1390" s="35" t="str">
        <x:v>Actions</x:v>
      </x:c>
      <x:c r="I1390" s="35" t="str">
        <x:v>AQ29</x:v>
      </x:c>
      <x:c r="J1390" s="85" t="b">
        <x:v>1</x:v>
      </x:c>
      <x:c r="K1390" s="85" t="b">
        <x:v>1</x:v>
      </x:c>
      <x:c r="L1390" s="56" t="str">
        <x:f>'Actions'!BE29</x:f>
        <x:v>OK</x:v>
      </x:c>
      <x:c r="M1390" s="44" t="str">
        <x:v>Источник Actions.Base Stagger</x:v>
      </x:c>
    </x:row>
    <x:row r="1391" ht="36" customHeight="1">
      <x:c r="A1391" s="118" t="n">
        <x:v>1386</x:v>
      </x:c>
      <x:c r="B1391" s="35" t="str">
        <x:v>action</x:v>
      </x:c>
      <x:c r="C1391" s="35" t="str">
        <x:v>gorilla_wall_breaker</x:v>
      </x:c>
      <x:c r="D1391" s="35" t="str">
        <x:v>base_stun_ticks</x:v>
      </x:c>
      <x:c r="E1391" s="38" t="str">
        <x:v>int</x:v>
      </x:c>
      <x:c r="F1391" s="56" t="n">
        <x:f>'Actions'!AR29</x:f>
        <x:v>10</x:v>
      </x:c>
      <x:c r="G1391" s="38" t="str"/>
      <x:c r="H1391" s="35" t="str">
        <x:v>Actions</x:v>
      </x:c>
      <x:c r="I1391" s="35" t="str">
        <x:v>AR29</x:v>
      </x:c>
      <x:c r="J1391" s="85" t="b">
        <x:v>1</x:v>
      </x:c>
      <x:c r="K1391" s="85" t="b">
        <x:v>1</x:v>
      </x:c>
      <x:c r="L1391" s="56" t="str">
        <x:f>'Actions'!BE29</x:f>
        <x:v>OK</x:v>
      </x:c>
      <x:c r="M1391" s="44" t="str">
        <x:v>Источник Actions.Base Stun Ticks</x:v>
      </x:c>
    </x:row>
    <x:row r="1392" ht="36" customHeight="1">
      <x:c r="A1392" s="118" t="n">
        <x:v>1387</x:v>
      </x:c>
      <x:c r="B1392" s="35" t="str">
        <x:v>action</x:v>
      </x:c>
      <x:c r="C1392" s="35" t="str">
        <x:v>gorilla_wall_breaker</x:v>
      </x:c>
      <x:c r="D1392" s="35" t="str">
        <x:v>base_knockback</x:v>
      </x:c>
      <x:c r="E1392" s="38" t="str">
        <x:v>int</x:v>
      </x:c>
      <x:c r="F1392" s="56" t="n">
        <x:f>'Actions'!AS29</x:f>
        <x:v>1000</x:v>
      </x:c>
      <x:c r="G1392" s="38" t="str"/>
      <x:c r="H1392" s="35" t="str">
        <x:v>Actions</x:v>
      </x:c>
      <x:c r="I1392" s="35" t="str">
        <x:v>AS29</x:v>
      </x:c>
      <x:c r="J1392" s="85" t="b">
        <x:v>1</x:v>
      </x:c>
      <x:c r="K1392" s="85" t="b">
        <x:v>1</x:v>
      </x:c>
      <x:c r="L1392" s="56" t="str">
        <x:f>'Actions'!BE29</x:f>
        <x:v>OK</x:v>
      </x:c>
      <x:c r="M1392" s="44" t="str">
        <x:v>Источник Actions.Base Knockback</x:v>
      </x:c>
    </x:row>
    <x:row r="1393" ht="36" customHeight="1">
      <x:c r="A1393" s="118" t="n">
        <x:v>1388</x:v>
      </x:c>
      <x:c r="B1393" s="35" t="str">
        <x:v>action</x:v>
      </x:c>
      <x:c r="C1393" s="35" t="str">
        <x:v>gorilla_wall_breaker</x:v>
      </x:c>
      <x:c r="D1393" s="35" t="str">
        <x:v>knockback_min</x:v>
      </x:c>
      <x:c r="E1393" s="38" t="str">
        <x:v>int</x:v>
      </x:c>
      <x:c r="F1393" s="56" t="n">
        <x:f>'Actions'!AT29</x:f>
        <x:v>300</x:v>
      </x:c>
      <x:c r="G1393" s="38" t="str"/>
      <x:c r="H1393" s="35" t="str">
        <x:v>Actions</x:v>
      </x:c>
      <x:c r="I1393" s="35" t="str">
        <x:v>AT29</x:v>
      </x:c>
      <x:c r="J1393" s="85" t="b">
        <x:v>1</x:v>
      </x:c>
      <x:c r="K1393" s="85" t="b">
        <x:v>1</x:v>
      </x:c>
      <x:c r="L1393" s="56" t="str">
        <x:f>'Actions'!BE29</x:f>
        <x:v>OK</x:v>
      </x:c>
      <x:c r="M1393" s="44" t="str">
        <x:v>Источник Actions.Knockback Min</x:v>
      </x:c>
    </x:row>
    <x:row r="1394" ht="36" customHeight="1">
      <x:c r="A1394" s="118" t="n">
        <x:v>1389</x:v>
      </x:c>
      <x:c r="B1394" s="35" t="str">
        <x:v>action</x:v>
      </x:c>
      <x:c r="C1394" s="35" t="str">
        <x:v>gorilla_wall_breaker</x:v>
      </x:c>
      <x:c r="D1394" s="35" t="str">
        <x:v>knockback_max</x:v>
      </x:c>
      <x:c r="E1394" s="38" t="str">
        <x:v>int</x:v>
      </x:c>
      <x:c r="F1394" s="56" t="n">
        <x:f>'Actions'!AU29</x:f>
        <x:v>1400</x:v>
      </x:c>
      <x:c r="G1394" s="38" t="str"/>
      <x:c r="H1394" s="35" t="str">
        <x:v>Actions</x:v>
      </x:c>
      <x:c r="I1394" s="35" t="str">
        <x:v>AU29</x:v>
      </x:c>
      <x:c r="J1394" s="85" t="b">
        <x:v>1</x:v>
      </x:c>
      <x:c r="K1394" s="85" t="b">
        <x:v>1</x:v>
      </x:c>
      <x:c r="L1394" s="56" t="str">
        <x:f>'Actions'!BE29</x:f>
        <x:v>OK</x:v>
      </x:c>
      <x:c r="M1394" s="44" t="str">
        <x:v>Источник Actions.Knockback Max</x:v>
      </x:c>
    </x:row>
    <x:row r="1395" ht="36" customHeight="1">
      <x:c r="A1395" s="118" t="n">
        <x:v>1390</x:v>
      </x:c>
      <x:c r="B1395" s="35" t="str">
        <x:v>action</x:v>
      </x:c>
      <x:c r="C1395" s="35" t="str">
        <x:v>gorilla_wall_breaker</x:v>
      </x:c>
      <x:c r="D1395" s="35" t="str">
        <x:v>wall_damage_per_unit_fp</x:v>
      </x:c>
      <x:c r="E1395" s="38" t="str">
        <x:v>int</x:v>
      </x:c>
      <x:c r="F1395" s="56" t="n">
        <x:f>'Actions'!AV29</x:f>
        <x:v>250</x:v>
      </x:c>
      <x:c r="G1395" s="38" t="str"/>
      <x:c r="H1395" s="35" t="str">
        <x:v>Actions</x:v>
      </x:c>
      <x:c r="I1395" s="35" t="str">
        <x:v>AV29</x:v>
      </x:c>
      <x:c r="J1395" s="85" t="b">
        <x:v>1</x:v>
      </x:c>
      <x:c r="K1395" s="85" t="b">
        <x:v>1</x:v>
      </x:c>
      <x:c r="L1395" s="56" t="str">
        <x:f>'Actions'!BE29</x:f>
        <x:v>OK</x:v>
      </x:c>
      <x:c r="M1395" s="44" t="str">
        <x:v>Источник Actions.Wall Damage / Unit FP</x:v>
      </x:c>
    </x:row>
    <x:row r="1396" ht="36" customHeight="1">
      <x:c r="A1396" s="118" t="n">
        <x:v>1391</x:v>
      </x:c>
      <x:c r="B1396" s="35" t="str">
        <x:v>action</x:v>
      </x:c>
      <x:c r="C1396" s="35" t="str">
        <x:v>gorilla_wall_breaker</x:v>
      </x:c>
      <x:c r="D1396" s="35" t="str">
        <x:v>wall_damage_min</x:v>
      </x:c>
      <x:c r="E1396" s="38" t="str">
        <x:v>int</x:v>
      </x:c>
      <x:c r="F1396" s="56" t="n">
        <x:f>'Actions'!AW29</x:f>
        <x:v>40</x:v>
      </x:c>
      <x:c r="G1396" s="38" t="str"/>
      <x:c r="H1396" s="35" t="str">
        <x:v>Actions</x:v>
      </x:c>
      <x:c r="I1396" s="35" t="str">
        <x:v>AW29</x:v>
      </x:c>
      <x:c r="J1396" s="85" t="b">
        <x:v>1</x:v>
      </x:c>
      <x:c r="K1396" s="85" t="b">
        <x:v>1</x:v>
      </x:c>
      <x:c r="L1396" s="56" t="str">
        <x:f>'Actions'!BE29</x:f>
        <x:v>OK</x:v>
      </x:c>
      <x:c r="M1396" s="44" t="str">
        <x:v>Источник Actions.Wall Damage Min</x:v>
      </x:c>
    </x:row>
    <x:row r="1397" ht="36" customHeight="1">
      <x:c r="A1397" s="118" t="n">
        <x:v>1392</x:v>
      </x:c>
      <x:c r="B1397" s="35" t="str">
        <x:v>action</x:v>
      </x:c>
      <x:c r="C1397" s="35" t="str">
        <x:v>gorilla_wall_breaker</x:v>
      </x:c>
      <x:c r="D1397" s="35" t="str">
        <x:v>wall_damage_max</x:v>
      </x:c>
      <x:c r="E1397" s="38" t="str">
        <x:v>int</x:v>
      </x:c>
      <x:c r="F1397" s="56" t="n">
        <x:f>'Actions'!AX29</x:f>
        <x:v>180</x:v>
      </x:c>
      <x:c r="G1397" s="38" t="str"/>
      <x:c r="H1397" s="35" t="str">
        <x:v>Actions</x:v>
      </x:c>
      <x:c r="I1397" s="35" t="str">
        <x:v>AX29</x:v>
      </x:c>
      <x:c r="J1397" s="85" t="b">
        <x:v>1</x:v>
      </x:c>
      <x:c r="K1397" s="85" t="b">
        <x:v>1</x:v>
      </x:c>
      <x:c r="L1397" s="56" t="str">
        <x:f>'Actions'!BE29</x:f>
        <x:v>OK</x:v>
      </x:c>
      <x:c r="M1397" s="44" t="str">
        <x:v>Источник Actions.Wall Damage Max</x:v>
      </x:c>
    </x:row>
    <x:row r="1398" ht="36" customHeight="1">
      <x:c r="A1398" s="118" t="n">
        <x:v>1393</x:v>
      </x:c>
      <x:c r="B1398" s="35" t="str">
        <x:v>action</x:v>
      </x:c>
      <x:c r="C1398" s="35" t="str">
        <x:v>gorilla_wall_breaker</x:v>
      </x:c>
      <x:c r="D1398" s="35" t="str">
        <x:v>max_consecutive_uses</x:v>
      </x:c>
      <x:c r="E1398" s="38" t="str">
        <x:v>int</x:v>
      </x:c>
      <x:c r="F1398" s="56" t="n">
        <x:f>'Actions'!AY29</x:f>
        <x:v>1</x:v>
      </x:c>
      <x:c r="G1398" s="38" t="str"/>
      <x:c r="H1398" s="35" t="str">
        <x:v>Actions</x:v>
      </x:c>
      <x:c r="I1398" s="35" t="str">
        <x:v>AY29</x:v>
      </x:c>
      <x:c r="J1398" s="85" t="b">
        <x:v>1</x:v>
      </x:c>
      <x:c r="K1398" s="85" t="b">
        <x:v>1</x:v>
      </x:c>
      <x:c r="L1398" s="56" t="str">
        <x:f>'Actions'!BE29</x:f>
        <x:v>OK</x:v>
      </x:c>
      <x:c r="M1398" s="44" t="str">
        <x:v>Источник Actions.Max Consecutive Uses</x:v>
      </x:c>
    </x:row>
    <x:row r="1399" ht="36" customHeight="1">
      <x:c r="A1399" s="118" t="n">
        <x:v>1394</x:v>
      </x:c>
      <x:c r="B1399" s="35" t="str">
        <x:v>action</x:v>
      </x:c>
      <x:c r="C1399" s="35" t="str">
        <x:v>gorilla_wall_breaker</x:v>
      </x:c>
      <x:c r="D1399" s="35" t="str">
        <x:v>opportunity_cap_fp</x:v>
      </x:c>
      <x:c r="E1399" s="38" t="str">
        <x:v>int</x:v>
      </x:c>
      <x:c r="F1399" s="56" t="n">
        <x:f>'Actions'!AZ29</x:f>
        <x:v>2500</x:v>
      </x:c>
      <x:c r="G1399" s="38" t="str"/>
      <x:c r="H1399" s="35" t="str">
        <x:v>Actions</x:v>
      </x:c>
      <x:c r="I1399" s="35" t="str">
        <x:v>AZ29</x:v>
      </x:c>
      <x:c r="J1399" s="85" t="b">
        <x:v>1</x:v>
      </x:c>
      <x:c r="K1399" s="85" t="b">
        <x:v>1</x:v>
      </x:c>
      <x:c r="L1399" s="56" t="str">
        <x:f>'Actions'!BE29</x:f>
        <x:v>OK</x:v>
      </x:c>
      <x:c r="M1399" s="44" t="str">
        <x:v>Источник Actions.Opportunity Cap FP</x:v>
      </x:c>
    </x:row>
    <x:row r="1400" ht="36" customHeight="1">
      <x:c r="A1400" s="118" t="n">
        <x:v>1395</x:v>
      </x:c>
      <x:c r="B1400" s="35" t="str">
        <x:v>action</x:v>
      </x:c>
      <x:c r="C1400" s="35" t="str">
        <x:v>gorilla_wall_breaker</x:v>
      </x:c>
      <x:c r="D1400" s="35" t="str">
        <x:v>hard_opportunity_misses</x:v>
      </x:c>
      <x:c r="E1400" s="38" t="str">
        <x:v>int</x:v>
      </x:c>
      <x:c r="F1400" s="56" t="n">
        <x:f>'Actions'!BA29</x:f>
        <x:v>4</x:v>
      </x:c>
      <x:c r="G1400" s="38" t="str"/>
      <x:c r="H1400" s="35" t="str">
        <x:v>Actions</x:v>
      </x:c>
      <x:c r="I1400" s="35" t="str">
        <x:v>BA29</x:v>
      </x:c>
      <x:c r="J1400" s="85" t="b">
        <x:v>1</x:v>
      </x:c>
      <x:c r="K1400" s="85" t="b">
        <x:v>1</x:v>
      </x:c>
      <x:c r="L1400" s="56" t="str">
        <x:f>'Actions'!BE29</x:f>
        <x:v>OK</x:v>
      </x:c>
      <x:c r="M1400" s="44" t="str">
        <x:v>Источник Actions.Hard Opportunity Misses</x:v>
      </x:c>
    </x:row>
    <x:row r="1401" ht="36" customHeight="1">
      <x:c r="A1401" s="118" t="n">
        <x:v>1396</x:v>
      </x:c>
      <x:c r="B1401" s="35" t="str">
        <x:v>passive</x:v>
      </x:c>
      <x:c r="C1401" s="35" t="str">
        <x:v>bear_thick_hide</x:v>
      </x:c>
      <x:c r="D1401" s="35" t="str">
        <x:v>passive_id</x:v>
      </x:c>
      <x:c r="E1401" s="38" t="str">
        <x:v>string</x:v>
      </x:c>
      <x:c r="F1401" s="56" t="str">
        <x:f>'Passives'!A6</x:f>
        <x:v>bear_thick_hide</x:v>
      </x:c>
      <x:c r="G1401" s="38" t="str"/>
      <x:c r="H1401" s="35" t="str">
        <x:v>Passives</x:v>
      </x:c>
      <x:c r="I1401" s="35" t="str">
        <x:v>A6</x:v>
      </x:c>
      <x:c r="J1401" s="85" t="b">
        <x:v>1</x:v>
      </x:c>
      <x:c r="K1401" s="85" t="b">
        <x:v>1</x:v>
      </x:c>
      <x:c r="L1401" s="56" t="str">
        <x:f>'Passives'!V6</x:f>
        <x:v>OK</x:v>
      </x:c>
      <x:c r="M1401" s="44" t="str">
        <x:v>Источник Passives.Passive ID</x:v>
      </x:c>
    </x:row>
    <x:row r="1402" ht="36" customHeight="1">
      <x:c r="A1402" s="118" t="n">
        <x:v>1397</x:v>
      </x:c>
      <x:c r="B1402" s="35" t="str">
        <x:v>passive</x:v>
      </x:c>
      <x:c r="C1402" s="35" t="str">
        <x:v>bear_thick_hide</x:v>
      </x:c>
      <x:c r="D1402" s="35" t="str">
        <x:v>animal_id</x:v>
      </x:c>
      <x:c r="E1402" s="38" t="str">
        <x:v>string</x:v>
      </x:c>
      <x:c r="F1402" s="56" t="str">
        <x:f>'Passives'!B6</x:f>
        <x:v>bear</x:v>
      </x:c>
      <x:c r="G1402" s="38" t="str"/>
      <x:c r="H1402" s="35" t="str">
        <x:v>Passives</x:v>
      </x:c>
      <x:c r="I1402" s="35" t="str">
        <x:v>B6</x:v>
      </x:c>
      <x:c r="J1402" s="85" t="b">
        <x:v>1</x:v>
      </x:c>
      <x:c r="K1402" s="85" t="b">
        <x:v>1</x:v>
      </x:c>
      <x:c r="L1402" s="56" t="str">
        <x:f>'Passives'!V6</x:f>
        <x:v>OK</x:v>
      </x:c>
      <x:c r="M1402" s="44" t="str">
        <x:v>Источник Passives.Animal ID</x:v>
      </x:c>
    </x:row>
    <x:row r="1403" ht="36" customHeight="1">
      <x:c r="A1403" s="118" t="n">
        <x:v>1398</x:v>
      </x:c>
      <x:c r="B1403" s="35" t="str">
        <x:v>passive</x:v>
      </x:c>
      <x:c r="C1403" s="35" t="str">
        <x:v>bear_thick_hide</x:v>
      </x:c>
      <x:c r="D1403" s="35" t="str">
        <x:v>trigger</x:v>
      </x:c>
      <x:c r="E1403" s="38" t="str">
        <x:v>string</x:v>
      </x:c>
      <x:c r="F1403" s="56" t="str">
        <x:f>'Passives'!D6</x:f>
        <x:v>OnDamageTaken</x:v>
      </x:c>
      <x:c r="G1403" s="38" t="str"/>
      <x:c r="H1403" s="35" t="str">
        <x:v>Passives</x:v>
      </x:c>
      <x:c r="I1403" s="35" t="str">
        <x:v>D6</x:v>
      </x:c>
      <x:c r="J1403" s="85" t="b">
        <x:v>1</x:v>
      </x:c>
      <x:c r="K1403" s="85" t="b">
        <x:v>1</x:v>
      </x:c>
      <x:c r="L1403" s="56" t="str">
        <x:f>'Passives'!V6</x:f>
        <x:v>OK</x:v>
      </x:c>
      <x:c r="M1403" s="44" t="str">
        <x:v>Источник Passives.Trigger</x:v>
      </x:c>
    </x:row>
    <x:row r="1404" ht="36" customHeight="1">
      <x:c r="A1404" s="118" t="n">
        <x:v>1399</x:v>
      </x:c>
      <x:c r="B1404" s="35" t="str">
        <x:v>passive</x:v>
      </x:c>
      <x:c r="C1404" s="35" t="str">
        <x:v>bear_thick_hide</x:v>
      </x:c>
      <x:c r="D1404" s="35" t="str">
        <x:v>conditions</x:v>
      </x:c>
      <x:c r="E1404" s="38" t="str">
        <x:v>string</x:v>
      </x:c>
      <x:c r="F1404" s="56" t="str">
        <x:f>'Passives'!E6</x:f>
        <x:v>valid_strike; internal_cooldown_ready</x:v>
      </x:c>
      <x:c r="G1404" s="38" t="str"/>
      <x:c r="H1404" s="35" t="str">
        <x:v>Passives</x:v>
      </x:c>
      <x:c r="I1404" s="35" t="str">
        <x:v>E6</x:v>
      </x:c>
      <x:c r="J1404" s="85" t="b">
        <x:v>1</x:v>
      </x:c>
      <x:c r="K1404" s="85" t="b">
        <x:v>1</x:v>
      </x:c>
      <x:c r="L1404" s="56" t="str">
        <x:f>'Passives'!V6</x:f>
        <x:v>OK</x:v>
      </x:c>
      <x:c r="M1404" s="44" t="str">
        <x:v>Источник Passives.Conditions</x:v>
      </x:c>
    </x:row>
    <x:row r="1405" ht="36" customHeight="1">
      <x:c r="A1405" s="118" t="n">
        <x:v>1400</x:v>
      </x:c>
      <x:c r="B1405" s="35" t="str">
        <x:v>passive</x:v>
      </x:c>
      <x:c r="C1405" s="35" t="str">
        <x:v>bear_thick_hide</x:v>
      </x:c>
      <x:c r="D1405" s="35" t="str">
        <x:v>effect_id</x:v>
      </x:c>
      <x:c r="E1405" s="38" t="str">
        <x:v>string</x:v>
      </x:c>
      <x:c r="F1405" s="56" t="str">
        <x:f>'Passives'!F6</x:f>
        <x:v>effect_bear_thick_hide</x:v>
      </x:c>
      <x:c r="G1405" s="38" t="str"/>
      <x:c r="H1405" s="35" t="str">
        <x:v>Passives</x:v>
      </x:c>
      <x:c r="I1405" s="35" t="str">
        <x:v>F6</x:v>
      </x:c>
      <x:c r="J1405" s="85" t="b">
        <x:v>0</x:v>
      </x:c>
      <x:c r="K1405" s="85" t="b">
        <x:v>1</x:v>
      </x:c>
      <x:c r="L1405" s="56" t="str">
        <x:f>'Passives'!V6</x:f>
        <x:v>OK</x:v>
      </x:c>
      <x:c r="M1405" s="44" t="str">
        <x:v>Источник Passives.Effect ID</x:v>
      </x:c>
    </x:row>
    <x:row r="1406" ht="36" customHeight="1">
      <x:c r="A1406" s="118" t="n">
        <x:v>1401</x:v>
      </x:c>
      <x:c r="B1406" s="35" t="str">
        <x:v>passive</x:v>
      </x:c>
      <x:c r="C1406" s="35" t="str">
        <x:v>bear_thick_hide</x:v>
      </x:c>
      <x:c r="D1406" s="35" t="str">
        <x:v>modifier_stat1</x:v>
      </x:c>
      <x:c r="E1406" s="38" t="str">
        <x:v>string</x:v>
      </x:c>
      <x:c r="F1406" s="56" t="str">
        <x:f>'Passives'!G6</x:f>
        <x:v>Armor</x:v>
      </x:c>
      <x:c r="G1406" s="38" t="str"/>
      <x:c r="H1406" s="35" t="str">
        <x:v>Passives</x:v>
      </x:c>
      <x:c r="I1406" s="35" t="str">
        <x:v>G6</x:v>
      </x:c>
      <x:c r="J1406" s="85" t="b">
        <x:v>1</x:v>
      </x:c>
      <x:c r="K1406" s="85" t="b">
        <x:v>1</x:v>
      </x:c>
      <x:c r="L1406" s="56" t="str">
        <x:f>'Passives'!V6</x:f>
        <x:v>OK</x:v>
      </x:c>
      <x:c r="M1406" s="44" t="str">
        <x:v>Источник Passives.Modifier Stat 1</x:v>
      </x:c>
    </x:row>
    <x:row r="1407" ht="36" customHeight="1">
      <x:c r="A1407" s="118" t="n">
        <x:v>1402</x:v>
      </x:c>
      <x:c r="B1407" s="35" t="str">
        <x:v>passive</x:v>
      </x:c>
      <x:c r="C1407" s="35" t="str">
        <x:v>bear_thick_hide</x:v>
      </x:c>
      <x:c r="D1407" s="35" t="str">
        <x:v>operation1</x:v>
      </x:c>
      <x:c r="E1407" s="38" t="str">
        <x:v>string</x:v>
      </x:c>
      <x:c r="F1407" s="56" t="str">
        <x:f>'Passives'!H6</x:f>
        <x:v>Multiply</x:v>
      </x:c>
      <x:c r="G1407" s="38" t="str"/>
      <x:c r="H1407" s="35" t="str">
        <x:v>Passives</x:v>
      </x:c>
      <x:c r="I1407" s="35" t="str">
        <x:v>H6</x:v>
      </x:c>
      <x:c r="J1407" s="85" t="b">
        <x:v>1</x:v>
      </x:c>
      <x:c r="K1407" s="85" t="b">
        <x:v>1</x:v>
      </x:c>
      <x:c r="L1407" s="56" t="str">
        <x:f>'Passives'!V6</x:f>
        <x:v>OK</x:v>
      </x:c>
      <x:c r="M1407" s="44" t="str">
        <x:v>Источник Passives.Operation 1</x:v>
      </x:c>
    </x:row>
    <x:row r="1408" ht="36" customHeight="1">
      <x:c r="A1408" s="118" t="n">
        <x:v>1403</x:v>
      </x:c>
      <x:c r="B1408" s="35" t="str">
        <x:v>passive</x:v>
      </x:c>
      <x:c r="C1408" s="35" t="str">
        <x:v>bear_thick_hide</x:v>
      </x:c>
      <x:c r="D1408" s="35" t="str">
        <x:v>value1</x:v>
      </x:c>
      <x:c r="E1408" s="38" t="str">
        <x:v>int</x:v>
      </x:c>
      <x:c r="F1408" s="56" t="n">
        <x:f>'Passives'!I6</x:f>
        <x:v>1150</x:v>
      </x:c>
      <x:c r="G1408" s="38" t="str"/>
      <x:c r="H1408" s="35" t="str">
        <x:v>Passives</x:v>
      </x:c>
      <x:c r="I1408" s="35" t="str">
        <x:v>I6</x:v>
      </x:c>
      <x:c r="J1408" s="85" t="b">
        <x:v>1</x:v>
      </x:c>
      <x:c r="K1408" s="85" t="b">
        <x:v>1</x:v>
      </x:c>
      <x:c r="L1408" s="56" t="str">
        <x:f>'Passives'!V6</x:f>
        <x:v>OK</x:v>
      </x:c>
      <x:c r="M1408" s="44" t="str">
        <x:v>Источник Passives.Value 1</x:v>
      </x:c>
    </x:row>
    <x:row r="1409" ht="36" customHeight="1">
      <x:c r="A1409" s="118" t="n">
        <x:v>1404</x:v>
      </x:c>
      <x:c r="B1409" s="35" t="str">
        <x:v>passive</x:v>
      </x:c>
      <x:c r="C1409" s="35" t="str">
        <x:v>bear_thick_hide</x:v>
      </x:c>
      <x:c r="D1409" s="35" t="str">
        <x:v>modifier_stat2</x:v>
      </x:c>
      <x:c r="E1409" s="38" t="str">
        <x:v>string</x:v>
      </x:c>
      <x:c r="F1409" s="56" t="str">
        <x:f>'Passives'!J6</x:f>
        <x:v>ControlResistance</x:v>
      </x:c>
      <x:c r="G1409" s="38" t="str"/>
      <x:c r="H1409" s="35" t="str">
        <x:v>Passives</x:v>
      </x:c>
      <x:c r="I1409" s="35" t="str">
        <x:v>J6</x:v>
      </x:c>
      <x:c r="J1409" s="85" t="b">
        <x:v>1</x:v>
      </x:c>
      <x:c r="K1409" s="85" t="b">
        <x:v>1</x:v>
      </x:c>
      <x:c r="L1409" s="56" t="str">
        <x:f>'Passives'!V6</x:f>
        <x:v>OK</x:v>
      </x:c>
      <x:c r="M1409" s="44" t="str">
        <x:v>Источник Passives.Modifier Stat 2</x:v>
      </x:c>
    </x:row>
    <x:row r="1410" ht="36" customHeight="1">
      <x:c r="A1410" s="118" t="n">
        <x:v>1405</x:v>
      </x:c>
      <x:c r="B1410" s="35" t="str">
        <x:v>passive</x:v>
      </x:c>
      <x:c r="C1410" s="35" t="str">
        <x:v>bear_thick_hide</x:v>
      </x:c>
      <x:c r="D1410" s="35" t="str">
        <x:v>operation2</x:v>
      </x:c>
      <x:c r="E1410" s="38" t="str">
        <x:v>string</x:v>
      </x:c>
      <x:c r="F1410" s="56" t="str">
        <x:f>'Passives'!K6</x:f>
        <x:v>Multiply</x:v>
      </x:c>
      <x:c r="G1410" s="38" t="str"/>
      <x:c r="H1410" s="35" t="str">
        <x:v>Passives</x:v>
      </x:c>
      <x:c r="I1410" s="35" t="str">
        <x:v>K6</x:v>
      </x:c>
      <x:c r="J1410" s="85" t="b">
        <x:v>1</x:v>
      </x:c>
      <x:c r="K1410" s="85" t="b">
        <x:v>1</x:v>
      </x:c>
      <x:c r="L1410" s="56" t="str">
        <x:f>'Passives'!V6</x:f>
        <x:v>OK</x:v>
      </x:c>
      <x:c r="M1410" s="44" t="str">
        <x:v>Источник Passives.Operation 2</x:v>
      </x:c>
    </x:row>
    <x:row r="1411" ht="36" customHeight="1">
      <x:c r="A1411" s="118" t="n">
        <x:v>1406</x:v>
      </x:c>
      <x:c r="B1411" s="35" t="str">
        <x:v>passive</x:v>
      </x:c>
      <x:c r="C1411" s="35" t="str">
        <x:v>bear_thick_hide</x:v>
      </x:c>
      <x:c r="D1411" s="35" t="str">
        <x:v>value2</x:v>
      </x:c>
      <x:c r="E1411" s="38" t="str">
        <x:v>int</x:v>
      </x:c>
      <x:c r="F1411" s="56" t="n">
        <x:f>'Passives'!L6</x:f>
        <x:v>1150</x:v>
      </x:c>
      <x:c r="G1411" s="38" t="str"/>
      <x:c r="H1411" s="35" t="str">
        <x:v>Passives</x:v>
      </x:c>
      <x:c r="I1411" s="35" t="str">
        <x:v>L6</x:v>
      </x:c>
      <x:c r="J1411" s="85" t="b">
        <x:v>1</x:v>
      </x:c>
      <x:c r="K1411" s="85" t="b">
        <x:v>1</x:v>
      </x:c>
      <x:c r="L1411" s="56" t="str">
        <x:f>'Passives'!V6</x:f>
        <x:v>OK</x:v>
      </x:c>
      <x:c r="M1411" s="44" t="str">
        <x:v>Источник Passives.Value 2</x:v>
      </x:c>
    </x:row>
    <x:row r="1412" ht="36" customHeight="1">
      <x:c r="A1412" s="118" t="n">
        <x:v>1407</x:v>
      </x:c>
      <x:c r="B1412" s="35" t="str">
        <x:v>passive</x:v>
      </x:c>
      <x:c r="C1412" s="35" t="str">
        <x:v>bear_thick_hide</x:v>
      </x:c>
      <x:c r="D1412" s="35" t="str">
        <x:v>duration_ticks</x:v>
      </x:c>
      <x:c r="E1412" s="38" t="str">
        <x:v>int</x:v>
      </x:c>
      <x:c r="F1412" s="56" t="n">
        <x:f>'Passives'!M6</x:f>
        <x:v>25</x:v>
      </x:c>
      <x:c r="G1412" s="38" t="str"/>
      <x:c r="H1412" s="35" t="str">
        <x:v>Passives</x:v>
      </x:c>
      <x:c r="I1412" s="35" t="str">
        <x:v>M6</x:v>
      </x:c>
      <x:c r="J1412" s="85" t="b">
        <x:v>1</x:v>
      </x:c>
      <x:c r="K1412" s="85" t="b">
        <x:v>1</x:v>
      </x:c>
      <x:c r="L1412" s="56" t="str">
        <x:f>'Passives'!V6</x:f>
        <x:v>OK</x:v>
      </x:c>
      <x:c r="M1412" s="44" t="str">
        <x:v>Источник Passives.Duration Ticks</x:v>
      </x:c>
    </x:row>
    <x:row r="1413" ht="36" customHeight="1">
      <x:c r="A1413" s="118" t="n">
        <x:v>1408</x:v>
      </x:c>
      <x:c r="B1413" s="35" t="str">
        <x:v>passive</x:v>
      </x:c>
      <x:c r="C1413" s="35" t="str">
        <x:v>bear_thick_hide</x:v>
      </x:c>
      <x:c r="D1413" s="35" t="str">
        <x:v>internal_cooldown_ticks</x:v>
      </x:c>
      <x:c r="E1413" s="38" t="str">
        <x:v>int</x:v>
      </x:c>
      <x:c r="F1413" s="56" t="n">
        <x:f>'Passives'!N6</x:f>
        <x:v>50</x:v>
      </x:c>
      <x:c r="G1413" s="38" t="str"/>
      <x:c r="H1413" s="35" t="str">
        <x:v>Passives</x:v>
      </x:c>
      <x:c r="I1413" s="35" t="str">
        <x:v>N6</x:v>
      </x:c>
      <x:c r="J1413" s="85" t="b">
        <x:v>1</x:v>
      </x:c>
      <x:c r="K1413" s="85" t="b">
        <x:v>1</x:v>
      </x:c>
      <x:c r="L1413" s="56" t="str">
        <x:f>'Passives'!V6</x:f>
        <x:v>OK</x:v>
      </x:c>
      <x:c r="M1413" s="44" t="str">
        <x:v>Источник Passives.Internal Cooldown Ticks</x:v>
      </x:c>
    </x:row>
    <x:row r="1414" ht="36" customHeight="1">
      <x:c r="A1414" s="118" t="n">
        <x:v>1409</x:v>
      </x:c>
      <x:c r="B1414" s="35" t="str">
        <x:v>passive</x:v>
      </x:c>
      <x:c r="C1414" s="35" t="str">
        <x:v>bear_thick_hide</x:v>
      </x:c>
      <x:c r="D1414" s="35" t="str">
        <x:v>stack_cap</x:v>
      </x:c>
      <x:c r="E1414" s="38" t="str">
        <x:v>int</x:v>
      </x:c>
      <x:c r="F1414" s="56" t="n">
        <x:f>'Passives'!O6</x:f>
        <x:v>1</x:v>
      </x:c>
      <x:c r="G1414" s="38" t="str"/>
      <x:c r="H1414" s="35" t="str">
        <x:v>Passives</x:v>
      </x:c>
      <x:c r="I1414" s="35" t="str">
        <x:v>O6</x:v>
      </x:c>
      <x:c r="J1414" s="85" t="b">
        <x:v>1</x:v>
      </x:c>
      <x:c r="K1414" s="85" t="b">
        <x:v>1</x:v>
      </x:c>
      <x:c r="L1414" s="56" t="str">
        <x:f>'Passives'!V6</x:f>
        <x:v>OK</x:v>
      </x:c>
      <x:c r="M1414" s="44" t="str">
        <x:v>Источник Passives.Stack Cap</x:v>
      </x:c>
    </x:row>
    <x:row r="1415" ht="36" customHeight="1">
      <x:c r="A1415" s="118" t="n">
        <x:v>1410</x:v>
      </x:c>
      <x:c r="B1415" s="35" t="str">
        <x:v>passive</x:v>
      </x:c>
      <x:c r="C1415" s="35" t="str">
        <x:v>bear_thick_hide</x:v>
      </x:c>
      <x:c r="D1415" s="35" t="str">
        <x:v>max_activations_per_tick</x:v>
      </x:c>
      <x:c r="E1415" s="38" t="str">
        <x:v>int</x:v>
      </x:c>
      <x:c r="F1415" s="56" t="n">
        <x:f>'Passives'!P6</x:f>
        <x:v>1</x:v>
      </x:c>
      <x:c r="G1415" s="38" t="str"/>
      <x:c r="H1415" s="35" t="str">
        <x:v>Passives</x:v>
      </x:c>
      <x:c r="I1415" s="35" t="str">
        <x:v>P6</x:v>
      </x:c>
      <x:c r="J1415" s="85" t="b">
        <x:v>1</x:v>
      </x:c>
      <x:c r="K1415" s="85" t="b">
        <x:v>1</x:v>
      </x:c>
      <x:c r="L1415" s="56" t="str">
        <x:f>'Passives'!V6</x:f>
        <x:v>OK</x:v>
      </x:c>
      <x:c r="M1415" s="44" t="str">
        <x:v>Источник Passives.Max Activations / Tick</x:v>
      </x:c>
    </x:row>
    <x:row r="1416" ht="36" customHeight="1">
      <x:c r="A1416" s="118" t="n">
        <x:v>1411</x:v>
      </x:c>
      <x:c r="B1416" s="35" t="str">
        <x:v>passive</x:v>
      </x:c>
      <x:c r="C1416" s="35" t="str">
        <x:v>bear_thick_hide</x:v>
      </x:c>
      <x:c r="D1416" s="35" t="str">
        <x:v>max_activations_per_battle</x:v>
      </x:c>
      <x:c r="E1416" s="38" t="str">
        <x:v>int</x:v>
      </x:c>
      <x:c r="F1416" s="56" t="n">
        <x:f>'Passives'!Q6</x:f>
        <x:v>99</x:v>
      </x:c>
      <x:c r="G1416" s="38" t="str"/>
      <x:c r="H1416" s="35" t="str">
        <x:v>Passives</x:v>
      </x:c>
      <x:c r="I1416" s="35" t="str">
        <x:v>Q6</x:v>
      </x:c>
      <x:c r="J1416" s="85" t="b">
        <x:v>1</x:v>
      </x:c>
      <x:c r="K1416" s="85" t="b">
        <x:v>1</x:v>
      </x:c>
      <x:c r="L1416" s="56" t="str">
        <x:f>'Passives'!V6</x:f>
        <x:v>OK</x:v>
      </x:c>
      <x:c r="M1416" s="44" t="str">
        <x:v>Источник Passives.Max Activations / Battle</x:v>
      </x:c>
    </x:row>
    <x:row r="1417" ht="36" customHeight="1">
      <x:c r="A1417" s="118" t="n">
        <x:v>1412</x:v>
      </x:c>
      <x:c r="B1417" s="35" t="str">
        <x:v>passive</x:v>
      </x:c>
      <x:c r="C1417" s="35" t="str">
        <x:v>bear_thick_hide</x:v>
      </x:c>
      <x:c r="D1417" s="35" t="str">
        <x:v>resource_gain</x:v>
      </x:c>
      <x:c r="E1417" s="38" t="str">
        <x:v>int</x:v>
      </x:c>
      <x:c r="F1417" s="56" t="n">
        <x:f>'Passives'!R6</x:f>
        <x:v>0</x:v>
      </x:c>
      <x:c r="G1417" s="38" t="str"/>
      <x:c r="H1417" s="35" t="str">
        <x:v>Passives</x:v>
      </x:c>
      <x:c r="I1417" s="35" t="str">
        <x:v>R6</x:v>
      </x:c>
      <x:c r="J1417" s="85" t="b">
        <x:v>1</x:v>
      </x:c>
      <x:c r="K1417" s="85" t="b">
        <x:v>1</x:v>
      </x:c>
      <x:c r="L1417" s="56" t="str">
        <x:f>'Passives'!V6</x:f>
        <x:v>OK</x:v>
      </x:c>
      <x:c r="M1417" s="44" t="str">
        <x:v>Источник Passives.Resource Gain</x:v>
      </x:c>
    </x:row>
    <x:row r="1418" ht="36" customHeight="1">
      <x:c r="A1418" s="118" t="n">
        <x:v>1413</x:v>
      </x:c>
      <x:c r="B1418" s="35" t="str">
        <x:v>passive</x:v>
      </x:c>
      <x:c r="C1418" s="35" t="str">
        <x:v>bear_thick_hide</x:v>
      </x:c>
      <x:c r="D1418" s="35" t="str">
        <x:v>weight_multiplier_fp</x:v>
      </x:c>
      <x:c r="E1418" s="38" t="str">
        <x:v>int</x:v>
      </x:c>
      <x:c r="F1418" s="56" t="n">
        <x:f>'Passives'!S6</x:f>
        <x:v>1000</x:v>
      </x:c>
      <x:c r="G1418" s="38" t="str"/>
      <x:c r="H1418" s="35" t="str">
        <x:v>Passives</x:v>
      </x:c>
      <x:c r="I1418" s="35" t="str">
        <x:v>S6</x:v>
      </x:c>
      <x:c r="J1418" s="85" t="b">
        <x:v>1</x:v>
      </x:c>
      <x:c r="K1418" s="85" t="b">
        <x:v>1</x:v>
      </x:c>
      <x:c r="L1418" s="56" t="str">
        <x:f>'Passives'!V6</x:f>
        <x:v>OK</x:v>
      </x:c>
      <x:c r="M1418" s="44" t="str">
        <x:v>Источник Passives.Weight Multiplier FP</x:v>
      </x:c>
    </x:row>
    <x:row r="1419" ht="36" customHeight="1">
      <x:c r="A1419" s="118" t="n">
        <x:v>1414</x:v>
      </x:c>
      <x:c r="B1419" s="35" t="str">
        <x:v>passive</x:v>
      </x:c>
      <x:c r="C1419" s="35" t="str">
        <x:v>bear_thick_hide</x:v>
      </x:c>
      <x:c r="D1419" s="35" t="str">
        <x:v>tags</x:v>
      </x:c>
      <x:c r="E1419" s="38" t="str">
        <x:v>string</x:v>
      </x:c>
      <x:c r="F1419" s="56" t="str">
        <x:f>'Passives'!T6</x:f>
        <x:v>defense|comeback</x:v>
      </x:c>
      <x:c r="G1419" s="38" t="str"/>
      <x:c r="H1419" s="35" t="str">
        <x:v>Passives</x:v>
      </x:c>
      <x:c r="I1419" s="35" t="str">
        <x:v>T6</x:v>
      </x:c>
      <x:c r="J1419" s="85" t="b">
        <x:v>1</x:v>
      </x:c>
      <x:c r="K1419" s="85" t="b">
        <x:v>1</x:v>
      </x:c>
      <x:c r="L1419" s="56" t="str">
        <x:f>'Passives'!V6</x:f>
        <x:v>OK</x:v>
      </x:c>
      <x:c r="M1419" s="44" t="str">
        <x:v>Источник Passives.Tags</x:v>
      </x:c>
    </x:row>
    <x:row r="1420" ht="36" customHeight="1">
      <x:c r="A1420" s="118" t="n">
        <x:v>1415</x:v>
      </x:c>
      <x:c r="B1420" s="35" t="str">
        <x:v>passive</x:v>
      </x:c>
      <x:c r="C1420" s="35" t="str">
        <x:v>bear_pressure_fuels_rage</x:v>
      </x:c>
      <x:c r="D1420" s="35" t="str">
        <x:v>passive_id</x:v>
      </x:c>
      <x:c r="E1420" s="38" t="str">
        <x:v>string</x:v>
      </x:c>
      <x:c r="F1420" s="56" t="str">
        <x:f>'Passives'!A7</x:f>
        <x:v>bear_pressure_fuels_rage</x:v>
      </x:c>
      <x:c r="G1420" s="38" t="str"/>
      <x:c r="H1420" s="35" t="str">
        <x:v>Passives</x:v>
      </x:c>
      <x:c r="I1420" s="35" t="str">
        <x:v>A7</x:v>
      </x:c>
      <x:c r="J1420" s="85" t="b">
        <x:v>1</x:v>
      </x:c>
      <x:c r="K1420" s="85" t="b">
        <x:v>1</x:v>
      </x:c>
      <x:c r="L1420" s="56" t="str">
        <x:f>'Passives'!V7</x:f>
        <x:v>OK</x:v>
      </x:c>
      <x:c r="M1420" s="44" t="str">
        <x:v>Источник Passives.Passive ID</x:v>
      </x:c>
    </x:row>
    <x:row r="1421" ht="36" customHeight="1">
      <x:c r="A1421" s="118" t="n">
        <x:v>1416</x:v>
      </x:c>
      <x:c r="B1421" s="35" t="str">
        <x:v>passive</x:v>
      </x:c>
      <x:c r="C1421" s="35" t="str">
        <x:v>bear_pressure_fuels_rage</x:v>
      </x:c>
      <x:c r="D1421" s="35" t="str">
        <x:v>animal_id</x:v>
      </x:c>
      <x:c r="E1421" s="38" t="str">
        <x:v>string</x:v>
      </x:c>
      <x:c r="F1421" s="56" t="str">
        <x:f>'Passives'!B7</x:f>
        <x:v>bear</x:v>
      </x:c>
      <x:c r="G1421" s="38" t="str"/>
      <x:c r="H1421" s="35" t="str">
        <x:v>Passives</x:v>
      </x:c>
      <x:c r="I1421" s="35" t="str">
        <x:v>B7</x:v>
      </x:c>
      <x:c r="J1421" s="85" t="b">
        <x:v>1</x:v>
      </x:c>
      <x:c r="K1421" s="85" t="b">
        <x:v>1</x:v>
      </x:c>
      <x:c r="L1421" s="56" t="str">
        <x:f>'Passives'!V7</x:f>
        <x:v>OK</x:v>
      </x:c>
      <x:c r="M1421" s="44" t="str">
        <x:v>Источник Passives.Animal ID</x:v>
      </x:c>
    </x:row>
    <x:row r="1422" ht="36" customHeight="1">
      <x:c r="A1422" s="118" t="n">
        <x:v>1417</x:v>
      </x:c>
      <x:c r="B1422" s="35" t="str">
        <x:v>passive</x:v>
      </x:c>
      <x:c r="C1422" s="35" t="str">
        <x:v>bear_pressure_fuels_rage</x:v>
      </x:c>
      <x:c r="D1422" s="35" t="str">
        <x:v>trigger</x:v>
      </x:c>
      <x:c r="E1422" s="38" t="str">
        <x:v>string</x:v>
      </x:c>
      <x:c r="F1422" s="56" t="str">
        <x:f>'Passives'!D7</x:f>
        <x:v>OnDamageTaken|OnBlockedHeavy|OnHeavyHit</x:v>
      </x:c>
      <x:c r="G1422" s="38" t="str"/>
      <x:c r="H1422" s="35" t="str">
        <x:v>Passives</x:v>
      </x:c>
      <x:c r="I1422" s="35" t="str">
        <x:v>D7</x:v>
      </x:c>
      <x:c r="J1422" s="85" t="b">
        <x:v>1</x:v>
      </x:c>
      <x:c r="K1422" s="85" t="b">
        <x:v>1</x:v>
      </x:c>
      <x:c r="L1422" s="56" t="str">
        <x:f>'Passives'!V7</x:f>
        <x:v>OK</x:v>
      </x:c>
      <x:c r="M1422" s="44" t="str">
        <x:v>Источник Passives.Trigger</x:v>
      </x:c>
    </x:row>
    <x:row r="1423" ht="36" customHeight="1">
      <x:c r="A1423" s="118" t="n">
        <x:v>1418</x:v>
      </x:c>
      <x:c r="B1423" s="35" t="str">
        <x:v>passive</x:v>
      </x:c>
      <x:c r="C1423" s="35" t="str">
        <x:v>bear_pressure_fuels_rage</x:v>
      </x:c>
      <x:c r="D1423" s="35" t="str">
        <x:v>conditions</x:v>
      </x:c>
      <x:c r="E1423" s="38" t="str">
        <x:v>string</x:v>
      </x:c>
      <x:c r="F1423" s="56" t="str">
        <x:f>'Passives'!E7</x:f>
        <x:v>eligible_source_event; once_per_event</x:v>
      </x:c>
      <x:c r="G1423" s="38" t="str"/>
      <x:c r="H1423" s="35" t="str">
        <x:v>Passives</x:v>
      </x:c>
      <x:c r="I1423" s="35" t="str">
        <x:v>E7</x:v>
      </x:c>
      <x:c r="J1423" s="85" t="b">
        <x:v>1</x:v>
      </x:c>
      <x:c r="K1423" s="85" t="b">
        <x:v>1</x:v>
      </x:c>
      <x:c r="L1423" s="56" t="str">
        <x:f>'Passives'!V7</x:f>
        <x:v>OK</x:v>
      </x:c>
      <x:c r="M1423" s="44" t="str">
        <x:v>Источник Passives.Conditions</x:v>
      </x:c>
    </x:row>
    <x:row r="1424" ht="36" customHeight="1">
      <x:c r="A1424" s="118" t="n">
        <x:v>1419</x:v>
      </x:c>
      <x:c r="B1424" s="35" t="str">
        <x:v>passive</x:v>
      </x:c>
      <x:c r="C1424" s="35" t="str">
        <x:v>bear_pressure_fuels_rage</x:v>
      </x:c>
      <x:c r="D1424" s="35" t="str">
        <x:v>effect_id</x:v>
      </x:c>
      <x:c r="E1424" s="38" t="str">
        <x:v>string</x:v>
      </x:c>
      <x:c r="F1424" s="56" t="str">
        <x:f>'Passives'!F7</x:f>
      </x:c>
      <x:c r="G1424" s="38" t="str"/>
      <x:c r="H1424" s="35" t="str">
        <x:v>Passives</x:v>
      </x:c>
      <x:c r="I1424" s="35" t="str">
        <x:v>F7</x:v>
      </x:c>
      <x:c r="J1424" s="85" t="b">
        <x:v>0</x:v>
      </x:c>
      <x:c r="K1424" s="85" t="b">
        <x:v>1</x:v>
      </x:c>
      <x:c r="L1424" s="56" t="str">
        <x:f>'Passives'!V7</x:f>
        <x:v>OK</x:v>
      </x:c>
      <x:c r="M1424" s="44" t="str">
        <x:v>Источник Passives.Effect ID</x:v>
      </x:c>
    </x:row>
    <x:row r="1425" ht="36" customHeight="1">
      <x:c r="A1425" s="118" t="n">
        <x:v>1420</x:v>
      </x:c>
      <x:c r="B1425" s="35" t="str">
        <x:v>passive</x:v>
      </x:c>
      <x:c r="C1425" s="35" t="str">
        <x:v>bear_pressure_fuels_rage</x:v>
      </x:c>
      <x:c r="D1425" s="35" t="str">
        <x:v>modifier_stat1</x:v>
      </x:c>
      <x:c r="E1425" s="38" t="str">
        <x:v>string</x:v>
      </x:c>
      <x:c r="F1425" s="56" t="str">
        <x:f>'Passives'!G7</x:f>
        <x:v>RageGain</x:v>
      </x:c>
      <x:c r="G1425" s="38" t="str"/>
      <x:c r="H1425" s="35" t="str">
        <x:v>Passives</x:v>
      </x:c>
      <x:c r="I1425" s="35" t="str">
        <x:v>G7</x:v>
      </x:c>
      <x:c r="J1425" s="85" t="b">
        <x:v>1</x:v>
      </x:c>
      <x:c r="K1425" s="85" t="b">
        <x:v>1</x:v>
      </x:c>
      <x:c r="L1425" s="56" t="str">
        <x:f>'Passives'!V7</x:f>
        <x:v>OK</x:v>
      </x:c>
      <x:c r="M1425" s="44" t="str">
        <x:v>Источник Passives.Modifier Stat 1</x:v>
      </x:c>
    </x:row>
    <x:row r="1426" ht="36" customHeight="1">
      <x:c r="A1426" s="118" t="n">
        <x:v>1421</x:v>
      </x:c>
      <x:c r="B1426" s="35" t="str">
        <x:v>passive</x:v>
      </x:c>
      <x:c r="C1426" s="35" t="str">
        <x:v>bear_pressure_fuels_rage</x:v>
      </x:c>
      <x:c r="D1426" s="35" t="str">
        <x:v>operation1</x:v>
      </x:c>
      <x:c r="E1426" s="38" t="str">
        <x:v>string</x:v>
      </x:c>
      <x:c r="F1426" s="56" t="str">
        <x:f>'Passives'!H7</x:f>
        <x:v>Multiply</x:v>
      </x:c>
      <x:c r="G1426" s="38" t="str"/>
      <x:c r="H1426" s="35" t="str">
        <x:v>Passives</x:v>
      </x:c>
      <x:c r="I1426" s="35" t="str">
        <x:v>H7</x:v>
      </x:c>
      <x:c r="J1426" s="85" t="b">
        <x:v>1</x:v>
      </x:c>
      <x:c r="K1426" s="85" t="b">
        <x:v>1</x:v>
      </x:c>
      <x:c r="L1426" s="56" t="str">
        <x:f>'Passives'!V7</x:f>
        <x:v>OK</x:v>
      </x:c>
      <x:c r="M1426" s="44" t="str">
        <x:v>Источник Passives.Operation 1</x:v>
      </x:c>
    </x:row>
    <x:row r="1427" ht="36" customHeight="1">
      <x:c r="A1427" s="118" t="n">
        <x:v>1422</x:v>
      </x:c>
      <x:c r="B1427" s="35" t="str">
        <x:v>passive</x:v>
      </x:c>
      <x:c r="C1427" s="35" t="str">
        <x:v>bear_pressure_fuels_rage</x:v>
      </x:c>
      <x:c r="D1427" s="35" t="str">
        <x:v>value1</x:v>
      </x:c>
      <x:c r="E1427" s="38" t="str">
        <x:v>int</x:v>
      </x:c>
      <x:c r="F1427" s="56" t="n">
        <x:f>'Passives'!I7</x:f>
        <x:v>1250</x:v>
      </x:c>
      <x:c r="G1427" s="38" t="str"/>
      <x:c r="H1427" s="35" t="str">
        <x:v>Passives</x:v>
      </x:c>
      <x:c r="I1427" s="35" t="str">
        <x:v>I7</x:v>
      </x:c>
      <x:c r="J1427" s="85" t="b">
        <x:v>1</x:v>
      </x:c>
      <x:c r="K1427" s="85" t="b">
        <x:v>1</x:v>
      </x:c>
      <x:c r="L1427" s="56" t="str">
        <x:f>'Passives'!V7</x:f>
        <x:v>OK</x:v>
      </x:c>
      <x:c r="M1427" s="44" t="str">
        <x:v>Источник Passives.Value 1</x:v>
      </x:c>
    </x:row>
    <x:row r="1428" ht="36" customHeight="1">
      <x:c r="A1428" s="118" t="n">
        <x:v>1423</x:v>
      </x:c>
      <x:c r="B1428" s="35" t="str">
        <x:v>passive</x:v>
      </x:c>
      <x:c r="C1428" s="35" t="str">
        <x:v>bear_pressure_fuels_rage</x:v>
      </x:c>
      <x:c r="D1428" s="35" t="str">
        <x:v>modifier_stat2</x:v>
      </x:c>
      <x:c r="E1428" s="38" t="str">
        <x:v>string</x:v>
      </x:c>
      <x:c r="F1428" s="56" t="str">
        <x:f>'Passives'!J7</x:f>
        <x:v>SignatureWeight</x:v>
      </x:c>
      <x:c r="G1428" s="38" t="str"/>
      <x:c r="H1428" s="35" t="str">
        <x:v>Passives</x:v>
      </x:c>
      <x:c r="I1428" s="35" t="str">
        <x:v>J7</x:v>
      </x:c>
      <x:c r="J1428" s="85" t="b">
        <x:v>1</x:v>
      </x:c>
      <x:c r="K1428" s="85" t="b">
        <x:v>1</x:v>
      </x:c>
      <x:c r="L1428" s="56" t="str">
        <x:f>'Passives'!V7</x:f>
        <x:v>OK</x:v>
      </x:c>
      <x:c r="M1428" s="44" t="str">
        <x:v>Источник Passives.Modifier Stat 2</x:v>
      </x:c>
    </x:row>
    <x:row r="1429" ht="36" customHeight="1">
      <x:c r="A1429" s="118" t="n">
        <x:v>1424</x:v>
      </x:c>
      <x:c r="B1429" s="35" t="str">
        <x:v>passive</x:v>
      </x:c>
      <x:c r="C1429" s="35" t="str">
        <x:v>bear_pressure_fuels_rage</x:v>
      </x:c>
      <x:c r="D1429" s="35" t="str">
        <x:v>operation2</x:v>
      </x:c>
      <x:c r="E1429" s="38" t="str">
        <x:v>string</x:v>
      </x:c>
      <x:c r="F1429" s="56" t="str">
        <x:f>'Passives'!K7</x:f>
        <x:v>Multiply</x:v>
      </x:c>
      <x:c r="G1429" s="38" t="str"/>
      <x:c r="H1429" s="35" t="str">
        <x:v>Passives</x:v>
      </x:c>
      <x:c r="I1429" s="35" t="str">
        <x:v>K7</x:v>
      </x:c>
      <x:c r="J1429" s="85" t="b">
        <x:v>1</x:v>
      </x:c>
      <x:c r="K1429" s="85" t="b">
        <x:v>1</x:v>
      </x:c>
      <x:c r="L1429" s="56" t="str">
        <x:f>'Passives'!V7</x:f>
        <x:v>OK</x:v>
      </x:c>
      <x:c r="M1429" s="44" t="str">
        <x:v>Источник Passives.Operation 2</x:v>
      </x:c>
    </x:row>
    <x:row r="1430" ht="36" customHeight="1">
      <x:c r="A1430" s="118" t="n">
        <x:v>1425</x:v>
      </x:c>
      <x:c r="B1430" s="35" t="str">
        <x:v>passive</x:v>
      </x:c>
      <x:c r="C1430" s="35" t="str">
        <x:v>bear_pressure_fuels_rage</x:v>
      </x:c>
      <x:c r="D1430" s="35" t="str">
        <x:v>value2</x:v>
      </x:c>
      <x:c r="E1430" s="38" t="str">
        <x:v>int</x:v>
      </x:c>
      <x:c r="F1430" s="56" t="n">
        <x:f>'Passives'!L7</x:f>
        <x:v>1125</x:v>
      </x:c>
      <x:c r="G1430" s="38" t="str"/>
      <x:c r="H1430" s="35" t="str">
        <x:v>Passives</x:v>
      </x:c>
      <x:c r="I1430" s="35" t="str">
        <x:v>L7</x:v>
      </x:c>
      <x:c r="J1430" s="85" t="b">
        <x:v>1</x:v>
      </x:c>
      <x:c r="K1430" s="85" t="b">
        <x:v>1</x:v>
      </x:c>
      <x:c r="L1430" s="56" t="str">
        <x:f>'Passives'!V7</x:f>
        <x:v>OK</x:v>
      </x:c>
      <x:c r="M1430" s="44" t="str">
        <x:v>Источник Passives.Value 2</x:v>
      </x:c>
    </x:row>
    <x:row r="1431" ht="36" customHeight="1">
      <x:c r="A1431" s="118" t="n">
        <x:v>1426</x:v>
      </x:c>
      <x:c r="B1431" s="35" t="str">
        <x:v>passive</x:v>
      </x:c>
      <x:c r="C1431" s="35" t="str">
        <x:v>bear_pressure_fuels_rage</x:v>
      </x:c>
      <x:c r="D1431" s="35" t="str">
        <x:v>duration_ticks</x:v>
      </x:c>
      <x:c r="E1431" s="38" t="str">
        <x:v>int</x:v>
      </x:c>
      <x:c r="F1431" s="56" t="n">
        <x:f>'Passives'!M7</x:f>
        <x:v>0</x:v>
      </x:c>
      <x:c r="G1431" s="38" t="str"/>
      <x:c r="H1431" s="35" t="str">
        <x:v>Passives</x:v>
      </x:c>
      <x:c r="I1431" s="35" t="str">
        <x:v>M7</x:v>
      </x:c>
      <x:c r="J1431" s="85" t="b">
        <x:v>1</x:v>
      </x:c>
      <x:c r="K1431" s="85" t="b">
        <x:v>1</x:v>
      </x:c>
      <x:c r="L1431" s="56" t="str">
        <x:f>'Passives'!V7</x:f>
        <x:v>OK</x:v>
      </x:c>
      <x:c r="M1431" s="44" t="str">
        <x:v>Источник Passives.Duration Ticks</x:v>
      </x:c>
    </x:row>
    <x:row r="1432" ht="36" customHeight="1">
      <x:c r="A1432" s="118" t="n">
        <x:v>1427</x:v>
      </x:c>
      <x:c r="B1432" s="35" t="str">
        <x:v>passive</x:v>
      </x:c>
      <x:c r="C1432" s="35" t="str">
        <x:v>bear_pressure_fuels_rage</x:v>
      </x:c>
      <x:c r="D1432" s="35" t="str">
        <x:v>internal_cooldown_ticks</x:v>
      </x:c>
      <x:c r="E1432" s="38" t="str">
        <x:v>int</x:v>
      </x:c>
      <x:c r="F1432" s="56" t="n">
        <x:f>'Passives'!N7</x:f>
        <x:v>0</x:v>
      </x:c>
      <x:c r="G1432" s="38" t="str"/>
      <x:c r="H1432" s="35" t="str">
        <x:v>Passives</x:v>
      </x:c>
      <x:c r="I1432" s="35" t="str">
        <x:v>N7</x:v>
      </x:c>
      <x:c r="J1432" s="85" t="b">
        <x:v>1</x:v>
      </x:c>
      <x:c r="K1432" s="85" t="b">
        <x:v>1</x:v>
      </x:c>
      <x:c r="L1432" s="56" t="str">
        <x:f>'Passives'!V7</x:f>
        <x:v>OK</x:v>
      </x:c>
      <x:c r="M1432" s="44" t="str">
        <x:v>Источник Passives.Internal Cooldown Ticks</x:v>
      </x:c>
    </x:row>
    <x:row r="1433" ht="36" customHeight="1">
      <x:c r="A1433" s="118" t="n">
        <x:v>1428</x:v>
      </x:c>
      <x:c r="B1433" s="35" t="str">
        <x:v>passive</x:v>
      </x:c>
      <x:c r="C1433" s="35" t="str">
        <x:v>bear_pressure_fuels_rage</x:v>
      </x:c>
      <x:c r="D1433" s="35" t="str">
        <x:v>stack_cap</x:v>
      </x:c>
      <x:c r="E1433" s="38" t="str">
        <x:v>int</x:v>
      </x:c>
      <x:c r="F1433" s="56" t="n">
        <x:f>'Passives'!O7</x:f>
        <x:v>1</x:v>
      </x:c>
      <x:c r="G1433" s="38" t="str"/>
      <x:c r="H1433" s="35" t="str">
        <x:v>Passives</x:v>
      </x:c>
      <x:c r="I1433" s="35" t="str">
        <x:v>O7</x:v>
      </x:c>
      <x:c r="J1433" s="85" t="b">
        <x:v>1</x:v>
      </x:c>
      <x:c r="K1433" s="85" t="b">
        <x:v>1</x:v>
      </x:c>
      <x:c r="L1433" s="56" t="str">
        <x:f>'Passives'!V7</x:f>
        <x:v>OK</x:v>
      </x:c>
      <x:c r="M1433" s="44" t="str">
        <x:v>Источник Passives.Stack Cap</x:v>
      </x:c>
    </x:row>
    <x:row r="1434" ht="36" customHeight="1">
      <x:c r="A1434" s="118" t="n">
        <x:v>1429</x:v>
      </x:c>
      <x:c r="B1434" s="35" t="str">
        <x:v>passive</x:v>
      </x:c>
      <x:c r="C1434" s="35" t="str">
        <x:v>bear_pressure_fuels_rage</x:v>
      </x:c>
      <x:c r="D1434" s="35" t="str">
        <x:v>max_activations_per_tick</x:v>
      </x:c>
      <x:c r="E1434" s="38" t="str">
        <x:v>int</x:v>
      </x:c>
      <x:c r="F1434" s="56" t="n">
        <x:f>'Passives'!P7</x:f>
        <x:v>3</x:v>
      </x:c>
      <x:c r="G1434" s="38" t="str"/>
      <x:c r="H1434" s="35" t="str">
        <x:v>Passives</x:v>
      </x:c>
      <x:c r="I1434" s="35" t="str">
        <x:v>P7</x:v>
      </x:c>
      <x:c r="J1434" s="85" t="b">
        <x:v>1</x:v>
      </x:c>
      <x:c r="K1434" s="85" t="b">
        <x:v>1</x:v>
      </x:c>
      <x:c r="L1434" s="56" t="str">
        <x:f>'Passives'!V7</x:f>
        <x:v>OK</x:v>
      </x:c>
      <x:c r="M1434" s="44" t="str">
        <x:v>Источник Passives.Max Activations / Tick</x:v>
      </x:c>
    </x:row>
    <x:row r="1435" ht="36" customHeight="1">
      <x:c r="A1435" s="118" t="n">
        <x:v>1430</x:v>
      </x:c>
      <x:c r="B1435" s="35" t="str">
        <x:v>passive</x:v>
      </x:c>
      <x:c r="C1435" s="35" t="str">
        <x:v>bear_pressure_fuels_rage</x:v>
      </x:c>
      <x:c r="D1435" s="35" t="str">
        <x:v>max_activations_per_battle</x:v>
      </x:c>
      <x:c r="E1435" s="38" t="str">
        <x:v>int</x:v>
      </x:c>
      <x:c r="F1435" s="56" t="n">
        <x:f>'Passives'!Q7</x:f>
        <x:v>999</x:v>
      </x:c>
      <x:c r="G1435" s="38" t="str"/>
      <x:c r="H1435" s="35" t="str">
        <x:v>Passives</x:v>
      </x:c>
      <x:c r="I1435" s="35" t="str">
        <x:v>Q7</x:v>
      </x:c>
      <x:c r="J1435" s="85" t="b">
        <x:v>1</x:v>
      </x:c>
      <x:c r="K1435" s="85" t="b">
        <x:v>1</x:v>
      </x:c>
      <x:c r="L1435" s="56" t="str">
        <x:f>'Passives'!V7</x:f>
        <x:v>OK</x:v>
      </x:c>
      <x:c r="M1435" s="44" t="str">
        <x:v>Источник Passives.Max Activations / Battle</x:v>
      </x:c>
    </x:row>
    <x:row r="1436" ht="36" customHeight="1">
      <x:c r="A1436" s="118" t="n">
        <x:v>1431</x:v>
      </x:c>
      <x:c r="B1436" s="35" t="str">
        <x:v>passive</x:v>
      </x:c>
      <x:c r="C1436" s="35" t="str">
        <x:v>bear_pressure_fuels_rage</x:v>
      </x:c>
      <x:c r="D1436" s="35" t="str">
        <x:v>resource_gain</x:v>
      </x:c>
      <x:c r="E1436" s="38" t="str">
        <x:v>int</x:v>
      </x:c>
      <x:c r="F1436" s="56" t="n">
        <x:f>'Passives'!R7</x:f>
        <x:v>0</x:v>
      </x:c>
      <x:c r="G1436" s="38" t="str"/>
      <x:c r="H1436" s="35" t="str">
        <x:v>Passives</x:v>
      </x:c>
      <x:c r="I1436" s="35" t="str">
        <x:v>R7</x:v>
      </x:c>
      <x:c r="J1436" s="85" t="b">
        <x:v>1</x:v>
      </x:c>
      <x:c r="K1436" s="85" t="b">
        <x:v>1</x:v>
      </x:c>
      <x:c r="L1436" s="56" t="str">
        <x:f>'Passives'!V7</x:f>
        <x:v>OK</x:v>
      </x:c>
      <x:c r="M1436" s="44" t="str">
        <x:v>Источник Passives.Resource Gain</x:v>
      </x:c>
    </x:row>
    <x:row r="1437" ht="36" customHeight="1">
      <x:c r="A1437" s="118" t="n">
        <x:v>1432</x:v>
      </x:c>
      <x:c r="B1437" s="35" t="str">
        <x:v>passive</x:v>
      </x:c>
      <x:c r="C1437" s="35" t="str">
        <x:v>bear_pressure_fuels_rage</x:v>
      </x:c>
      <x:c r="D1437" s="35" t="str">
        <x:v>weight_multiplier_fp</x:v>
      </x:c>
      <x:c r="E1437" s="38" t="str">
        <x:v>int</x:v>
      </x:c>
      <x:c r="F1437" s="56" t="n">
        <x:f>'Passives'!S7</x:f>
        <x:v>1125</x:v>
      </x:c>
      <x:c r="G1437" s="38" t="str"/>
      <x:c r="H1437" s="35" t="str">
        <x:v>Passives</x:v>
      </x:c>
      <x:c r="I1437" s="35" t="str">
        <x:v>S7</x:v>
      </x:c>
      <x:c r="J1437" s="85" t="b">
        <x:v>1</x:v>
      </x:c>
      <x:c r="K1437" s="85" t="b">
        <x:v>1</x:v>
      </x:c>
      <x:c r="L1437" s="56" t="str">
        <x:f>'Passives'!V7</x:f>
        <x:v>OK</x:v>
      </x:c>
      <x:c r="M1437" s="44" t="str">
        <x:v>Источник Passives.Weight Multiplier FP</x:v>
      </x:c>
    </x:row>
    <x:row r="1438" ht="36" customHeight="1">
      <x:c r="A1438" s="118" t="n">
        <x:v>1433</x:v>
      </x:c>
      <x:c r="B1438" s="35" t="str">
        <x:v>passive</x:v>
      </x:c>
      <x:c r="C1438" s="35" t="str">
        <x:v>bear_pressure_fuels_rage</x:v>
      </x:c>
      <x:c r="D1438" s="35" t="str">
        <x:v>tags</x:v>
      </x:c>
      <x:c r="E1438" s="38" t="str">
        <x:v>string</x:v>
      </x:c>
      <x:c r="F1438" s="56" t="str">
        <x:f>'Passives'!T7</x:f>
        <x:v>resource|signature|comeback</x:v>
      </x:c>
      <x:c r="G1438" s="38" t="str"/>
      <x:c r="H1438" s="35" t="str">
        <x:v>Passives</x:v>
      </x:c>
      <x:c r="I1438" s="35" t="str">
        <x:v>T7</x:v>
      </x:c>
      <x:c r="J1438" s="85" t="b">
        <x:v>1</x:v>
      </x:c>
      <x:c r="K1438" s="85" t="b">
        <x:v>1</x:v>
      </x:c>
      <x:c r="L1438" s="56" t="str">
        <x:f>'Passives'!V7</x:f>
        <x:v>OK</x:v>
      </x:c>
      <x:c r="M1438" s="44" t="str">
        <x:v>Источник Passives.Tags</x:v>
      </x:c>
    </x:row>
    <x:row r="1439" ht="36" customHeight="1">
      <x:c r="A1439" s="118" t="n">
        <x:v>1434</x:v>
      </x:c>
      <x:c r="B1439" s="35" t="str">
        <x:v>passive</x:v>
      </x:c>
      <x:c r="C1439" s="35" t="str">
        <x:v>kangaroo_never_still</x:v>
      </x:c>
      <x:c r="D1439" s="35" t="str">
        <x:v>passive_id</x:v>
      </x:c>
      <x:c r="E1439" s="38" t="str">
        <x:v>string</x:v>
      </x:c>
      <x:c r="F1439" s="56" t="str">
        <x:f>'Passives'!A8</x:f>
        <x:v>kangaroo_never_still</x:v>
      </x:c>
      <x:c r="G1439" s="38" t="str"/>
      <x:c r="H1439" s="35" t="str">
        <x:v>Passives</x:v>
      </x:c>
      <x:c r="I1439" s="35" t="str">
        <x:v>A8</x:v>
      </x:c>
      <x:c r="J1439" s="85" t="b">
        <x:v>1</x:v>
      </x:c>
      <x:c r="K1439" s="85" t="b">
        <x:v>1</x:v>
      </x:c>
      <x:c r="L1439" s="56" t="str">
        <x:f>'Passives'!V8</x:f>
        <x:v>OK</x:v>
      </x:c>
      <x:c r="M1439" s="44" t="str">
        <x:v>Источник Passives.Passive ID</x:v>
      </x:c>
    </x:row>
    <x:row r="1440" ht="36" customHeight="1">
      <x:c r="A1440" s="118" t="n">
        <x:v>1435</x:v>
      </x:c>
      <x:c r="B1440" s="35" t="str">
        <x:v>passive</x:v>
      </x:c>
      <x:c r="C1440" s="35" t="str">
        <x:v>kangaroo_never_still</x:v>
      </x:c>
      <x:c r="D1440" s="35" t="str">
        <x:v>animal_id</x:v>
      </x:c>
      <x:c r="E1440" s="38" t="str">
        <x:v>string</x:v>
      </x:c>
      <x:c r="F1440" s="56" t="str">
        <x:f>'Passives'!B8</x:f>
        <x:v>kangaroo</x:v>
      </x:c>
      <x:c r="G1440" s="38" t="str"/>
      <x:c r="H1440" s="35" t="str">
        <x:v>Passives</x:v>
      </x:c>
      <x:c r="I1440" s="35" t="str">
        <x:v>B8</x:v>
      </x:c>
      <x:c r="J1440" s="85" t="b">
        <x:v>1</x:v>
      </x:c>
      <x:c r="K1440" s="85" t="b">
        <x:v>1</x:v>
      </x:c>
      <x:c r="L1440" s="56" t="str">
        <x:f>'Passives'!V8</x:f>
        <x:v>OK</x:v>
      </x:c>
      <x:c r="M1440" s="44" t="str">
        <x:v>Источник Passives.Animal ID</x:v>
      </x:c>
    </x:row>
    <x:row r="1441" ht="36" customHeight="1">
      <x:c r="A1441" s="118" t="n">
        <x:v>1436</x:v>
      </x:c>
      <x:c r="B1441" s="35" t="str">
        <x:v>passive</x:v>
      </x:c>
      <x:c r="C1441" s="35" t="str">
        <x:v>kangaroo_never_still</x:v>
      </x:c>
      <x:c r="D1441" s="35" t="str">
        <x:v>trigger</x:v>
      </x:c>
      <x:c r="E1441" s="38" t="str">
        <x:v>string</x:v>
      </x:c>
      <x:c r="F1441" s="56" t="str">
        <x:f>'Passives'!D8</x:f>
        <x:v>OnVoluntaryDistanceMoved|OnTempoDecayStart</x:v>
      </x:c>
      <x:c r="G1441" s="38" t="str"/>
      <x:c r="H1441" s="35" t="str">
        <x:v>Passives</x:v>
      </x:c>
      <x:c r="I1441" s="35" t="str">
        <x:v>D8</x:v>
      </x:c>
      <x:c r="J1441" s="85" t="b">
        <x:v>1</x:v>
      </x:c>
      <x:c r="K1441" s="85" t="b">
        <x:v>1</x:v>
      </x:c>
      <x:c r="L1441" s="56" t="str">
        <x:f>'Passives'!V8</x:f>
        <x:v>OK</x:v>
      </x:c>
      <x:c r="M1441" s="44" t="str">
        <x:v>Источник Passives.Trigger</x:v>
      </x:c>
    </x:row>
    <x:row r="1442" ht="36" customHeight="1">
      <x:c r="A1442" s="118" t="n">
        <x:v>1437</x:v>
      </x:c>
      <x:c r="B1442" s="35" t="str">
        <x:v>passive</x:v>
      </x:c>
      <x:c r="C1442" s="35" t="str">
        <x:v>kangaroo_never_still</x:v>
      </x:c>
      <x:c r="D1442" s="35" t="str">
        <x:v>conditions</x:v>
      </x:c>
      <x:c r="E1442" s="38" t="str">
        <x:v>string</x:v>
      </x:c>
      <x:c r="F1442" s="56" t="str">
        <x:f>'Passives'!E8</x:f>
        <x:v>voluntary_movement_only</x:v>
      </x:c>
      <x:c r="G1442" s="38" t="str"/>
      <x:c r="H1442" s="35" t="str">
        <x:v>Passives</x:v>
      </x:c>
      <x:c r="I1442" s="35" t="str">
        <x:v>E8</x:v>
      </x:c>
      <x:c r="J1442" s="85" t="b">
        <x:v>1</x:v>
      </x:c>
      <x:c r="K1442" s="85" t="b">
        <x:v>1</x:v>
      </x:c>
      <x:c r="L1442" s="56" t="str">
        <x:f>'Passives'!V8</x:f>
        <x:v>OK</x:v>
      </x:c>
      <x:c r="M1442" s="44" t="str">
        <x:v>Источник Passives.Conditions</x:v>
      </x:c>
    </x:row>
    <x:row r="1443" ht="36" customHeight="1">
      <x:c r="A1443" s="118" t="n">
        <x:v>1438</x:v>
      </x:c>
      <x:c r="B1443" s="35" t="str">
        <x:v>passive</x:v>
      </x:c>
      <x:c r="C1443" s="35" t="str">
        <x:v>kangaroo_never_still</x:v>
      </x:c>
      <x:c r="D1443" s="35" t="str">
        <x:v>effect_id</x:v>
      </x:c>
      <x:c r="E1443" s="38" t="str">
        <x:v>string</x:v>
      </x:c>
      <x:c r="F1443" s="56" t="str">
        <x:f>'Passives'!F8</x:f>
      </x:c>
      <x:c r="G1443" s="38" t="str"/>
      <x:c r="H1443" s="35" t="str">
        <x:v>Passives</x:v>
      </x:c>
      <x:c r="I1443" s="35" t="str">
        <x:v>F8</x:v>
      </x:c>
      <x:c r="J1443" s="85" t="b">
        <x:v>0</x:v>
      </x:c>
      <x:c r="K1443" s="85" t="b">
        <x:v>1</x:v>
      </x:c>
      <x:c r="L1443" s="56" t="str">
        <x:f>'Passives'!V8</x:f>
        <x:v>OK</x:v>
      </x:c>
      <x:c r="M1443" s="44" t="str">
        <x:v>Источник Passives.Effect ID</x:v>
      </x:c>
    </x:row>
    <x:row r="1444" ht="36" customHeight="1">
      <x:c r="A1444" s="118" t="n">
        <x:v>1439</x:v>
      </x:c>
      <x:c r="B1444" s="35" t="str">
        <x:v>passive</x:v>
      </x:c>
      <x:c r="C1444" s="35" t="str">
        <x:v>kangaroo_never_still</x:v>
      </x:c>
      <x:c r="D1444" s="35" t="str">
        <x:v>modifier_stat1</x:v>
      </x:c>
      <x:c r="E1444" s="38" t="str">
        <x:v>string</x:v>
      </x:c>
      <x:c r="F1444" s="56" t="str">
        <x:f>'Passives'!G8</x:f>
        <x:v>TempoPerUnit</x:v>
      </x:c>
      <x:c r="G1444" s="38" t="str"/>
      <x:c r="H1444" s="35" t="str">
        <x:v>Passives</x:v>
      </x:c>
      <x:c r="I1444" s="35" t="str">
        <x:v>G8</x:v>
      </x:c>
      <x:c r="J1444" s="85" t="b">
        <x:v>1</x:v>
      </x:c>
      <x:c r="K1444" s="85" t="b">
        <x:v>1</x:v>
      </x:c>
      <x:c r="L1444" s="56" t="str">
        <x:f>'Passives'!V8</x:f>
        <x:v>OK</x:v>
      </x:c>
      <x:c r="M1444" s="44" t="str">
        <x:v>Источник Passives.Modifier Stat 1</x:v>
      </x:c>
    </x:row>
    <x:row r="1445" ht="36" customHeight="1">
      <x:c r="A1445" s="118" t="n">
        <x:v>1440</x:v>
      </x:c>
      <x:c r="B1445" s="35" t="str">
        <x:v>passive</x:v>
      </x:c>
      <x:c r="C1445" s="35" t="str">
        <x:v>kangaroo_never_still</x:v>
      </x:c>
      <x:c r="D1445" s="35" t="str">
        <x:v>operation1</x:v>
      </x:c>
      <x:c r="E1445" s="38" t="str">
        <x:v>string</x:v>
      </x:c>
      <x:c r="F1445" s="56" t="str">
        <x:f>'Passives'!H8</x:f>
        <x:v>Multiply</x:v>
      </x:c>
      <x:c r="G1445" s="38" t="str"/>
      <x:c r="H1445" s="35" t="str">
        <x:v>Passives</x:v>
      </x:c>
      <x:c r="I1445" s="35" t="str">
        <x:v>H8</x:v>
      </x:c>
      <x:c r="J1445" s="85" t="b">
        <x:v>1</x:v>
      </x:c>
      <x:c r="K1445" s="85" t="b">
        <x:v>1</x:v>
      </x:c>
      <x:c r="L1445" s="56" t="str">
        <x:f>'Passives'!V8</x:f>
        <x:v>OK</x:v>
      </x:c>
      <x:c r="M1445" s="44" t="str">
        <x:v>Источник Passives.Operation 1</x:v>
      </x:c>
    </x:row>
    <x:row r="1446" ht="36" customHeight="1">
      <x:c r="A1446" s="118" t="n">
        <x:v>1441</x:v>
      </x:c>
      <x:c r="B1446" s="35" t="str">
        <x:v>passive</x:v>
      </x:c>
      <x:c r="C1446" s="35" t="str">
        <x:v>kangaroo_never_still</x:v>
      </x:c>
      <x:c r="D1446" s="35" t="str">
        <x:v>value1</x:v>
      </x:c>
      <x:c r="E1446" s="38" t="str">
        <x:v>int</x:v>
      </x:c>
      <x:c r="F1446" s="56" t="n">
        <x:f>'Passives'!I8</x:f>
        <x:v>1250</x:v>
      </x:c>
      <x:c r="G1446" s="38" t="str"/>
      <x:c r="H1446" s="35" t="str">
        <x:v>Passives</x:v>
      </x:c>
      <x:c r="I1446" s="35" t="str">
        <x:v>I8</x:v>
      </x:c>
      <x:c r="J1446" s="85" t="b">
        <x:v>1</x:v>
      </x:c>
      <x:c r="K1446" s="85" t="b">
        <x:v>1</x:v>
      </x:c>
      <x:c r="L1446" s="56" t="str">
        <x:f>'Passives'!V8</x:f>
        <x:v>OK</x:v>
      </x:c>
      <x:c r="M1446" s="44" t="str">
        <x:v>Источник Passives.Value 1</x:v>
      </x:c>
    </x:row>
    <x:row r="1447" ht="36" customHeight="1">
      <x:c r="A1447" s="118" t="n">
        <x:v>1442</x:v>
      </x:c>
      <x:c r="B1447" s="35" t="str">
        <x:v>passive</x:v>
      </x:c>
      <x:c r="C1447" s="35" t="str">
        <x:v>kangaroo_never_still</x:v>
      </x:c>
      <x:c r="D1447" s="35" t="str">
        <x:v>modifier_stat2</x:v>
      </x:c>
      <x:c r="E1447" s="38" t="str">
        <x:v>string</x:v>
      </x:c>
      <x:c r="F1447" s="56" t="str">
        <x:f>'Passives'!J8</x:f>
        <x:v>DecayGraceTicks</x:v>
      </x:c>
      <x:c r="G1447" s="38" t="str"/>
      <x:c r="H1447" s="35" t="str">
        <x:v>Passives</x:v>
      </x:c>
      <x:c r="I1447" s="35" t="str">
        <x:v>J8</x:v>
      </x:c>
      <x:c r="J1447" s="85" t="b">
        <x:v>1</x:v>
      </x:c>
      <x:c r="K1447" s="85" t="b">
        <x:v>1</x:v>
      </x:c>
      <x:c r="L1447" s="56" t="str">
        <x:f>'Passives'!V8</x:f>
        <x:v>OK</x:v>
      </x:c>
      <x:c r="M1447" s="44" t="str">
        <x:v>Источник Passives.Modifier Stat 2</x:v>
      </x:c>
    </x:row>
    <x:row r="1448" ht="36" customHeight="1">
      <x:c r="A1448" s="118" t="n">
        <x:v>1443</x:v>
      </x:c>
      <x:c r="B1448" s="35" t="str">
        <x:v>passive</x:v>
      </x:c>
      <x:c r="C1448" s="35" t="str">
        <x:v>kangaroo_never_still</x:v>
      </x:c>
      <x:c r="D1448" s="35" t="str">
        <x:v>operation2</x:v>
      </x:c>
      <x:c r="E1448" s="38" t="str">
        <x:v>string</x:v>
      </x:c>
      <x:c r="F1448" s="56" t="str">
        <x:f>'Passives'!K8</x:f>
        <x:v>Add</x:v>
      </x:c>
      <x:c r="G1448" s="38" t="str"/>
      <x:c r="H1448" s="35" t="str">
        <x:v>Passives</x:v>
      </x:c>
      <x:c r="I1448" s="35" t="str">
        <x:v>K8</x:v>
      </x:c>
      <x:c r="J1448" s="85" t="b">
        <x:v>1</x:v>
      </x:c>
      <x:c r="K1448" s="85" t="b">
        <x:v>1</x:v>
      </x:c>
      <x:c r="L1448" s="56" t="str">
        <x:f>'Passives'!V8</x:f>
        <x:v>OK</x:v>
      </x:c>
      <x:c r="M1448" s="44" t="str">
        <x:v>Источник Passives.Operation 2</x:v>
      </x:c>
    </x:row>
    <x:row r="1449" ht="36" customHeight="1">
      <x:c r="A1449" s="118" t="n">
        <x:v>1444</x:v>
      </x:c>
      <x:c r="B1449" s="35" t="str">
        <x:v>passive</x:v>
      </x:c>
      <x:c r="C1449" s="35" t="str">
        <x:v>kangaroo_never_still</x:v>
      </x:c>
      <x:c r="D1449" s="35" t="str">
        <x:v>value2</x:v>
      </x:c>
      <x:c r="E1449" s="38" t="str">
        <x:v>int</x:v>
      </x:c>
      <x:c r="F1449" s="56" t="n">
        <x:f>'Passives'!L8</x:f>
        <x:v>10</x:v>
      </x:c>
      <x:c r="G1449" s="38" t="str"/>
      <x:c r="H1449" s="35" t="str">
        <x:v>Passives</x:v>
      </x:c>
      <x:c r="I1449" s="35" t="str">
        <x:v>L8</x:v>
      </x:c>
      <x:c r="J1449" s="85" t="b">
        <x:v>1</x:v>
      </x:c>
      <x:c r="K1449" s="85" t="b">
        <x:v>1</x:v>
      </x:c>
      <x:c r="L1449" s="56" t="str">
        <x:f>'Passives'!V8</x:f>
        <x:v>OK</x:v>
      </x:c>
      <x:c r="M1449" s="44" t="str">
        <x:v>Источник Passives.Value 2</x:v>
      </x:c>
    </x:row>
    <x:row r="1450" ht="36" customHeight="1">
      <x:c r="A1450" s="118" t="n">
        <x:v>1445</x:v>
      </x:c>
      <x:c r="B1450" s="35" t="str">
        <x:v>passive</x:v>
      </x:c>
      <x:c r="C1450" s="35" t="str">
        <x:v>kangaroo_never_still</x:v>
      </x:c>
      <x:c r="D1450" s="35" t="str">
        <x:v>duration_ticks</x:v>
      </x:c>
      <x:c r="E1450" s="38" t="str">
        <x:v>int</x:v>
      </x:c>
      <x:c r="F1450" s="56" t="n">
        <x:f>'Passives'!M8</x:f>
        <x:v>0</x:v>
      </x:c>
      <x:c r="G1450" s="38" t="str"/>
      <x:c r="H1450" s="35" t="str">
        <x:v>Passives</x:v>
      </x:c>
      <x:c r="I1450" s="35" t="str">
        <x:v>M8</x:v>
      </x:c>
      <x:c r="J1450" s="85" t="b">
        <x:v>1</x:v>
      </x:c>
      <x:c r="K1450" s="85" t="b">
        <x:v>1</x:v>
      </x:c>
      <x:c r="L1450" s="56" t="str">
        <x:f>'Passives'!V8</x:f>
        <x:v>OK</x:v>
      </x:c>
      <x:c r="M1450" s="44" t="str">
        <x:v>Источник Passives.Duration Ticks</x:v>
      </x:c>
    </x:row>
    <x:row r="1451" ht="36" customHeight="1">
      <x:c r="A1451" s="118" t="n">
        <x:v>1446</x:v>
      </x:c>
      <x:c r="B1451" s="35" t="str">
        <x:v>passive</x:v>
      </x:c>
      <x:c r="C1451" s="35" t="str">
        <x:v>kangaroo_never_still</x:v>
      </x:c>
      <x:c r="D1451" s="35" t="str">
        <x:v>internal_cooldown_ticks</x:v>
      </x:c>
      <x:c r="E1451" s="38" t="str">
        <x:v>int</x:v>
      </x:c>
      <x:c r="F1451" s="56" t="n">
        <x:f>'Passives'!N8</x:f>
        <x:v>0</x:v>
      </x:c>
      <x:c r="G1451" s="38" t="str"/>
      <x:c r="H1451" s="35" t="str">
        <x:v>Passives</x:v>
      </x:c>
      <x:c r="I1451" s="35" t="str">
        <x:v>N8</x:v>
      </x:c>
      <x:c r="J1451" s="85" t="b">
        <x:v>1</x:v>
      </x:c>
      <x:c r="K1451" s="85" t="b">
        <x:v>1</x:v>
      </x:c>
      <x:c r="L1451" s="56" t="str">
        <x:f>'Passives'!V8</x:f>
        <x:v>OK</x:v>
      </x:c>
      <x:c r="M1451" s="44" t="str">
        <x:v>Источник Passives.Internal Cooldown Ticks</x:v>
      </x:c>
    </x:row>
    <x:row r="1452" ht="36" customHeight="1">
      <x:c r="A1452" s="118" t="n">
        <x:v>1447</x:v>
      </x:c>
      <x:c r="B1452" s="35" t="str">
        <x:v>passive</x:v>
      </x:c>
      <x:c r="C1452" s="35" t="str">
        <x:v>kangaroo_never_still</x:v>
      </x:c>
      <x:c r="D1452" s="35" t="str">
        <x:v>stack_cap</x:v>
      </x:c>
      <x:c r="E1452" s="38" t="str">
        <x:v>int</x:v>
      </x:c>
      <x:c r="F1452" s="56" t="n">
        <x:f>'Passives'!O8</x:f>
        <x:v>1</x:v>
      </x:c>
      <x:c r="G1452" s="38" t="str"/>
      <x:c r="H1452" s="35" t="str">
        <x:v>Passives</x:v>
      </x:c>
      <x:c r="I1452" s="35" t="str">
        <x:v>O8</x:v>
      </x:c>
      <x:c r="J1452" s="85" t="b">
        <x:v>1</x:v>
      </x:c>
      <x:c r="K1452" s="85" t="b">
        <x:v>1</x:v>
      </x:c>
      <x:c r="L1452" s="56" t="str">
        <x:f>'Passives'!V8</x:f>
        <x:v>OK</x:v>
      </x:c>
      <x:c r="M1452" s="44" t="str">
        <x:v>Источник Passives.Stack Cap</x:v>
      </x:c>
    </x:row>
    <x:row r="1453" ht="36" customHeight="1">
      <x:c r="A1453" s="118" t="n">
        <x:v>1448</x:v>
      </x:c>
      <x:c r="B1453" s="35" t="str">
        <x:v>passive</x:v>
      </x:c>
      <x:c r="C1453" s="35" t="str">
        <x:v>kangaroo_never_still</x:v>
      </x:c>
      <x:c r="D1453" s="35" t="str">
        <x:v>max_activations_per_tick</x:v>
      </x:c>
      <x:c r="E1453" s="38" t="str">
        <x:v>int</x:v>
      </x:c>
      <x:c r="F1453" s="56" t="n">
        <x:f>'Passives'!P8</x:f>
        <x:v>1</x:v>
      </x:c>
      <x:c r="G1453" s="38" t="str"/>
      <x:c r="H1453" s="35" t="str">
        <x:v>Passives</x:v>
      </x:c>
      <x:c r="I1453" s="35" t="str">
        <x:v>P8</x:v>
      </x:c>
      <x:c r="J1453" s="85" t="b">
        <x:v>1</x:v>
      </x:c>
      <x:c r="K1453" s="85" t="b">
        <x:v>1</x:v>
      </x:c>
      <x:c r="L1453" s="56" t="str">
        <x:f>'Passives'!V8</x:f>
        <x:v>OK</x:v>
      </x:c>
      <x:c r="M1453" s="44" t="str">
        <x:v>Источник Passives.Max Activations / Tick</x:v>
      </x:c>
    </x:row>
    <x:row r="1454" ht="36" customHeight="1">
      <x:c r="A1454" s="118" t="n">
        <x:v>1449</x:v>
      </x:c>
      <x:c r="B1454" s="35" t="str">
        <x:v>passive</x:v>
      </x:c>
      <x:c r="C1454" s="35" t="str">
        <x:v>kangaroo_never_still</x:v>
      </x:c>
      <x:c r="D1454" s="35" t="str">
        <x:v>max_activations_per_battle</x:v>
      </x:c>
      <x:c r="E1454" s="38" t="str">
        <x:v>int</x:v>
      </x:c>
      <x:c r="F1454" s="56" t="n">
        <x:f>'Passives'!Q8</x:f>
        <x:v>999</x:v>
      </x:c>
      <x:c r="G1454" s="38" t="str"/>
      <x:c r="H1454" s="35" t="str">
        <x:v>Passives</x:v>
      </x:c>
      <x:c r="I1454" s="35" t="str">
        <x:v>Q8</x:v>
      </x:c>
      <x:c r="J1454" s="85" t="b">
        <x:v>1</x:v>
      </x:c>
      <x:c r="K1454" s="85" t="b">
        <x:v>1</x:v>
      </x:c>
      <x:c r="L1454" s="56" t="str">
        <x:f>'Passives'!V8</x:f>
        <x:v>OK</x:v>
      </x:c>
      <x:c r="M1454" s="44" t="str">
        <x:v>Источник Passives.Max Activations / Battle</x:v>
      </x:c>
    </x:row>
    <x:row r="1455" ht="36" customHeight="1">
      <x:c r="A1455" s="118" t="n">
        <x:v>1450</x:v>
      </x:c>
      <x:c r="B1455" s="35" t="str">
        <x:v>passive</x:v>
      </x:c>
      <x:c r="C1455" s="35" t="str">
        <x:v>kangaroo_never_still</x:v>
      </x:c>
      <x:c r="D1455" s="35" t="str">
        <x:v>resource_gain</x:v>
      </x:c>
      <x:c r="E1455" s="38" t="str">
        <x:v>int</x:v>
      </x:c>
      <x:c r="F1455" s="56" t="n">
        <x:f>'Passives'!R8</x:f>
        <x:v>0</x:v>
      </x:c>
      <x:c r="G1455" s="38" t="str"/>
      <x:c r="H1455" s="35" t="str">
        <x:v>Passives</x:v>
      </x:c>
      <x:c r="I1455" s="35" t="str">
        <x:v>R8</x:v>
      </x:c>
      <x:c r="J1455" s="85" t="b">
        <x:v>1</x:v>
      </x:c>
      <x:c r="K1455" s="85" t="b">
        <x:v>1</x:v>
      </x:c>
      <x:c r="L1455" s="56" t="str">
        <x:f>'Passives'!V8</x:f>
        <x:v>OK</x:v>
      </x:c>
      <x:c r="M1455" s="44" t="str">
        <x:v>Источник Passives.Resource Gain</x:v>
      </x:c>
    </x:row>
    <x:row r="1456" ht="36" customHeight="1">
      <x:c r="A1456" s="118" t="n">
        <x:v>1451</x:v>
      </x:c>
      <x:c r="B1456" s="35" t="str">
        <x:v>passive</x:v>
      </x:c>
      <x:c r="C1456" s="35" t="str">
        <x:v>kangaroo_never_still</x:v>
      </x:c>
      <x:c r="D1456" s="35" t="str">
        <x:v>weight_multiplier_fp</x:v>
      </x:c>
      <x:c r="E1456" s="38" t="str">
        <x:v>int</x:v>
      </x:c>
      <x:c r="F1456" s="56" t="n">
        <x:f>'Passives'!S8</x:f>
        <x:v>1100</x:v>
      </x:c>
      <x:c r="G1456" s="38" t="str"/>
      <x:c r="H1456" s="35" t="str">
        <x:v>Passives</x:v>
      </x:c>
      <x:c r="I1456" s="35" t="str">
        <x:v>S8</x:v>
      </x:c>
      <x:c r="J1456" s="85" t="b">
        <x:v>1</x:v>
      </x:c>
      <x:c r="K1456" s="85" t="b">
        <x:v>1</x:v>
      </x:c>
      <x:c r="L1456" s="56" t="str">
        <x:f>'Passives'!V8</x:f>
        <x:v>OK</x:v>
      </x:c>
      <x:c r="M1456" s="44" t="str">
        <x:v>Источник Passives.Weight Multiplier FP</x:v>
      </x:c>
    </x:row>
    <x:row r="1457" ht="36" customHeight="1">
      <x:c r="A1457" s="118" t="n">
        <x:v>1452</x:v>
      </x:c>
      <x:c r="B1457" s="35" t="str">
        <x:v>passive</x:v>
      </x:c>
      <x:c r="C1457" s="35" t="str">
        <x:v>kangaroo_never_still</x:v>
      </x:c>
      <x:c r="D1457" s="35" t="str">
        <x:v>tags</x:v>
      </x:c>
      <x:c r="E1457" s="38" t="str">
        <x:v>string</x:v>
      </x:c>
      <x:c r="F1457" s="56" t="str">
        <x:f>'Passives'!T8</x:f>
        <x:v>movement|resource</x:v>
      </x:c>
      <x:c r="G1457" s="38" t="str"/>
      <x:c r="H1457" s="35" t="str">
        <x:v>Passives</x:v>
      </x:c>
      <x:c r="I1457" s="35" t="str">
        <x:v>T8</x:v>
      </x:c>
      <x:c r="J1457" s="85" t="b">
        <x:v>1</x:v>
      </x:c>
      <x:c r="K1457" s="85" t="b">
        <x:v>1</x:v>
      </x:c>
      <x:c r="L1457" s="56" t="str">
        <x:f>'Passives'!V8</x:f>
        <x:v>OK</x:v>
      </x:c>
      <x:c r="M1457" s="44" t="str">
        <x:v>Источник Passives.Tags</x:v>
      </x:c>
    </x:row>
    <x:row r="1458" ht="36" customHeight="1">
      <x:c r="A1458" s="118" t="n">
        <x:v>1453</x:v>
      </x:c>
      <x:c r="B1458" s="35" t="str">
        <x:v>passive</x:v>
      </x:c>
      <x:c r="C1458" s="35" t="str">
        <x:v>kangaroo_clean_rhythm</x:v>
      </x:c>
      <x:c r="D1458" s="35" t="str">
        <x:v>passive_id</x:v>
      </x:c>
      <x:c r="E1458" s="38" t="str">
        <x:v>string</x:v>
      </x:c>
      <x:c r="F1458" s="56" t="str">
        <x:f>'Passives'!A9</x:f>
        <x:v>kangaroo_clean_rhythm</x:v>
      </x:c>
      <x:c r="G1458" s="38" t="str"/>
      <x:c r="H1458" s="35" t="str">
        <x:v>Passives</x:v>
      </x:c>
      <x:c r="I1458" s="35" t="str">
        <x:v>A9</x:v>
      </x:c>
      <x:c r="J1458" s="85" t="b">
        <x:v>1</x:v>
      </x:c>
      <x:c r="K1458" s="85" t="b">
        <x:v>1</x:v>
      </x:c>
      <x:c r="L1458" s="56" t="str">
        <x:f>'Passives'!V9</x:f>
        <x:v>OK</x:v>
      </x:c>
      <x:c r="M1458" s="44" t="str">
        <x:v>Источник Passives.Passive ID</x:v>
      </x:c>
    </x:row>
    <x:row r="1459" ht="36" customHeight="1">
      <x:c r="A1459" s="118" t="n">
        <x:v>1454</x:v>
      </x:c>
      <x:c r="B1459" s="35" t="str">
        <x:v>passive</x:v>
      </x:c>
      <x:c r="C1459" s="35" t="str">
        <x:v>kangaroo_clean_rhythm</x:v>
      </x:c>
      <x:c r="D1459" s="35" t="str">
        <x:v>animal_id</x:v>
      </x:c>
      <x:c r="E1459" s="38" t="str">
        <x:v>string</x:v>
      </x:c>
      <x:c r="F1459" s="56" t="str">
        <x:f>'Passives'!B9</x:f>
        <x:v>kangaroo</x:v>
      </x:c>
      <x:c r="G1459" s="38" t="str"/>
      <x:c r="H1459" s="35" t="str">
        <x:v>Passives</x:v>
      </x:c>
      <x:c r="I1459" s="35" t="str">
        <x:v>B9</x:v>
      </x:c>
      <x:c r="J1459" s="85" t="b">
        <x:v>1</x:v>
      </x:c>
      <x:c r="K1459" s="85" t="b">
        <x:v>1</x:v>
      </x:c>
      <x:c r="L1459" s="56" t="str">
        <x:f>'Passives'!V9</x:f>
        <x:v>OK</x:v>
      </x:c>
      <x:c r="M1459" s="44" t="str">
        <x:v>Источник Passives.Animal ID</x:v>
      </x:c>
    </x:row>
    <x:row r="1460" ht="36" customHeight="1">
      <x:c r="A1460" s="118" t="n">
        <x:v>1455</x:v>
      </x:c>
      <x:c r="B1460" s="35" t="str">
        <x:v>passive</x:v>
      </x:c>
      <x:c r="C1460" s="35" t="str">
        <x:v>kangaroo_clean_rhythm</x:v>
      </x:c>
      <x:c r="D1460" s="35" t="str">
        <x:v>trigger</x:v>
      </x:c>
      <x:c r="E1460" s="38" t="str">
        <x:v>string</x:v>
      </x:c>
      <x:c r="F1460" s="56" t="str">
        <x:f>'Passives'!D9</x:f>
        <x:v>OnNewCategoryHit</x:v>
      </x:c>
      <x:c r="G1460" s="38" t="str"/>
      <x:c r="H1460" s="35" t="str">
        <x:v>Passives</x:v>
      </x:c>
      <x:c r="I1460" s="35" t="str">
        <x:v>D9</x:v>
      </x:c>
      <x:c r="J1460" s="85" t="b">
        <x:v>1</x:v>
      </x:c>
      <x:c r="K1460" s="85" t="b">
        <x:v>1</x:v>
      </x:c>
      <x:c r="L1460" s="56" t="str">
        <x:f>'Passives'!V9</x:f>
        <x:v>OK</x:v>
      </x:c>
      <x:c r="M1460" s="44" t="str">
        <x:v>Источник Passives.Trigger</x:v>
      </x:c>
    </x:row>
    <x:row r="1461" ht="36" customHeight="1">
      <x:c r="A1461" s="118" t="n">
        <x:v>1456</x:v>
      </x:c>
      <x:c r="B1461" s="35" t="str">
        <x:v>passive</x:v>
      </x:c>
      <x:c r="C1461" s="35" t="str">
        <x:v>kangaroo_clean_rhythm</x:v>
      </x:c>
      <x:c r="D1461" s="35" t="str">
        <x:v>conditions</x:v>
      </x:c>
      <x:c r="E1461" s="38" t="str">
        <x:v>string</x:v>
      </x:c>
      <x:c r="F1461" s="56" t="str">
        <x:f>'Passives'!E9</x:f>
        <x:v>category_changed; internal_cooldown_ready</x:v>
      </x:c>
      <x:c r="G1461" s="38" t="str"/>
      <x:c r="H1461" s="35" t="str">
        <x:v>Passives</x:v>
      </x:c>
      <x:c r="I1461" s="35" t="str">
        <x:v>E9</x:v>
      </x:c>
      <x:c r="J1461" s="85" t="b">
        <x:v>1</x:v>
      </x:c>
      <x:c r="K1461" s="85" t="b">
        <x:v>1</x:v>
      </x:c>
      <x:c r="L1461" s="56" t="str">
        <x:f>'Passives'!V9</x:f>
        <x:v>OK</x:v>
      </x:c>
      <x:c r="M1461" s="44" t="str">
        <x:v>Источник Passives.Conditions</x:v>
      </x:c>
    </x:row>
    <x:row r="1462" ht="36" customHeight="1">
      <x:c r="A1462" s="118" t="n">
        <x:v>1457</x:v>
      </x:c>
      <x:c r="B1462" s="35" t="str">
        <x:v>passive</x:v>
      </x:c>
      <x:c r="C1462" s="35" t="str">
        <x:v>kangaroo_clean_rhythm</x:v>
      </x:c>
      <x:c r="D1462" s="35" t="str">
        <x:v>effect_id</x:v>
      </x:c>
      <x:c r="E1462" s="38" t="str">
        <x:v>string</x:v>
      </x:c>
      <x:c r="F1462" s="56" t="str">
        <x:f>'Passives'!F9</x:f>
        <x:v>effect_kangaroo_clean_rhythm</x:v>
      </x:c>
      <x:c r="G1462" s="38" t="str"/>
      <x:c r="H1462" s="35" t="str">
        <x:v>Passives</x:v>
      </x:c>
      <x:c r="I1462" s="35" t="str">
        <x:v>F9</x:v>
      </x:c>
      <x:c r="J1462" s="85" t="b">
        <x:v>0</x:v>
      </x:c>
      <x:c r="K1462" s="85" t="b">
        <x:v>1</x:v>
      </x:c>
      <x:c r="L1462" s="56" t="str">
        <x:f>'Passives'!V9</x:f>
        <x:v>OK</x:v>
      </x:c>
      <x:c r="M1462" s="44" t="str">
        <x:v>Источник Passives.Effect ID</x:v>
      </x:c>
    </x:row>
    <x:row r="1463" ht="36" customHeight="1">
      <x:c r="A1463" s="118" t="n">
        <x:v>1458</x:v>
      </x:c>
      <x:c r="B1463" s="35" t="str">
        <x:v>passive</x:v>
      </x:c>
      <x:c r="C1463" s="35" t="str">
        <x:v>kangaroo_clean_rhythm</x:v>
      </x:c>
      <x:c r="D1463" s="35" t="str">
        <x:v>modifier_stat1</x:v>
      </x:c>
      <x:c r="E1463" s="38" t="str">
        <x:v>string</x:v>
      </x:c>
      <x:c r="F1463" s="56" t="str">
        <x:f>'Passives'!G9</x:f>
        <x:v>Precision</x:v>
      </x:c>
      <x:c r="G1463" s="38" t="str"/>
      <x:c r="H1463" s="35" t="str">
        <x:v>Passives</x:v>
      </x:c>
      <x:c r="I1463" s="35" t="str">
        <x:v>G9</x:v>
      </x:c>
      <x:c r="J1463" s="85" t="b">
        <x:v>1</x:v>
      </x:c>
      <x:c r="K1463" s="85" t="b">
        <x:v>1</x:v>
      </x:c>
      <x:c r="L1463" s="56" t="str">
        <x:f>'Passives'!V9</x:f>
        <x:v>OK</x:v>
      </x:c>
      <x:c r="M1463" s="44" t="str">
        <x:v>Источник Passives.Modifier Stat 1</x:v>
      </x:c>
    </x:row>
    <x:row r="1464" ht="36" customHeight="1">
      <x:c r="A1464" s="118" t="n">
        <x:v>1459</x:v>
      </x:c>
      <x:c r="B1464" s="35" t="str">
        <x:v>passive</x:v>
      </x:c>
      <x:c r="C1464" s="35" t="str">
        <x:v>kangaroo_clean_rhythm</x:v>
      </x:c>
      <x:c r="D1464" s="35" t="str">
        <x:v>operation1</x:v>
      </x:c>
      <x:c r="E1464" s="38" t="str">
        <x:v>string</x:v>
      </x:c>
      <x:c r="F1464" s="56" t="str">
        <x:f>'Passives'!H9</x:f>
        <x:v>Add</x:v>
      </x:c>
      <x:c r="G1464" s="38" t="str"/>
      <x:c r="H1464" s="35" t="str">
        <x:v>Passives</x:v>
      </x:c>
      <x:c r="I1464" s="35" t="str">
        <x:v>H9</x:v>
      </x:c>
      <x:c r="J1464" s="85" t="b">
        <x:v>1</x:v>
      </x:c>
      <x:c r="K1464" s="85" t="b">
        <x:v>1</x:v>
      </x:c>
      <x:c r="L1464" s="56" t="str">
        <x:f>'Passives'!V9</x:f>
        <x:v>OK</x:v>
      </x:c>
      <x:c r="M1464" s="44" t="str">
        <x:v>Источник Passives.Operation 1</x:v>
      </x:c>
    </x:row>
    <x:row r="1465" ht="36" customHeight="1">
      <x:c r="A1465" s="118" t="n">
        <x:v>1460</x:v>
      </x:c>
      <x:c r="B1465" s="35" t="str">
        <x:v>passive</x:v>
      </x:c>
      <x:c r="C1465" s="35" t="str">
        <x:v>kangaroo_clean_rhythm</x:v>
      </x:c>
      <x:c r="D1465" s="35" t="str">
        <x:v>value1</x:v>
      </x:c>
      <x:c r="E1465" s="38" t="str">
        <x:v>int</x:v>
      </x:c>
      <x:c r="F1465" s="56" t="n">
        <x:f>'Passives'!I9</x:f>
        <x:v>8</x:v>
      </x:c>
      <x:c r="G1465" s="38" t="str"/>
      <x:c r="H1465" s="35" t="str">
        <x:v>Passives</x:v>
      </x:c>
      <x:c r="I1465" s="35" t="str">
        <x:v>I9</x:v>
      </x:c>
      <x:c r="J1465" s="85" t="b">
        <x:v>1</x:v>
      </x:c>
      <x:c r="K1465" s="85" t="b">
        <x:v>1</x:v>
      </x:c>
      <x:c r="L1465" s="56" t="str">
        <x:f>'Passives'!V9</x:f>
        <x:v>OK</x:v>
      </x:c>
      <x:c r="M1465" s="44" t="str">
        <x:v>Источник Passives.Value 1</x:v>
      </x:c>
    </x:row>
    <x:row r="1466" ht="36" customHeight="1">
      <x:c r="A1466" s="118" t="n">
        <x:v>1461</x:v>
      </x:c>
      <x:c r="B1466" s="35" t="str">
        <x:v>passive</x:v>
      </x:c>
      <x:c r="C1466" s="35" t="str">
        <x:v>kangaroo_clean_rhythm</x:v>
      </x:c>
      <x:c r="D1466" s="35" t="str">
        <x:v>modifier_stat2</x:v>
      </x:c>
      <x:c r="E1466" s="38" t="str">
        <x:v>string</x:v>
      </x:c>
      <x:c r="F1466" s="56" t="str">
        <x:f>'Passives'!J9</x:f>
        <x:v>ActionSpeed</x:v>
      </x:c>
      <x:c r="G1466" s="38" t="str"/>
      <x:c r="H1466" s="35" t="str">
        <x:v>Passives</x:v>
      </x:c>
      <x:c r="I1466" s="35" t="str">
        <x:v>J9</x:v>
      </x:c>
      <x:c r="J1466" s="85" t="b">
        <x:v>1</x:v>
      </x:c>
      <x:c r="K1466" s="85" t="b">
        <x:v>1</x:v>
      </x:c>
      <x:c r="L1466" s="56" t="str">
        <x:f>'Passives'!V9</x:f>
        <x:v>OK</x:v>
      </x:c>
      <x:c r="M1466" s="44" t="str">
        <x:v>Источник Passives.Modifier Stat 2</x:v>
      </x:c>
    </x:row>
    <x:row r="1467" ht="36" customHeight="1">
      <x:c r="A1467" s="118" t="n">
        <x:v>1462</x:v>
      </x:c>
      <x:c r="B1467" s="35" t="str">
        <x:v>passive</x:v>
      </x:c>
      <x:c r="C1467" s="35" t="str">
        <x:v>kangaroo_clean_rhythm</x:v>
      </x:c>
      <x:c r="D1467" s="35" t="str">
        <x:v>operation2</x:v>
      </x:c>
      <x:c r="E1467" s="38" t="str">
        <x:v>string</x:v>
      </x:c>
      <x:c r="F1467" s="56" t="str">
        <x:f>'Passives'!K9</x:f>
        <x:v>Add</x:v>
      </x:c>
      <x:c r="G1467" s="38" t="str"/>
      <x:c r="H1467" s="35" t="str">
        <x:v>Passives</x:v>
      </x:c>
      <x:c r="I1467" s="35" t="str">
        <x:v>K9</x:v>
      </x:c>
      <x:c r="J1467" s="85" t="b">
        <x:v>1</x:v>
      </x:c>
      <x:c r="K1467" s="85" t="b">
        <x:v>1</x:v>
      </x:c>
      <x:c r="L1467" s="56" t="str">
        <x:f>'Passives'!V9</x:f>
        <x:v>OK</x:v>
      </x:c>
      <x:c r="M1467" s="44" t="str">
        <x:v>Источник Passives.Operation 2</x:v>
      </x:c>
    </x:row>
    <x:row r="1468" ht="36" customHeight="1">
      <x:c r="A1468" s="118" t="n">
        <x:v>1463</x:v>
      </x:c>
      <x:c r="B1468" s="35" t="str">
        <x:v>passive</x:v>
      </x:c>
      <x:c r="C1468" s="35" t="str">
        <x:v>kangaroo_clean_rhythm</x:v>
      </x:c>
      <x:c r="D1468" s="35" t="str">
        <x:v>value2</x:v>
      </x:c>
      <x:c r="E1468" s="38" t="str">
        <x:v>int</x:v>
      </x:c>
      <x:c r="F1468" s="56" t="n">
        <x:f>'Passives'!L9</x:f>
        <x:v>5</x:v>
      </x:c>
      <x:c r="G1468" s="38" t="str"/>
      <x:c r="H1468" s="35" t="str">
        <x:v>Passives</x:v>
      </x:c>
      <x:c r="I1468" s="35" t="str">
        <x:v>L9</x:v>
      </x:c>
      <x:c r="J1468" s="85" t="b">
        <x:v>1</x:v>
      </x:c>
      <x:c r="K1468" s="85" t="b">
        <x:v>1</x:v>
      </x:c>
      <x:c r="L1468" s="56" t="str">
        <x:f>'Passives'!V9</x:f>
        <x:v>OK</x:v>
      </x:c>
      <x:c r="M1468" s="44" t="str">
        <x:v>Источник Passives.Value 2</x:v>
      </x:c>
    </x:row>
    <x:row r="1469" ht="36" customHeight="1">
      <x:c r="A1469" s="118" t="n">
        <x:v>1464</x:v>
      </x:c>
      <x:c r="B1469" s="35" t="str">
        <x:v>passive</x:v>
      </x:c>
      <x:c r="C1469" s="35" t="str">
        <x:v>kangaroo_clean_rhythm</x:v>
      </x:c>
      <x:c r="D1469" s="35" t="str">
        <x:v>duration_ticks</x:v>
      </x:c>
      <x:c r="E1469" s="38" t="str">
        <x:v>int</x:v>
      </x:c>
      <x:c r="F1469" s="56" t="n">
        <x:f>'Passives'!M9</x:f>
        <x:v>20</x:v>
      </x:c>
      <x:c r="G1469" s="38" t="str"/>
      <x:c r="H1469" s="35" t="str">
        <x:v>Passives</x:v>
      </x:c>
      <x:c r="I1469" s="35" t="str">
        <x:v>M9</x:v>
      </x:c>
      <x:c r="J1469" s="85" t="b">
        <x:v>1</x:v>
      </x:c>
      <x:c r="K1469" s="85" t="b">
        <x:v>1</x:v>
      </x:c>
      <x:c r="L1469" s="56" t="str">
        <x:f>'Passives'!V9</x:f>
        <x:v>OK</x:v>
      </x:c>
      <x:c r="M1469" s="44" t="str">
        <x:v>Источник Passives.Duration Ticks</x:v>
      </x:c>
    </x:row>
    <x:row r="1470" ht="36" customHeight="1">
      <x:c r="A1470" s="118" t="n">
        <x:v>1465</x:v>
      </x:c>
      <x:c r="B1470" s="35" t="str">
        <x:v>passive</x:v>
      </x:c>
      <x:c r="C1470" s="35" t="str">
        <x:v>kangaroo_clean_rhythm</x:v>
      </x:c>
      <x:c r="D1470" s="35" t="str">
        <x:v>internal_cooldown_ticks</x:v>
      </x:c>
      <x:c r="E1470" s="38" t="str">
        <x:v>int</x:v>
      </x:c>
      <x:c r="F1470" s="56" t="n">
        <x:f>'Passives'!N9</x:f>
        <x:v>8</x:v>
      </x:c>
      <x:c r="G1470" s="38" t="str"/>
      <x:c r="H1470" s="35" t="str">
        <x:v>Passives</x:v>
      </x:c>
      <x:c r="I1470" s="35" t="str">
        <x:v>N9</x:v>
      </x:c>
      <x:c r="J1470" s="85" t="b">
        <x:v>1</x:v>
      </x:c>
      <x:c r="K1470" s="85" t="b">
        <x:v>1</x:v>
      </x:c>
      <x:c r="L1470" s="56" t="str">
        <x:f>'Passives'!V9</x:f>
        <x:v>OK</x:v>
      </x:c>
      <x:c r="M1470" s="44" t="str">
        <x:v>Источник Passives.Internal Cooldown Ticks</x:v>
      </x:c>
    </x:row>
    <x:row r="1471" ht="36" customHeight="1">
      <x:c r="A1471" s="118" t="n">
        <x:v>1466</x:v>
      </x:c>
      <x:c r="B1471" s="35" t="str">
        <x:v>passive</x:v>
      </x:c>
      <x:c r="C1471" s="35" t="str">
        <x:v>kangaroo_clean_rhythm</x:v>
      </x:c>
      <x:c r="D1471" s="35" t="str">
        <x:v>stack_cap</x:v>
      </x:c>
      <x:c r="E1471" s="38" t="str">
        <x:v>int</x:v>
      </x:c>
      <x:c r="F1471" s="56" t="n">
        <x:f>'Passives'!O9</x:f>
        <x:v>3</x:v>
      </x:c>
      <x:c r="G1471" s="38" t="str"/>
      <x:c r="H1471" s="35" t="str">
        <x:v>Passives</x:v>
      </x:c>
      <x:c r="I1471" s="35" t="str">
        <x:v>O9</x:v>
      </x:c>
      <x:c r="J1471" s="85" t="b">
        <x:v>1</x:v>
      </x:c>
      <x:c r="K1471" s="85" t="b">
        <x:v>1</x:v>
      </x:c>
      <x:c r="L1471" s="56" t="str">
        <x:f>'Passives'!V9</x:f>
        <x:v>OK</x:v>
      </x:c>
      <x:c r="M1471" s="44" t="str">
        <x:v>Источник Passives.Stack Cap</x:v>
      </x:c>
    </x:row>
    <x:row r="1472" ht="36" customHeight="1">
      <x:c r="A1472" s="118" t="n">
        <x:v>1467</x:v>
      </x:c>
      <x:c r="B1472" s="35" t="str">
        <x:v>passive</x:v>
      </x:c>
      <x:c r="C1472" s="35" t="str">
        <x:v>kangaroo_clean_rhythm</x:v>
      </x:c>
      <x:c r="D1472" s="35" t="str">
        <x:v>max_activations_per_tick</x:v>
      </x:c>
      <x:c r="E1472" s="38" t="str">
        <x:v>int</x:v>
      </x:c>
      <x:c r="F1472" s="56" t="n">
        <x:f>'Passives'!P9</x:f>
        <x:v>1</x:v>
      </x:c>
      <x:c r="G1472" s="38" t="str"/>
      <x:c r="H1472" s="35" t="str">
        <x:v>Passives</x:v>
      </x:c>
      <x:c r="I1472" s="35" t="str">
        <x:v>P9</x:v>
      </x:c>
      <x:c r="J1472" s="85" t="b">
        <x:v>1</x:v>
      </x:c>
      <x:c r="K1472" s="85" t="b">
        <x:v>1</x:v>
      </x:c>
      <x:c r="L1472" s="56" t="str">
        <x:f>'Passives'!V9</x:f>
        <x:v>OK</x:v>
      </x:c>
      <x:c r="M1472" s="44" t="str">
        <x:v>Источник Passives.Max Activations / Tick</x:v>
      </x:c>
    </x:row>
    <x:row r="1473" ht="36" customHeight="1">
      <x:c r="A1473" s="118" t="n">
        <x:v>1468</x:v>
      </x:c>
      <x:c r="B1473" s="35" t="str">
        <x:v>passive</x:v>
      </x:c>
      <x:c r="C1473" s="35" t="str">
        <x:v>kangaroo_clean_rhythm</x:v>
      </x:c>
      <x:c r="D1473" s="35" t="str">
        <x:v>max_activations_per_battle</x:v>
      </x:c>
      <x:c r="E1473" s="38" t="str">
        <x:v>int</x:v>
      </x:c>
      <x:c r="F1473" s="56" t="n">
        <x:f>'Passives'!Q9</x:f>
        <x:v>99</x:v>
      </x:c>
      <x:c r="G1473" s="38" t="str"/>
      <x:c r="H1473" s="35" t="str">
        <x:v>Passives</x:v>
      </x:c>
      <x:c r="I1473" s="35" t="str">
        <x:v>Q9</x:v>
      </x:c>
      <x:c r="J1473" s="85" t="b">
        <x:v>1</x:v>
      </x:c>
      <x:c r="K1473" s="85" t="b">
        <x:v>1</x:v>
      </x:c>
      <x:c r="L1473" s="56" t="str">
        <x:f>'Passives'!V9</x:f>
        <x:v>OK</x:v>
      </x:c>
      <x:c r="M1473" s="44" t="str">
        <x:v>Источник Passives.Max Activations / Battle</x:v>
      </x:c>
    </x:row>
    <x:row r="1474" ht="36" customHeight="1">
      <x:c r="A1474" s="118" t="n">
        <x:v>1469</x:v>
      </x:c>
      <x:c r="B1474" s="35" t="str">
        <x:v>passive</x:v>
      </x:c>
      <x:c r="C1474" s="35" t="str">
        <x:v>kangaroo_clean_rhythm</x:v>
      </x:c>
      <x:c r="D1474" s="35" t="str">
        <x:v>resource_gain</x:v>
      </x:c>
      <x:c r="E1474" s="38" t="str">
        <x:v>int</x:v>
      </x:c>
      <x:c r="F1474" s="56" t="n">
        <x:f>'Passives'!R9</x:f>
        <x:v>60</x:v>
      </x:c>
      <x:c r="G1474" s="38" t="str"/>
      <x:c r="H1474" s="35" t="str">
        <x:v>Passives</x:v>
      </x:c>
      <x:c r="I1474" s="35" t="str">
        <x:v>R9</x:v>
      </x:c>
      <x:c r="J1474" s="85" t="b">
        <x:v>1</x:v>
      </x:c>
      <x:c r="K1474" s="85" t="b">
        <x:v>1</x:v>
      </x:c>
      <x:c r="L1474" s="56" t="str">
        <x:f>'Passives'!V9</x:f>
        <x:v>OK</x:v>
      </x:c>
      <x:c r="M1474" s="44" t="str">
        <x:v>Источник Passives.Resource Gain</x:v>
      </x:c>
    </x:row>
    <x:row r="1475" ht="36" customHeight="1">
      <x:c r="A1475" s="118" t="n">
        <x:v>1470</x:v>
      </x:c>
      <x:c r="B1475" s="35" t="str">
        <x:v>passive</x:v>
      </x:c>
      <x:c r="C1475" s="35" t="str">
        <x:v>kangaroo_clean_rhythm</x:v>
      </x:c>
      <x:c r="D1475" s="35" t="str">
        <x:v>weight_multiplier_fp</x:v>
      </x:c>
      <x:c r="E1475" s="38" t="str">
        <x:v>int</x:v>
      </x:c>
      <x:c r="F1475" s="56" t="n">
        <x:f>'Passives'!S9</x:f>
        <x:v>1100</x:v>
      </x:c>
      <x:c r="G1475" s="38" t="str"/>
      <x:c r="H1475" s="35" t="str">
        <x:v>Passives</x:v>
      </x:c>
      <x:c r="I1475" s="35" t="str">
        <x:v>S9</x:v>
      </x:c>
      <x:c r="J1475" s="85" t="b">
        <x:v>1</x:v>
      </x:c>
      <x:c r="K1475" s="85" t="b">
        <x:v>1</x:v>
      </x:c>
      <x:c r="L1475" s="56" t="str">
        <x:f>'Passives'!V9</x:f>
        <x:v>OK</x:v>
      </x:c>
      <x:c r="M1475" s="44" t="str">
        <x:v>Источник Passives.Weight Multiplier FP</x:v>
      </x:c>
    </x:row>
    <x:row r="1476" ht="36" customHeight="1">
      <x:c r="A1476" s="118" t="n">
        <x:v>1471</x:v>
      </x:c>
      <x:c r="B1476" s="35" t="str">
        <x:v>passive</x:v>
      </x:c>
      <x:c r="C1476" s="35" t="str">
        <x:v>kangaroo_clean_rhythm</x:v>
      </x:c>
      <x:c r="D1476" s="35" t="str">
        <x:v>tags</x:v>
      </x:c>
      <x:c r="E1476" s="38" t="str">
        <x:v>string</x:v>
      </x:c>
      <x:c r="F1476" s="56" t="str">
        <x:f>'Passives'!T9</x:f>
        <x:v>rhythm|resource|speed</x:v>
      </x:c>
      <x:c r="G1476" s="38" t="str"/>
      <x:c r="H1476" s="35" t="str">
        <x:v>Passives</x:v>
      </x:c>
      <x:c r="I1476" s="35" t="str">
        <x:v>T9</x:v>
      </x:c>
      <x:c r="J1476" s="85" t="b">
        <x:v>1</x:v>
      </x:c>
      <x:c r="K1476" s="85" t="b">
        <x:v>1</x:v>
      </x:c>
      <x:c r="L1476" s="56" t="str">
        <x:f>'Passives'!V9</x:f>
        <x:v>OK</x:v>
      </x:c>
      <x:c r="M1476" s="44" t="str">
        <x:v>Источник Passives.Tags</x:v>
      </x:c>
    </x:row>
    <x:row r="1477" ht="36" customHeight="1">
      <x:c r="A1477" s="118" t="n">
        <x:v>1472</x:v>
      </x:c>
      <x:c r="B1477" s="35" t="str">
        <x:v>passive</x:v>
      </x:c>
      <x:c r="C1477" s="35" t="str">
        <x:v>gorilla_territorial_pressure</x:v>
      </x:c>
      <x:c r="D1477" s="35" t="str">
        <x:v>passive_id</x:v>
      </x:c>
      <x:c r="E1477" s="38" t="str">
        <x:v>string</x:v>
      </x:c>
      <x:c r="F1477" s="56" t="str">
        <x:f>'Passives'!A10</x:f>
        <x:v>gorilla_territorial_pressure</x:v>
      </x:c>
      <x:c r="G1477" s="38" t="str"/>
      <x:c r="H1477" s="35" t="str">
        <x:v>Passives</x:v>
      </x:c>
      <x:c r="I1477" s="35" t="str">
        <x:v>A10</x:v>
      </x:c>
      <x:c r="J1477" s="85" t="b">
        <x:v>1</x:v>
      </x:c>
      <x:c r="K1477" s="85" t="b">
        <x:v>1</x:v>
      </x:c>
      <x:c r="L1477" s="56" t="str">
        <x:f>'Passives'!V10</x:f>
        <x:v>OK</x:v>
      </x:c>
      <x:c r="M1477" s="44" t="str">
        <x:v>Источник Passives.Passive ID</x:v>
      </x:c>
    </x:row>
    <x:row r="1478" ht="36" customHeight="1">
      <x:c r="A1478" s="118" t="n">
        <x:v>1473</x:v>
      </x:c>
      <x:c r="B1478" s="35" t="str">
        <x:v>passive</x:v>
      </x:c>
      <x:c r="C1478" s="35" t="str">
        <x:v>gorilla_territorial_pressure</x:v>
      </x:c>
      <x:c r="D1478" s="35" t="str">
        <x:v>animal_id</x:v>
      </x:c>
      <x:c r="E1478" s="38" t="str">
        <x:v>string</x:v>
      </x:c>
      <x:c r="F1478" s="56" t="str">
        <x:f>'Passives'!B10</x:f>
        <x:v>gorilla</x:v>
      </x:c>
      <x:c r="G1478" s="38" t="str"/>
      <x:c r="H1478" s="35" t="str">
        <x:v>Passives</x:v>
      </x:c>
      <x:c r="I1478" s="35" t="str">
        <x:v>B10</x:v>
      </x:c>
      <x:c r="J1478" s="85" t="b">
        <x:v>1</x:v>
      </x:c>
      <x:c r="K1478" s="85" t="b">
        <x:v>1</x:v>
      </x:c>
      <x:c r="L1478" s="56" t="str">
        <x:f>'Passives'!V10</x:f>
        <x:v>OK</x:v>
      </x:c>
      <x:c r="M1478" s="44" t="str">
        <x:v>Источник Passives.Animal ID</x:v>
      </x:c>
    </x:row>
    <x:row r="1479" ht="36" customHeight="1">
      <x:c r="A1479" s="118" t="n">
        <x:v>1474</x:v>
      </x:c>
      <x:c r="B1479" s="35" t="str">
        <x:v>passive</x:v>
      </x:c>
      <x:c r="C1479" s="35" t="str">
        <x:v>gorilla_territorial_pressure</x:v>
      </x:c>
      <x:c r="D1479" s="35" t="str">
        <x:v>trigger</x:v>
      </x:c>
      <x:c r="E1479" s="38" t="str">
        <x:v>string</x:v>
      </x:c>
      <x:c r="F1479" s="56" t="str">
        <x:f>'Passives'!D10</x:f>
        <x:v>EndOfTick|OnDrivingShove</x:v>
      </x:c>
      <x:c r="G1479" s="38" t="str"/>
      <x:c r="H1479" s="35" t="str">
        <x:v>Passives</x:v>
      </x:c>
      <x:c r="I1479" s="35" t="str">
        <x:v>D10</x:v>
      </x:c>
      <x:c r="J1479" s="85" t="b">
        <x:v>1</x:v>
      </x:c>
      <x:c r="K1479" s="85" t="b">
        <x:v>1</x:v>
      </x:c>
      <x:c r="L1479" s="56" t="str">
        <x:f>'Passives'!V10</x:f>
        <x:v>OK</x:v>
      </x:c>
      <x:c r="M1479" s="44" t="str">
        <x:v>Источник Passives.Trigger</x:v>
      </x:c>
    </x:row>
    <x:row r="1480" ht="36" customHeight="1">
      <x:c r="A1480" s="118" t="n">
        <x:v>1475</x:v>
      </x:c>
      <x:c r="B1480" s="35" t="str">
        <x:v>passive</x:v>
      </x:c>
      <x:c r="C1480" s="35" t="str">
        <x:v>gorilla_territorial_pressure</x:v>
      </x:c>
      <x:c r="D1480" s="35" t="str">
        <x:v>conditions</x:v>
      </x:c>
      <x:c r="E1480" s="38" t="str">
        <x:v>string</x:v>
      </x:c>
      <x:c r="F1480" s="56" t="str">
        <x:f>'Passives'!E10</x:f>
        <x:v>opponent_in_wall_zone; engagement; not_hard_controlled</x:v>
      </x:c>
      <x:c r="G1480" s="38" t="str"/>
      <x:c r="H1480" s="35" t="str">
        <x:v>Passives</x:v>
      </x:c>
      <x:c r="I1480" s="35" t="str">
        <x:v>E10</x:v>
      </x:c>
      <x:c r="J1480" s="85" t="b">
        <x:v>1</x:v>
      </x:c>
      <x:c r="K1480" s="85" t="b">
        <x:v>1</x:v>
      </x:c>
      <x:c r="L1480" s="56" t="str">
        <x:f>'Passives'!V10</x:f>
        <x:v>OK</x:v>
      </x:c>
      <x:c r="M1480" s="44" t="str">
        <x:v>Источник Passives.Conditions</x:v>
      </x:c>
    </x:row>
    <x:row r="1481" ht="36" customHeight="1">
      <x:c r="A1481" s="118" t="n">
        <x:v>1476</x:v>
      </x:c>
      <x:c r="B1481" s="35" t="str">
        <x:v>passive</x:v>
      </x:c>
      <x:c r="C1481" s="35" t="str">
        <x:v>gorilla_territorial_pressure</x:v>
      </x:c>
      <x:c r="D1481" s="35" t="str">
        <x:v>effect_id</x:v>
      </x:c>
      <x:c r="E1481" s="38" t="str">
        <x:v>string</x:v>
      </x:c>
      <x:c r="F1481" s="56" t="str">
        <x:f>'Passives'!F10</x:f>
        <x:v>effect_gorilla_wall_pressure</x:v>
      </x:c>
      <x:c r="G1481" s="38" t="str"/>
      <x:c r="H1481" s="35" t="str">
        <x:v>Passives</x:v>
      </x:c>
      <x:c r="I1481" s="35" t="str">
        <x:v>F10</x:v>
      </x:c>
      <x:c r="J1481" s="85" t="b">
        <x:v>0</x:v>
      </x:c>
      <x:c r="K1481" s="85" t="b">
        <x:v>1</x:v>
      </x:c>
      <x:c r="L1481" s="56" t="str">
        <x:f>'Passives'!V10</x:f>
        <x:v>OK</x:v>
      </x:c>
      <x:c r="M1481" s="44" t="str">
        <x:v>Источник Passives.Effect ID</x:v>
      </x:c>
    </x:row>
    <x:row r="1482" ht="36" customHeight="1">
      <x:c r="A1482" s="118" t="n">
        <x:v>1477</x:v>
      </x:c>
      <x:c r="B1482" s="35" t="str">
        <x:v>passive</x:v>
      </x:c>
      <x:c r="C1482" s="35" t="str">
        <x:v>gorilla_territorial_pressure</x:v>
      </x:c>
      <x:c r="D1482" s="35" t="str">
        <x:v>modifier_stat1</x:v>
      </x:c>
      <x:c r="E1482" s="38" t="str">
        <x:v>string</x:v>
      </x:c>
      <x:c r="F1482" s="56" t="str">
        <x:f>'Passives'!G10</x:f>
        <x:v>WallActionWeight</x:v>
      </x:c>
      <x:c r="G1482" s="38" t="str"/>
      <x:c r="H1482" s="35" t="str">
        <x:v>Passives</x:v>
      </x:c>
      <x:c r="I1482" s="35" t="str">
        <x:v>G10</x:v>
      </x:c>
      <x:c r="J1482" s="85" t="b">
        <x:v>1</x:v>
      </x:c>
      <x:c r="K1482" s="85" t="b">
        <x:v>1</x:v>
      </x:c>
      <x:c r="L1482" s="56" t="str">
        <x:f>'Passives'!V10</x:f>
        <x:v>OK</x:v>
      </x:c>
      <x:c r="M1482" s="44" t="str">
        <x:v>Источник Passives.Modifier Stat 1</x:v>
      </x:c>
    </x:row>
    <x:row r="1483" ht="36" customHeight="1">
      <x:c r="A1483" s="118" t="n">
        <x:v>1478</x:v>
      </x:c>
      <x:c r="B1483" s="35" t="str">
        <x:v>passive</x:v>
      </x:c>
      <x:c r="C1483" s="35" t="str">
        <x:v>gorilla_territorial_pressure</x:v>
      </x:c>
      <x:c r="D1483" s="35" t="str">
        <x:v>operation1</x:v>
      </x:c>
      <x:c r="E1483" s="38" t="str">
        <x:v>string</x:v>
      </x:c>
      <x:c r="F1483" s="56" t="str">
        <x:f>'Passives'!H10</x:f>
        <x:v>Multiply</x:v>
      </x:c>
      <x:c r="G1483" s="38" t="str"/>
      <x:c r="H1483" s="35" t="str">
        <x:v>Passives</x:v>
      </x:c>
      <x:c r="I1483" s="35" t="str">
        <x:v>H10</x:v>
      </x:c>
      <x:c r="J1483" s="85" t="b">
        <x:v>1</x:v>
      </x:c>
      <x:c r="K1483" s="85" t="b">
        <x:v>1</x:v>
      </x:c>
      <x:c r="L1483" s="56" t="str">
        <x:f>'Passives'!V10</x:f>
        <x:v>OK</x:v>
      </x:c>
      <x:c r="M1483" s="44" t="str">
        <x:v>Источник Passives.Operation 1</x:v>
      </x:c>
    </x:row>
    <x:row r="1484" ht="36" customHeight="1">
      <x:c r="A1484" s="118" t="n">
        <x:v>1479</x:v>
      </x:c>
      <x:c r="B1484" s="35" t="str">
        <x:v>passive</x:v>
      </x:c>
      <x:c r="C1484" s="35" t="str">
        <x:v>gorilla_territorial_pressure</x:v>
      </x:c>
      <x:c r="D1484" s="35" t="str">
        <x:v>value1</x:v>
      </x:c>
      <x:c r="E1484" s="38" t="str">
        <x:v>int</x:v>
      </x:c>
      <x:c r="F1484" s="56" t="n">
        <x:f>'Passives'!I10</x:f>
        <x:v>1250</x:v>
      </x:c>
      <x:c r="G1484" s="38" t="str"/>
      <x:c r="H1484" s="35" t="str">
        <x:v>Passives</x:v>
      </x:c>
      <x:c r="I1484" s="35" t="str">
        <x:v>I10</x:v>
      </x:c>
      <x:c r="J1484" s="85" t="b">
        <x:v>1</x:v>
      </x:c>
      <x:c r="K1484" s="85" t="b">
        <x:v>1</x:v>
      </x:c>
      <x:c r="L1484" s="56" t="str">
        <x:f>'Passives'!V10</x:f>
        <x:v>OK</x:v>
      </x:c>
      <x:c r="M1484" s="44" t="str">
        <x:v>Источник Passives.Value 1</x:v>
      </x:c>
    </x:row>
    <x:row r="1485" ht="36" customHeight="1">
      <x:c r="A1485" s="118" t="n">
        <x:v>1480</x:v>
      </x:c>
      <x:c r="B1485" s="35" t="str">
        <x:v>passive</x:v>
      </x:c>
      <x:c r="C1485" s="35" t="str">
        <x:v>gorilla_territorial_pressure</x:v>
      </x:c>
      <x:c r="D1485" s="35" t="str">
        <x:v>modifier_stat2</x:v>
      </x:c>
      <x:c r="E1485" s="38" t="str">
        <x:v>string</x:v>
      </x:c>
      <x:c r="F1485" s="56" t="str">
        <x:f>'Passives'!J10</x:f>
        <x:v>GripGain</x:v>
      </x:c>
      <x:c r="G1485" s="38" t="str"/>
      <x:c r="H1485" s="35" t="str">
        <x:v>Passives</x:v>
      </x:c>
      <x:c r="I1485" s="35" t="str">
        <x:v>J10</x:v>
      </x:c>
      <x:c r="J1485" s="85" t="b">
        <x:v>1</x:v>
      </x:c>
      <x:c r="K1485" s="85" t="b">
        <x:v>1</x:v>
      </x:c>
      <x:c r="L1485" s="56" t="str">
        <x:f>'Passives'!V10</x:f>
        <x:v>OK</x:v>
      </x:c>
      <x:c r="M1485" s="44" t="str">
        <x:v>Источник Passives.Modifier Stat 2</x:v>
      </x:c>
    </x:row>
    <x:row r="1486" ht="36" customHeight="1">
      <x:c r="A1486" s="118" t="n">
        <x:v>1481</x:v>
      </x:c>
      <x:c r="B1486" s="35" t="str">
        <x:v>passive</x:v>
      </x:c>
      <x:c r="C1486" s="35" t="str">
        <x:v>gorilla_territorial_pressure</x:v>
      </x:c>
      <x:c r="D1486" s="35" t="str">
        <x:v>operation2</x:v>
      </x:c>
      <x:c r="E1486" s="38" t="str">
        <x:v>string</x:v>
      </x:c>
      <x:c r="F1486" s="56" t="str">
        <x:f>'Passives'!K10</x:f>
        <x:v>Add</x:v>
      </x:c>
      <x:c r="G1486" s="38" t="str"/>
      <x:c r="H1486" s="35" t="str">
        <x:v>Passives</x:v>
      </x:c>
      <x:c r="I1486" s="35" t="str">
        <x:v>K10</x:v>
      </x:c>
      <x:c r="J1486" s="85" t="b">
        <x:v>1</x:v>
      </x:c>
      <x:c r="K1486" s="85" t="b">
        <x:v>1</x:v>
      </x:c>
      <x:c r="L1486" s="56" t="str">
        <x:f>'Passives'!V10</x:f>
        <x:v>OK</x:v>
      </x:c>
      <x:c r="M1486" s="44" t="str">
        <x:v>Источник Passives.Operation 2</x:v>
      </x:c>
    </x:row>
    <x:row r="1487" ht="36" customHeight="1">
      <x:c r="A1487" s="118" t="n">
        <x:v>1482</x:v>
      </x:c>
      <x:c r="B1487" s="35" t="str">
        <x:v>passive</x:v>
      </x:c>
      <x:c r="C1487" s="35" t="str">
        <x:v>gorilla_territorial_pressure</x:v>
      </x:c>
      <x:c r="D1487" s="35" t="str">
        <x:v>value2</x:v>
      </x:c>
      <x:c r="E1487" s="38" t="str">
        <x:v>int</x:v>
      </x:c>
      <x:c r="F1487" s="56" t="n">
        <x:f>'Passives'!L10</x:f>
        <x:v>10</x:v>
      </x:c>
      <x:c r="G1487" s="38" t="str"/>
      <x:c r="H1487" s="35" t="str">
        <x:v>Passives</x:v>
      </x:c>
      <x:c r="I1487" s="35" t="str">
        <x:v>L10</x:v>
      </x:c>
      <x:c r="J1487" s="85" t="b">
        <x:v>1</x:v>
      </x:c>
      <x:c r="K1487" s="85" t="b">
        <x:v>1</x:v>
      </x:c>
      <x:c r="L1487" s="56" t="str">
        <x:f>'Passives'!V10</x:f>
        <x:v>OK</x:v>
      </x:c>
      <x:c r="M1487" s="44" t="str">
        <x:v>Источник Passives.Value 2</x:v>
      </x:c>
    </x:row>
    <x:row r="1488" ht="36" customHeight="1">
      <x:c r="A1488" s="118" t="n">
        <x:v>1483</x:v>
      </x:c>
      <x:c r="B1488" s="35" t="str">
        <x:v>passive</x:v>
      </x:c>
      <x:c r="C1488" s="35" t="str">
        <x:v>gorilla_territorial_pressure</x:v>
      </x:c>
      <x:c r="D1488" s="35" t="str">
        <x:v>duration_ticks</x:v>
      </x:c>
      <x:c r="E1488" s="38" t="str">
        <x:v>int</x:v>
      </x:c>
      <x:c r="F1488" s="56" t="n">
        <x:f>'Passives'!M10</x:f>
        <x:v>10</x:v>
      </x:c>
      <x:c r="G1488" s="38" t="str"/>
      <x:c r="H1488" s="35" t="str">
        <x:v>Passives</x:v>
      </x:c>
      <x:c r="I1488" s="35" t="str">
        <x:v>M10</x:v>
      </x:c>
      <x:c r="J1488" s="85" t="b">
        <x:v>1</x:v>
      </x:c>
      <x:c r="K1488" s="85" t="b">
        <x:v>1</x:v>
      </x:c>
      <x:c r="L1488" s="56" t="str">
        <x:f>'Passives'!V10</x:f>
        <x:v>OK</x:v>
      </x:c>
      <x:c r="M1488" s="44" t="str">
        <x:v>Источник Passives.Duration Ticks</x:v>
      </x:c>
    </x:row>
    <x:row r="1489" ht="36" customHeight="1">
      <x:c r="A1489" s="118" t="n">
        <x:v>1484</x:v>
      </x:c>
      <x:c r="B1489" s="35" t="str">
        <x:v>passive</x:v>
      </x:c>
      <x:c r="C1489" s="35" t="str">
        <x:v>gorilla_territorial_pressure</x:v>
      </x:c>
      <x:c r="D1489" s="35" t="str">
        <x:v>internal_cooldown_ticks</x:v>
      </x:c>
      <x:c r="E1489" s="38" t="str">
        <x:v>int</x:v>
      </x:c>
      <x:c r="F1489" s="56" t="n">
        <x:f>'Passives'!N10</x:f>
        <x:v>5</x:v>
      </x:c>
      <x:c r="G1489" s="38" t="str"/>
      <x:c r="H1489" s="35" t="str">
        <x:v>Passives</x:v>
      </x:c>
      <x:c r="I1489" s="35" t="str">
        <x:v>N10</x:v>
      </x:c>
      <x:c r="J1489" s="85" t="b">
        <x:v>1</x:v>
      </x:c>
      <x:c r="K1489" s="85" t="b">
        <x:v>1</x:v>
      </x:c>
      <x:c r="L1489" s="56" t="str">
        <x:f>'Passives'!V10</x:f>
        <x:v>OK</x:v>
      </x:c>
      <x:c r="M1489" s="44" t="str">
        <x:v>Источник Passives.Internal Cooldown Ticks</x:v>
      </x:c>
    </x:row>
    <x:row r="1490" ht="36" customHeight="1">
      <x:c r="A1490" s="118" t="n">
        <x:v>1485</x:v>
      </x:c>
      <x:c r="B1490" s="35" t="str">
        <x:v>passive</x:v>
      </x:c>
      <x:c r="C1490" s="35" t="str">
        <x:v>gorilla_territorial_pressure</x:v>
      </x:c>
      <x:c r="D1490" s="35" t="str">
        <x:v>stack_cap</x:v>
      </x:c>
      <x:c r="E1490" s="38" t="str">
        <x:v>int</x:v>
      </x:c>
      <x:c r="F1490" s="56" t="n">
        <x:f>'Passives'!O10</x:f>
        <x:v>1</x:v>
      </x:c>
      <x:c r="G1490" s="38" t="str"/>
      <x:c r="H1490" s="35" t="str">
        <x:v>Passives</x:v>
      </x:c>
      <x:c r="I1490" s="35" t="str">
        <x:v>O10</x:v>
      </x:c>
      <x:c r="J1490" s="85" t="b">
        <x:v>1</x:v>
      </x:c>
      <x:c r="K1490" s="85" t="b">
        <x:v>1</x:v>
      </x:c>
      <x:c r="L1490" s="56" t="str">
        <x:f>'Passives'!V10</x:f>
        <x:v>OK</x:v>
      </x:c>
      <x:c r="M1490" s="44" t="str">
        <x:v>Источник Passives.Stack Cap</x:v>
      </x:c>
    </x:row>
    <x:row r="1491" ht="36" customHeight="1">
      <x:c r="A1491" s="118" t="n">
        <x:v>1486</x:v>
      </x:c>
      <x:c r="B1491" s="35" t="str">
        <x:v>passive</x:v>
      </x:c>
      <x:c r="C1491" s="35" t="str">
        <x:v>gorilla_territorial_pressure</x:v>
      </x:c>
      <x:c r="D1491" s="35" t="str">
        <x:v>max_activations_per_tick</x:v>
      </x:c>
      <x:c r="E1491" s="38" t="str">
        <x:v>int</x:v>
      </x:c>
      <x:c r="F1491" s="56" t="n">
        <x:f>'Passives'!P10</x:f>
        <x:v>1</x:v>
      </x:c>
      <x:c r="G1491" s="38" t="str"/>
      <x:c r="H1491" s="35" t="str">
        <x:v>Passives</x:v>
      </x:c>
      <x:c r="I1491" s="35" t="str">
        <x:v>P10</x:v>
      </x:c>
      <x:c r="J1491" s="85" t="b">
        <x:v>1</x:v>
      </x:c>
      <x:c r="K1491" s="85" t="b">
        <x:v>1</x:v>
      </x:c>
      <x:c r="L1491" s="56" t="str">
        <x:f>'Passives'!V10</x:f>
        <x:v>OK</x:v>
      </x:c>
      <x:c r="M1491" s="44" t="str">
        <x:v>Источник Passives.Max Activations / Tick</x:v>
      </x:c>
    </x:row>
    <x:row r="1492" ht="36" customHeight="1">
      <x:c r="A1492" s="118" t="n">
        <x:v>1487</x:v>
      </x:c>
      <x:c r="B1492" s="35" t="str">
        <x:v>passive</x:v>
      </x:c>
      <x:c r="C1492" s="35" t="str">
        <x:v>gorilla_territorial_pressure</x:v>
      </x:c>
      <x:c r="D1492" s="35" t="str">
        <x:v>max_activations_per_battle</x:v>
      </x:c>
      <x:c r="E1492" s="38" t="str">
        <x:v>int</x:v>
      </x:c>
      <x:c r="F1492" s="56" t="n">
        <x:f>'Passives'!Q10</x:f>
        <x:v>999</x:v>
      </x:c>
      <x:c r="G1492" s="38" t="str"/>
      <x:c r="H1492" s="35" t="str">
        <x:v>Passives</x:v>
      </x:c>
      <x:c r="I1492" s="35" t="str">
        <x:v>Q10</x:v>
      </x:c>
      <x:c r="J1492" s="85" t="b">
        <x:v>1</x:v>
      </x:c>
      <x:c r="K1492" s="85" t="b">
        <x:v>1</x:v>
      </x:c>
      <x:c r="L1492" s="56" t="str">
        <x:f>'Passives'!V10</x:f>
        <x:v>OK</x:v>
      </x:c>
      <x:c r="M1492" s="44" t="str">
        <x:v>Источник Passives.Max Activations / Battle</x:v>
      </x:c>
    </x:row>
    <x:row r="1493" ht="36" customHeight="1">
      <x:c r="A1493" s="118" t="n">
        <x:v>1488</x:v>
      </x:c>
      <x:c r="B1493" s="35" t="str">
        <x:v>passive</x:v>
      </x:c>
      <x:c r="C1493" s="35" t="str">
        <x:v>gorilla_territorial_pressure</x:v>
      </x:c>
      <x:c r="D1493" s="35" t="str">
        <x:v>resource_gain</x:v>
      </x:c>
      <x:c r="E1493" s="38" t="str">
        <x:v>int</x:v>
      </x:c>
      <x:c r="F1493" s="56" t="n">
        <x:f>'Passives'!R10</x:f>
        <x:v>10</x:v>
      </x:c>
      <x:c r="G1493" s="38" t="str"/>
      <x:c r="H1493" s="35" t="str">
        <x:v>Passives</x:v>
      </x:c>
      <x:c r="I1493" s="35" t="str">
        <x:v>R10</x:v>
      </x:c>
      <x:c r="J1493" s="85" t="b">
        <x:v>1</x:v>
      </x:c>
      <x:c r="K1493" s="85" t="b">
        <x:v>1</x:v>
      </x:c>
      <x:c r="L1493" s="56" t="str">
        <x:f>'Passives'!V10</x:f>
        <x:v>OK</x:v>
      </x:c>
      <x:c r="M1493" s="44" t="str">
        <x:v>Источник Passives.Resource Gain</x:v>
      </x:c>
    </x:row>
    <x:row r="1494" ht="36" customHeight="1">
      <x:c r="A1494" s="118" t="n">
        <x:v>1489</x:v>
      </x:c>
      <x:c r="B1494" s="35" t="str">
        <x:v>passive</x:v>
      </x:c>
      <x:c r="C1494" s="35" t="str">
        <x:v>gorilla_territorial_pressure</x:v>
      </x:c>
      <x:c r="D1494" s="35" t="str">
        <x:v>weight_multiplier_fp</x:v>
      </x:c>
      <x:c r="E1494" s="38" t="str">
        <x:v>int</x:v>
      </x:c>
      <x:c r="F1494" s="56" t="n">
        <x:f>'Passives'!S10</x:f>
        <x:v>1250</x:v>
      </x:c>
      <x:c r="G1494" s="38" t="str"/>
      <x:c r="H1494" s="35" t="str">
        <x:v>Passives</x:v>
      </x:c>
      <x:c r="I1494" s="35" t="str">
        <x:v>S10</x:v>
      </x:c>
      <x:c r="J1494" s="85" t="b">
        <x:v>1</x:v>
      </x:c>
      <x:c r="K1494" s="85" t="b">
        <x:v>1</x:v>
      </x:c>
      <x:c r="L1494" s="56" t="str">
        <x:f>'Passives'!V10</x:f>
        <x:v>OK</x:v>
      </x:c>
      <x:c r="M1494" s="44" t="str">
        <x:v>Источник Passives.Weight Multiplier FP</x:v>
      </x:c>
    </x:row>
    <x:row r="1495" ht="36" customHeight="1">
      <x:c r="A1495" s="118" t="n">
        <x:v>1490</x:v>
      </x:c>
      <x:c r="B1495" s="35" t="str">
        <x:v>passive</x:v>
      </x:c>
      <x:c r="C1495" s="35" t="str">
        <x:v>gorilla_territorial_pressure</x:v>
      </x:c>
      <x:c r="D1495" s="35" t="str">
        <x:v>tags</x:v>
      </x:c>
      <x:c r="E1495" s="38" t="str">
        <x:v>string</x:v>
      </x:c>
      <x:c r="F1495" s="56" t="str">
        <x:f>'Passives'!T10</x:f>
        <x:v>wall|resource|position</x:v>
      </x:c>
      <x:c r="G1495" s="38" t="str"/>
      <x:c r="H1495" s="35" t="str">
        <x:v>Passives</x:v>
      </x:c>
      <x:c r="I1495" s="35" t="str">
        <x:v>T10</x:v>
      </x:c>
      <x:c r="J1495" s="85" t="b">
        <x:v>1</x:v>
      </x:c>
      <x:c r="K1495" s="85" t="b">
        <x:v>1</x:v>
      </x:c>
      <x:c r="L1495" s="56" t="str">
        <x:f>'Passives'!V10</x:f>
        <x:v>OK</x:v>
      </x:c>
      <x:c r="M1495" s="44" t="str">
        <x:v>Источник Passives.Tags</x:v>
      </x:c>
    </x:row>
    <x:row r="1496" ht="36" customHeight="1">
      <x:c r="A1496" s="118" t="n">
        <x:v>1491</x:v>
      </x:c>
      <x:c r="B1496" s="35" t="str">
        <x:v>passive</x:v>
      </x:c>
      <x:c r="C1496" s="35" t="str">
        <x:v>gorilla_iron_grip</x:v>
      </x:c>
      <x:c r="D1496" s="35" t="str">
        <x:v>passive_id</x:v>
      </x:c>
      <x:c r="E1496" s="38" t="str">
        <x:v>string</x:v>
      </x:c>
      <x:c r="F1496" s="56" t="str">
        <x:f>'Passives'!A11</x:f>
        <x:v>gorilla_iron_grip</x:v>
      </x:c>
      <x:c r="G1496" s="38" t="str"/>
      <x:c r="H1496" s="35" t="str">
        <x:v>Passives</x:v>
      </x:c>
      <x:c r="I1496" s="35" t="str">
        <x:v>A11</x:v>
      </x:c>
      <x:c r="J1496" s="85" t="b">
        <x:v>1</x:v>
      </x:c>
      <x:c r="K1496" s="85" t="b">
        <x:v>1</x:v>
      </x:c>
      <x:c r="L1496" s="56" t="str">
        <x:f>'Passives'!V11</x:f>
        <x:v>OK</x:v>
      </x:c>
      <x:c r="M1496" s="44" t="str">
        <x:v>Источник Passives.Passive ID</x:v>
      </x:c>
    </x:row>
    <x:row r="1497" ht="36" customHeight="1">
      <x:c r="A1497" s="118" t="n">
        <x:v>1492</x:v>
      </x:c>
      <x:c r="B1497" s="35" t="str">
        <x:v>passive</x:v>
      </x:c>
      <x:c r="C1497" s="35" t="str">
        <x:v>gorilla_iron_grip</x:v>
      </x:c>
      <x:c r="D1497" s="35" t="str">
        <x:v>animal_id</x:v>
      </x:c>
      <x:c r="E1497" s="38" t="str">
        <x:v>string</x:v>
      </x:c>
      <x:c r="F1497" s="56" t="str">
        <x:f>'Passives'!B11</x:f>
        <x:v>gorilla</x:v>
      </x:c>
      <x:c r="G1497" s="38" t="str"/>
      <x:c r="H1497" s="35" t="str">
        <x:v>Passives</x:v>
      </x:c>
      <x:c r="I1497" s="35" t="str">
        <x:v>B11</x:v>
      </x:c>
      <x:c r="J1497" s="85" t="b">
        <x:v>1</x:v>
      </x:c>
      <x:c r="K1497" s="85" t="b">
        <x:v>1</x:v>
      </x:c>
      <x:c r="L1497" s="56" t="str">
        <x:f>'Passives'!V11</x:f>
        <x:v>OK</x:v>
      </x:c>
      <x:c r="M1497" s="44" t="str">
        <x:v>Источник Passives.Animal ID</x:v>
      </x:c>
    </x:row>
    <x:row r="1498" ht="36" customHeight="1">
      <x:c r="A1498" s="118" t="n">
        <x:v>1493</x:v>
      </x:c>
      <x:c r="B1498" s="35" t="str">
        <x:v>passive</x:v>
      </x:c>
      <x:c r="C1498" s="35" t="str">
        <x:v>gorilla_iron_grip</x:v>
      </x:c>
      <x:c r="D1498" s="35" t="str">
        <x:v>trigger</x:v>
      </x:c>
      <x:c r="E1498" s="38" t="str">
        <x:v>string</x:v>
      </x:c>
      <x:c r="F1498" s="56" t="str">
        <x:f>'Passives'!D11</x:f>
        <x:v>OnGrabStarted|OnGrabResolved</x:v>
      </x:c>
      <x:c r="G1498" s="38" t="str"/>
      <x:c r="H1498" s="35" t="str">
        <x:v>Passives</x:v>
      </x:c>
      <x:c r="I1498" s="35" t="str">
        <x:v>D11</x:v>
      </x:c>
      <x:c r="J1498" s="85" t="b">
        <x:v>1</x:v>
      </x:c>
      <x:c r="K1498" s="85" t="b">
        <x:v>1</x:v>
      </x:c>
      <x:c r="L1498" s="56" t="str">
        <x:f>'Passives'!V11</x:f>
        <x:v>OK</x:v>
      </x:c>
      <x:c r="M1498" s="44" t="str">
        <x:v>Источник Passives.Trigger</x:v>
      </x:c>
    </x:row>
    <x:row r="1499" ht="36" customHeight="1">
      <x:c r="A1499" s="118" t="n">
        <x:v>1494</x:v>
      </x:c>
      <x:c r="B1499" s="35" t="str">
        <x:v>passive</x:v>
      </x:c>
      <x:c r="C1499" s="35" t="str">
        <x:v>gorilla_iron_grip</x:v>
      </x:c>
      <x:c r="D1499" s="35" t="str">
        <x:v>conditions</x:v>
      </x:c>
      <x:c r="E1499" s="38" t="str">
        <x:v>string</x:v>
      </x:c>
      <x:c r="F1499" s="56" t="str">
        <x:f>'Passives'!E11</x:f>
        <x:v>grab_legal; once_per_lifecycle</x:v>
      </x:c>
      <x:c r="G1499" s="38" t="str"/>
      <x:c r="H1499" s="35" t="str">
        <x:v>Passives</x:v>
      </x:c>
      <x:c r="I1499" s="35" t="str">
        <x:v>E11</x:v>
      </x:c>
      <x:c r="J1499" s="85" t="b">
        <x:v>1</x:v>
      </x:c>
      <x:c r="K1499" s="85" t="b">
        <x:v>1</x:v>
      </x:c>
      <x:c r="L1499" s="56" t="str">
        <x:f>'Passives'!V11</x:f>
        <x:v>OK</x:v>
      </x:c>
      <x:c r="M1499" s="44" t="str">
        <x:v>Источник Passives.Conditions</x:v>
      </x:c>
    </x:row>
    <x:row r="1500" ht="36" customHeight="1">
      <x:c r="A1500" s="118" t="n">
        <x:v>1495</x:v>
      </x:c>
      <x:c r="B1500" s="35" t="str">
        <x:v>passive</x:v>
      </x:c>
      <x:c r="C1500" s="35" t="str">
        <x:v>gorilla_iron_grip</x:v>
      </x:c>
      <x:c r="D1500" s="35" t="str">
        <x:v>effect_id</x:v>
      </x:c>
      <x:c r="E1500" s="38" t="str">
        <x:v>string</x:v>
      </x:c>
      <x:c r="F1500" s="56" t="str">
        <x:f>'Passives'!F11</x:f>
        <x:v>effect_gorilla_iron_grip</x:v>
      </x:c>
      <x:c r="G1500" s="38" t="str"/>
      <x:c r="H1500" s="35" t="str">
        <x:v>Passives</x:v>
      </x:c>
      <x:c r="I1500" s="35" t="str">
        <x:v>F11</x:v>
      </x:c>
      <x:c r="J1500" s="85" t="b">
        <x:v>0</x:v>
      </x:c>
      <x:c r="K1500" s="85" t="b">
        <x:v>1</x:v>
      </x:c>
      <x:c r="L1500" s="56" t="str">
        <x:f>'Passives'!V11</x:f>
        <x:v>OK</x:v>
      </x:c>
      <x:c r="M1500" s="44" t="str">
        <x:v>Источник Passives.Effect ID</x:v>
      </x:c>
    </x:row>
    <x:row r="1501" ht="36" customHeight="1">
      <x:c r="A1501" s="118" t="n">
        <x:v>1496</x:v>
      </x:c>
      <x:c r="B1501" s="35" t="str">
        <x:v>passive</x:v>
      </x:c>
      <x:c r="C1501" s="35" t="str">
        <x:v>gorilla_iron_grip</x:v>
      </x:c>
      <x:c r="D1501" s="35" t="str">
        <x:v>modifier_stat1</x:v>
      </x:c>
      <x:c r="E1501" s="38" t="str">
        <x:v>string</x:v>
      </x:c>
      <x:c r="F1501" s="56" t="str">
        <x:f>'Passives'!G11</x:f>
        <x:v>GrabPriority</x:v>
      </x:c>
      <x:c r="G1501" s="38" t="str"/>
      <x:c r="H1501" s="35" t="str">
        <x:v>Passives</x:v>
      </x:c>
      <x:c r="I1501" s="35" t="str">
        <x:v>G11</x:v>
      </x:c>
      <x:c r="J1501" s="85" t="b">
        <x:v>1</x:v>
      </x:c>
      <x:c r="K1501" s="85" t="b">
        <x:v>1</x:v>
      </x:c>
      <x:c r="L1501" s="56" t="str">
        <x:f>'Passives'!V11</x:f>
        <x:v>OK</x:v>
      </x:c>
      <x:c r="M1501" s="44" t="str">
        <x:v>Источник Passives.Modifier Stat 1</x:v>
      </x:c>
    </x:row>
    <x:row r="1502" ht="36" customHeight="1">
      <x:c r="A1502" s="118" t="n">
        <x:v>1497</x:v>
      </x:c>
      <x:c r="B1502" s="35" t="str">
        <x:v>passive</x:v>
      </x:c>
      <x:c r="C1502" s="35" t="str">
        <x:v>gorilla_iron_grip</x:v>
      </x:c>
      <x:c r="D1502" s="35" t="str">
        <x:v>operation1</x:v>
      </x:c>
      <x:c r="E1502" s="38" t="str">
        <x:v>string</x:v>
      </x:c>
      <x:c r="F1502" s="56" t="str">
        <x:f>'Passives'!H11</x:f>
        <x:v>Add</x:v>
      </x:c>
      <x:c r="G1502" s="38" t="str"/>
      <x:c r="H1502" s="35" t="str">
        <x:v>Passives</x:v>
      </x:c>
      <x:c r="I1502" s="35" t="str">
        <x:v>H11</x:v>
      </x:c>
      <x:c r="J1502" s="85" t="b">
        <x:v>1</x:v>
      </x:c>
      <x:c r="K1502" s="85" t="b">
        <x:v>1</x:v>
      </x:c>
      <x:c r="L1502" s="56" t="str">
        <x:f>'Passives'!V11</x:f>
        <x:v>OK</x:v>
      </x:c>
      <x:c r="M1502" s="44" t="str">
        <x:v>Источник Passives.Operation 1</x:v>
      </x:c>
    </x:row>
    <x:row r="1503" ht="36" customHeight="1">
      <x:c r="A1503" s="118" t="n">
        <x:v>1498</x:v>
      </x:c>
      <x:c r="B1503" s="35" t="str">
        <x:v>passive</x:v>
      </x:c>
      <x:c r="C1503" s="35" t="str">
        <x:v>gorilla_iron_grip</x:v>
      </x:c>
      <x:c r="D1503" s="35" t="str">
        <x:v>value1</x:v>
      </x:c>
      <x:c r="E1503" s="38" t="str">
        <x:v>int</x:v>
      </x:c>
      <x:c r="F1503" s="56" t="n">
        <x:f>'Passives'!I11</x:f>
        <x:v>8</x:v>
      </x:c>
      <x:c r="G1503" s="38" t="str"/>
      <x:c r="H1503" s="35" t="str">
        <x:v>Passives</x:v>
      </x:c>
      <x:c r="I1503" s="35" t="str">
        <x:v>I11</x:v>
      </x:c>
      <x:c r="J1503" s="85" t="b">
        <x:v>1</x:v>
      </x:c>
      <x:c r="K1503" s="85" t="b">
        <x:v>1</x:v>
      </x:c>
      <x:c r="L1503" s="56" t="str">
        <x:f>'Passives'!V11</x:f>
        <x:v>OK</x:v>
      </x:c>
      <x:c r="M1503" s="44" t="str">
        <x:v>Источник Passives.Value 1</x:v>
      </x:c>
    </x:row>
    <x:row r="1504" ht="36" customHeight="1">
      <x:c r="A1504" s="118" t="n">
        <x:v>1499</x:v>
      </x:c>
      <x:c r="B1504" s="35" t="str">
        <x:v>passive</x:v>
      </x:c>
      <x:c r="C1504" s="35" t="str">
        <x:v>gorilla_iron_grip</x:v>
      </x:c>
      <x:c r="D1504" s="35" t="str">
        <x:v>modifier_stat2</x:v>
      </x:c>
      <x:c r="E1504" s="38" t="str">
        <x:v>string</x:v>
      </x:c>
      <x:c r="F1504" s="56" t="str">
        <x:f>'Passives'!J11</x:f>
        <x:v>ControlPower</x:v>
      </x:c>
      <x:c r="G1504" s="38" t="str"/>
      <x:c r="H1504" s="35" t="str">
        <x:v>Passives</x:v>
      </x:c>
      <x:c r="I1504" s="35" t="str">
        <x:v>J11</x:v>
      </x:c>
      <x:c r="J1504" s="85" t="b">
        <x:v>1</x:v>
      </x:c>
      <x:c r="K1504" s="85" t="b">
        <x:v>1</x:v>
      </x:c>
      <x:c r="L1504" s="56" t="str">
        <x:f>'Passives'!V11</x:f>
        <x:v>OK</x:v>
      </x:c>
      <x:c r="M1504" s="44" t="str">
        <x:v>Источник Passives.Modifier Stat 2</x:v>
      </x:c>
    </x:row>
    <x:row r="1505" ht="36" customHeight="1">
      <x:c r="A1505" s="118" t="n">
        <x:v>1500</x:v>
      </x:c>
      <x:c r="B1505" s="35" t="str">
        <x:v>passive</x:v>
      </x:c>
      <x:c r="C1505" s="35" t="str">
        <x:v>gorilla_iron_grip</x:v>
      </x:c>
      <x:c r="D1505" s="35" t="str">
        <x:v>operation2</x:v>
      </x:c>
      <x:c r="E1505" s="38" t="str">
        <x:v>string</x:v>
      </x:c>
      <x:c r="F1505" s="56" t="str">
        <x:f>'Passives'!K11</x:f>
        <x:v>Add</x:v>
      </x:c>
      <x:c r="G1505" s="38" t="str"/>
      <x:c r="H1505" s="35" t="str">
        <x:v>Passives</x:v>
      </x:c>
      <x:c r="I1505" s="35" t="str">
        <x:v>K11</x:v>
      </x:c>
      <x:c r="J1505" s="85" t="b">
        <x:v>1</x:v>
      </x:c>
      <x:c r="K1505" s="85" t="b">
        <x:v>1</x:v>
      </x:c>
      <x:c r="L1505" s="56" t="str">
        <x:f>'Passives'!V11</x:f>
        <x:v>OK</x:v>
      </x:c>
      <x:c r="M1505" s="44" t="str">
        <x:v>Источник Passives.Operation 2</x:v>
      </x:c>
    </x:row>
    <x:row r="1506" ht="36" customHeight="1">
      <x:c r="A1506" s="118" t="n">
        <x:v>1501</x:v>
      </x:c>
      <x:c r="B1506" s="35" t="str">
        <x:v>passive</x:v>
      </x:c>
      <x:c r="C1506" s="35" t="str">
        <x:v>gorilla_iron_grip</x:v>
      </x:c>
      <x:c r="D1506" s="35" t="str">
        <x:v>value2</x:v>
      </x:c>
      <x:c r="E1506" s="38" t="str">
        <x:v>int</x:v>
      </x:c>
      <x:c r="F1506" s="56" t="n">
        <x:f>'Passives'!L11</x:f>
        <x:v>12</x:v>
      </x:c>
      <x:c r="G1506" s="38" t="str"/>
      <x:c r="H1506" s="35" t="str">
        <x:v>Passives</x:v>
      </x:c>
      <x:c r="I1506" s="35" t="str">
        <x:v>L11</x:v>
      </x:c>
      <x:c r="J1506" s="85" t="b">
        <x:v>1</x:v>
      </x:c>
      <x:c r="K1506" s="85" t="b">
        <x:v>1</x:v>
      </x:c>
      <x:c r="L1506" s="56" t="str">
        <x:f>'Passives'!V11</x:f>
        <x:v>OK</x:v>
      </x:c>
      <x:c r="M1506" s="44" t="str">
        <x:v>Источник Passives.Value 2</x:v>
      </x:c>
    </x:row>
    <x:row r="1507" ht="36" customHeight="1">
      <x:c r="A1507" s="118" t="n">
        <x:v>1502</x:v>
      </x:c>
      <x:c r="B1507" s="35" t="str">
        <x:v>passive</x:v>
      </x:c>
      <x:c r="C1507" s="35" t="str">
        <x:v>gorilla_iron_grip</x:v>
      </x:c>
      <x:c r="D1507" s="35" t="str">
        <x:v>duration_ticks</x:v>
      </x:c>
      <x:c r="E1507" s="38" t="str">
        <x:v>int</x:v>
      </x:c>
      <x:c r="F1507" s="56" t="n">
        <x:f>'Passives'!M11</x:f>
        <x:v>12</x:v>
      </x:c>
      <x:c r="G1507" s="38" t="str"/>
      <x:c r="H1507" s="35" t="str">
        <x:v>Passives</x:v>
      </x:c>
      <x:c r="I1507" s="35" t="str">
        <x:v>M11</x:v>
      </x:c>
      <x:c r="J1507" s="85" t="b">
        <x:v>1</x:v>
      </x:c>
      <x:c r="K1507" s="85" t="b">
        <x:v>1</x:v>
      </x:c>
      <x:c r="L1507" s="56" t="str">
        <x:f>'Passives'!V11</x:f>
        <x:v>OK</x:v>
      </x:c>
      <x:c r="M1507" s="44" t="str">
        <x:v>Источник Passives.Duration Ticks</x:v>
      </x:c>
    </x:row>
    <x:row r="1508" ht="36" customHeight="1">
      <x:c r="A1508" s="118" t="n">
        <x:v>1503</x:v>
      </x:c>
      <x:c r="B1508" s="35" t="str">
        <x:v>passive</x:v>
      </x:c>
      <x:c r="C1508" s="35" t="str">
        <x:v>gorilla_iron_grip</x:v>
      </x:c>
      <x:c r="D1508" s="35" t="str">
        <x:v>internal_cooldown_ticks</x:v>
      </x:c>
      <x:c r="E1508" s="38" t="str">
        <x:v>int</x:v>
      </x:c>
      <x:c r="F1508" s="56" t="n">
        <x:f>'Passives'!N11</x:f>
        <x:v>15</x:v>
      </x:c>
      <x:c r="G1508" s="38" t="str"/>
      <x:c r="H1508" s="35" t="str">
        <x:v>Passives</x:v>
      </x:c>
      <x:c r="I1508" s="35" t="str">
        <x:v>N11</x:v>
      </x:c>
      <x:c r="J1508" s="85" t="b">
        <x:v>1</x:v>
      </x:c>
      <x:c r="K1508" s="85" t="b">
        <x:v>1</x:v>
      </x:c>
      <x:c r="L1508" s="56" t="str">
        <x:f>'Passives'!V11</x:f>
        <x:v>OK</x:v>
      </x:c>
      <x:c r="M1508" s="44" t="str">
        <x:v>Источник Passives.Internal Cooldown Ticks</x:v>
      </x:c>
    </x:row>
    <x:row r="1509" ht="36" customHeight="1">
      <x:c r="A1509" s="118" t="n">
        <x:v>1504</x:v>
      </x:c>
      <x:c r="B1509" s="35" t="str">
        <x:v>passive</x:v>
      </x:c>
      <x:c r="C1509" s="35" t="str">
        <x:v>gorilla_iron_grip</x:v>
      </x:c>
      <x:c r="D1509" s="35" t="str">
        <x:v>stack_cap</x:v>
      </x:c>
      <x:c r="E1509" s="38" t="str">
        <x:v>int</x:v>
      </x:c>
      <x:c r="F1509" s="56" t="n">
        <x:f>'Passives'!O11</x:f>
        <x:v>1</x:v>
      </x:c>
      <x:c r="G1509" s="38" t="str"/>
      <x:c r="H1509" s="35" t="str">
        <x:v>Passives</x:v>
      </x:c>
      <x:c r="I1509" s="35" t="str">
        <x:v>O11</x:v>
      </x:c>
      <x:c r="J1509" s="85" t="b">
        <x:v>1</x:v>
      </x:c>
      <x:c r="K1509" s="85" t="b">
        <x:v>1</x:v>
      </x:c>
      <x:c r="L1509" s="56" t="str">
        <x:f>'Passives'!V11</x:f>
        <x:v>OK</x:v>
      </x:c>
      <x:c r="M1509" s="44" t="str">
        <x:v>Источник Passives.Stack Cap</x:v>
      </x:c>
    </x:row>
    <x:row r="1510" ht="36" customHeight="1">
      <x:c r="A1510" s="118" t="n">
        <x:v>1505</x:v>
      </x:c>
      <x:c r="B1510" s="35" t="str">
        <x:v>passive</x:v>
      </x:c>
      <x:c r="C1510" s="35" t="str">
        <x:v>gorilla_iron_grip</x:v>
      </x:c>
      <x:c r="D1510" s="35" t="str">
        <x:v>max_activations_per_tick</x:v>
      </x:c>
      <x:c r="E1510" s="38" t="str">
        <x:v>int</x:v>
      </x:c>
      <x:c r="F1510" s="56" t="n">
        <x:f>'Passives'!P11</x:f>
        <x:v>1</x:v>
      </x:c>
      <x:c r="G1510" s="38" t="str"/>
      <x:c r="H1510" s="35" t="str">
        <x:v>Passives</x:v>
      </x:c>
      <x:c r="I1510" s="35" t="str">
        <x:v>P11</x:v>
      </x:c>
      <x:c r="J1510" s="85" t="b">
        <x:v>1</x:v>
      </x:c>
      <x:c r="K1510" s="85" t="b">
        <x:v>1</x:v>
      </x:c>
      <x:c r="L1510" s="56" t="str">
        <x:f>'Passives'!V11</x:f>
        <x:v>OK</x:v>
      </x:c>
      <x:c r="M1510" s="44" t="str">
        <x:v>Источник Passives.Max Activations / Tick</x:v>
      </x:c>
    </x:row>
    <x:row r="1511" ht="36" customHeight="1">
      <x:c r="A1511" s="118" t="n">
        <x:v>1506</x:v>
      </x:c>
      <x:c r="B1511" s="35" t="str">
        <x:v>passive</x:v>
      </x:c>
      <x:c r="C1511" s="35" t="str">
        <x:v>gorilla_iron_grip</x:v>
      </x:c>
      <x:c r="D1511" s="35" t="str">
        <x:v>max_activations_per_battle</x:v>
      </x:c>
      <x:c r="E1511" s="38" t="str">
        <x:v>int</x:v>
      </x:c>
      <x:c r="F1511" s="56" t="n">
        <x:f>'Passives'!Q11</x:f>
        <x:v>99</x:v>
      </x:c>
      <x:c r="G1511" s="38" t="str"/>
      <x:c r="H1511" s="35" t="str">
        <x:v>Passives</x:v>
      </x:c>
      <x:c r="I1511" s="35" t="str">
        <x:v>Q11</x:v>
      </x:c>
      <x:c r="J1511" s="85" t="b">
        <x:v>1</x:v>
      </x:c>
      <x:c r="K1511" s="85" t="b">
        <x:v>1</x:v>
      </x:c>
      <x:c r="L1511" s="56" t="str">
        <x:f>'Passives'!V11</x:f>
        <x:v>OK</x:v>
      </x:c>
      <x:c r="M1511" s="44" t="str">
        <x:v>Источник Passives.Max Activations / Battle</x:v>
      </x:c>
    </x:row>
    <x:row r="1512" ht="36" customHeight="1">
      <x:c r="A1512" s="118" t="n">
        <x:v>1507</x:v>
      </x:c>
      <x:c r="B1512" s="35" t="str">
        <x:v>passive</x:v>
      </x:c>
      <x:c r="C1512" s="35" t="str">
        <x:v>gorilla_iron_grip</x:v>
      </x:c>
      <x:c r="D1512" s="35" t="str">
        <x:v>resource_gain</x:v>
      </x:c>
      <x:c r="E1512" s="38" t="str">
        <x:v>int</x:v>
      </x:c>
      <x:c r="F1512" s="56" t="n">
        <x:f>'Passives'!R11</x:f>
        <x:v>0</x:v>
      </x:c>
      <x:c r="G1512" s="38" t="str"/>
      <x:c r="H1512" s="35" t="str">
        <x:v>Passives</x:v>
      </x:c>
      <x:c r="I1512" s="35" t="str">
        <x:v>R11</x:v>
      </x:c>
      <x:c r="J1512" s="85" t="b">
        <x:v>1</x:v>
      </x:c>
      <x:c r="K1512" s="85" t="b">
        <x:v>1</x:v>
      </x:c>
      <x:c r="L1512" s="56" t="str">
        <x:f>'Passives'!V11</x:f>
        <x:v>OK</x:v>
      </x:c>
      <x:c r="M1512" s="44" t="str">
        <x:v>Источник Passives.Resource Gain</x:v>
      </x:c>
    </x:row>
    <x:row r="1513" ht="36" customHeight="1">
      <x:c r="A1513" s="118" t="n">
        <x:v>1508</x:v>
      </x:c>
      <x:c r="B1513" s="35" t="str">
        <x:v>passive</x:v>
      </x:c>
      <x:c r="C1513" s="35" t="str">
        <x:v>gorilla_iron_grip</x:v>
      </x:c>
      <x:c r="D1513" s="35" t="str">
        <x:v>weight_multiplier_fp</x:v>
      </x:c>
      <x:c r="E1513" s="38" t="str">
        <x:v>int</x:v>
      </x:c>
      <x:c r="F1513" s="56" t="n">
        <x:f>'Passives'!S11</x:f>
        <x:v>1150</x:v>
      </x:c>
      <x:c r="G1513" s="38" t="str"/>
      <x:c r="H1513" s="35" t="str">
        <x:v>Passives</x:v>
      </x:c>
      <x:c r="I1513" s="35" t="str">
        <x:v>S11</x:v>
      </x:c>
      <x:c r="J1513" s="85" t="b">
        <x:v>1</x:v>
      </x:c>
      <x:c r="K1513" s="85" t="b">
        <x:v>1</x:v>
      </x:c>
      <x:c r="L1513" s="56" t="str">
        <x:f>'Passives'!V11</x:f>
        <x:v>OK</x:v>
      </x:c>
      <x:c r="M1513" s="44" t="str">
        <x:v>Источник Passives.Weight Multiplier FP</x:v>
      </x:c>
    </x:row>
    <x:row r="1514" ht="36" customHeight="1">
      <x:c r="A1514" s="118" t="n">
        <x:v>1509</x:v>
      </x:c>
      <x:c r="B1514" s="35" t="str">
        <x:v>passive</x:v>
      </x:c>
      <x:c r="C1514" s="35" t="str">
        <x:v>gorilla_iron_grip</x:v>
      </x:c>
      <x:c r="D1514" s="35" t="str">
        <x:v>tags</x:v>
      </x:c>
      <x:c r="E1514" s="38" t="str">
        <x:v>string</x:v>
      </x:c>
      <x:c r="F1514" s="56" t="str">
        <x:f>'Passives'!T11</x:f>
        <x:v>grab|control</x:v>
      </x:c>
      <x:c r="G1514" s="38" t="str"/>
      <x:c r="H1514" s="35" t="str">
        <x:v>Passives</x:v>
      </x:c>
      <x:c r="I1514" s="35" t="str">
        <x:v>T11</x:v>
      </x:c>
      <x:c r="J1514" s="85" t="b">
        <x:v>1</x:v>
      </x:c>
      <x:c r="K1514" s="85" t="b">
        <x:v>1</x:v>
      </x:c>
      <x:c r="L1514" s="56" t="str">
        <x:f>'Passives'!V11</x:f>
        <x:v>OK</x:v>
      </x:c>
      <x:c r="M1514" s="44" t="str">
        <x:v>Источник Passives.Tags</x:v>
      </x:c>
    </x:row>
    <x:row r="1515" ht="36" customHeight="1">
      <x:c r="A1515" s="118" t="n">
        <x:v>1510</x:v>
      </x:c>
      <x:c r="B1515" s="35" t="str">
        <x:v>effect</x:v>
      </x:c>
      <x:c r="C1515" s="35" t="str">
        <x:v>effect_bear_thick_hide</x:v>
      </x:c>
      <x:c r="D1515" s="35" t="str">
        <x:v>effect_id</x:v>
      </x:c>
      <x:c r="E1515" s="38" t="str">
        <x:v>string</x:v>
      </x:c>
      <x:c r="F1515" s="56" t="str">
        <x:f>'Effects'!A6</x:f>
        <x:v>effect_bear_thick_hide</x:v>
      </x:c>
      <x:c r="G1515" s="38" t="str"/>
      <x:c r="H1515" s="35" t="str">
        <x:v>Effects</x:v>
      </x:c>
      <x:c r="I1515" s="35" t="str">
        <x:v>A6</x:v>
      </x:c>
      <x:c r="J1515" s="85" t="b">
        <x:v>1</x:v>
      </x:c>
      <x:c r="K1515" s="85" t="b">
        <x:v>1</x:v>
      </x:c>
      <x:c r="L1515" s="56" t="str">
        <x:f>'Effects'!U6</x:f>
        <x:v>OK</x:v>
      </x:c>
      <x:c r="M1515" s="44" t="str">
        <x:v>Источник Effects.Effect ID</x:v>
      </x:c>
    </x:row>
    <x:row r="1516" ht="36" customHeight="1">
      <x:c r="A1516" s="118" t="n">
        <x:v>1511</x:v>
      </x:c>
      <x:c r="B1516" s="35" t="str">
        <x:v>effect</x:v>
      </x:c>
      <x:c r="C1516" s="35" t="str">
        <x:v>effect_bear_thick_hide</x:v>
      </x:c>
      <x:c r="D1516" s="35" t="str">
        <x:v>duration_ticks</x:v>
      </x:c>
      <x:c r="E1516" s="38" t="str">
        <x:v>int</x:v>
      </x:c>
      <x:c r="F1516" s="56" t="n">
        <x:f>'Effects'!C6</x:f>
        <x:v>25</x:v>
      </x:c>
      <x:c r="G1516" s="38" t="str"/>
      <x:c r="H1516" s="35" t="str">
        <x:v>Effects</x:v>
      </x:c>
      <x:c r="I1516" s="35" t="str">
        <x:v>C6</x:v>
      </x:c>
      <x:c r="J1516" s="85" t="b">
        <x:v>1</x:v>
      </x:c>
      <x:c r="K1516" s="85" t="b">
        <x:v>1</x:v>
      </x:c>
      <x:c r="L1516" s="56" t="str">
        <x:f>'Effects'!U6</x:f>
        <x:v>OK</x:v>
      </x:c>
      <x:c r="M1516" s="44" t="str">
        <x:v>Источник Effects.Duration Ticks</x:v>
      </x:c>
    </x:row>
    <x:row r="1517" ht="36" customHeight="1">
      <x:c r="A1517" s="118" t="n">
        <x:v>1512</x:v>
      </x:c>
      <x:c r="B1517" s="35" t="str">
        <x:v>effect</x:v>
      </x:c>
      <x:c r="C1517" s="35" t="str">
        <x:v>effect_bear_thick_hide</x:v>
      </x:c>
      <x:c r="D1517" s="35" t="str">
        <x:v>expiry_boundary</x:v>
      </x:c>
      <x:c r="E1517" s="38" t="str">
        <x:v>string</x:v>
      </x:c>
      <x:c r="F1517" s="56" t="str">
        <x:f>'Effects'!D6</x:f>
        <x:v>ExpireAfterTick</x:v>
      </x:c>
      <x:c r="G1517" s="38" t="str"/>
      <x:c r="H1517" s="35" t="str">
        <x:v>Effects</x:v>
      </x:c>
      <x:c r="I1517" s="35" t="str">
        <x:v>D6</x:v>
      </x:c>
      <x:c r="J1517" s="85" t="b">
        <x:v>1</x:v>
      </x:c>
      <x:c r="K1517" s="85" t="b">
        <x:v>1</x:v>
      </x:c>
      <x:c r="L1517" s="56" t="str">
        <x:f>'Effects'!U6</x:f>
        <x:v>OK</x:v>
      </x:c>
      <x:c r="M1517" s="44" t="str">
        <x:v>Источник Effects.Expiry Boundary</x:v>
      </x:c>
    </x:row>
    <x:row r="1518" ht="36" customHeight="1">
      <x:c r="A1518" s="118" t="n">
        <x:v>1513</x:v>
      </x:c>
      <x:c r="B1518" s="35" t="str">
        <x:v>effect</x:v>
      </x:c>
      <x:c r="C1518" s="35" t="str">
        <x:v>effect_bear_thick_hide</x:v>
      </x:c>
      <x:c r="D1518" s="35" t="str">
        <x:v>stack_group</x:v>
      </x:c>
      <x:c r="E1518" s="38" t="str">
        <x:v>string</x:v>
      </x:c>
      <x:c r="F1518" s="56" t="str">
        <x:f>'Effects'!E6</x:f>
        <x:v>bear_thick_hide</x:v>
      </x:c>
      <x:c r="G1518" s="38" t="str"/>
      <x:c r="H1518" s="35" t="str">
        <x:v>Effects</x:v>
      </x:c>
      <x:c r="I1518" s="35" t="str">
        <x:v>E6</x:v>
      </x:c>
      <x:c r="J1518" s="85" t="b">
        <x:v>1</x:v>
      </x:c>
      <x:c r="K1518" s="85" t="b">
        <x:v>1</x:v>
      </x:c>
      <x:c r="L1518" s="56" t="str">
        <x:f>'Effects'!U6</x:f>
        <x:v>OK</x:v>
      </x:c>
      <x:c r="M1518" s="44" t="str">
        <x:v>Источник Effects.Stack Group</x:v>
      </x:c>
    </x:row>
    <x:row r="1519" ht="36" customHeight="1">
      <x:c r="A1519" s="118" t="n">
        <x:v>1514</x:v>
      </x:c>
      <x:c r="B1519" s="35" t="str">
        <x:v>effect</x:v>
      </x:c>
      <x:c r="C1519" s="35" t="str">
        <x:v>effect_bear_thick_hide</x:v>
      </x:c>
      <x:c r="D1519" s="35" t="str">
        <x:v>stack_policy</x:v>
      </x:c>
      <x:c r="E1519" s="38" t="str">
        <x:v>string</x:v>
      </x:c>
      <x:c r="F1519" s="56" t="str">
        <x:f>'Effects'!F6</x:f>
        <x:v>StrongestWins</x:v>
      </x:c>
      <x:c r="G1519" s="38" t="str"/>
      <x:c r="H1519" s="35" t="str">
        <x:v>Effects</x:v>
      </x:c>
      <x:c r="I1519" s="35" t="str">
        <x:v>F6</x:v>
      </x:c>
      <x:c r="J1519" s="85" t="b">
        <x:v>1</x:v>
      </x:c>
      <x:c r="K1519" s="85" t="b">
        <x:v>1</x:v>
      </x:c>
      <x:c r="L1519" s="56" t="str">
        <x:f>'Effects'!U6</x:f>
        <x:v>OK</x:v>
      </x:c>
      <x:c r="M1519" s="44" t="str">
        <x:v>Источник Effects.Stack Policy</x:v>
      </x:c>
    </x:row>
    <x:row r="1520" ht="36" customHeight="1">
      <x:c r="A1520" s="118" t="n">
        <x:v>1515</x:v>
      </x:c>
      <x:c r="B1520" s="35" t="str">
        <x:v>effect</x:v>
      </x:c>
      <x:c r="C1520" s="35" t="str">
        <x:v>effect_bear_thick_hide</x:v>
      </x:c>
      <x:c r="D1520" s="35" t="str">
        <x:v>stack_cap</x:v>
      </x:c>
      <x:c r="E1520" s="38" t="str">
        <x:v>int</x:v>
      </x:c>
      <x:c r="F1520" s="56" t="n">
        <x:f>'Effects'!G6</x:f>
        <x:v>1</x:v>
      </x:c>
      <x:c r="G1520" s="38" t="str"/>
      <x:c r="H1520" s="35" t="str">
        <x:v>Effects</x:v>
      </x:c>
      <x:c r="I1520" s="35" t="str">
        <x:v>G6</x:v>
      </x:c>
      <x:c r="J1520" s="85" t="b">
        <x:v>1</x:v>
      </x:c>
      <x:c r="K1520" s="85" t="b">
        <x:v>1</x:v>
      </x:c>
      <x:c r="L1520" s="56" t="str">
        <x:f>'Effects'!U6</x:f>
        <x:v>OK</x:v>
      </x:c>
      <x:c r="M1520" s="44" t="str">
        <x:v>Источник Effects.Stack Cap</x:v>
      </x:c>
    </x:row>
    <x:row r="1521" ht="36" customHeight="1">
      <x:c r="A1521" s="118" t="n">
        <x:v>1516</x:v>
      </x:c>
      <x:c r="B1521" s="35" t="str">
        <x:v>effect</x:v>
      </x:c>
      <x:c r="C1521" s="35" t="str">
        <x:v>effect_bear_thick_hide</x:v>
      </x:c>
      <x:c r="D1521" s="35" t="str">
        <x:v>compare_key</x:v>
      </x:c>
      <x:c r="E1521" s="38" t="str">
        <x:v>string</x:v>
      </x:c>
      <x:c r="F1521" s="56" t="str">
        <x:f>'Effects'!H6</x:f>
        <x:v>Value1</x:v>
      </x:c>
      <x:c r="G1521" s="38" t="str"/>
      <x:c r="H1521" s="35" t="str">
        <x:v>Effects</x:v>
      </x:c>
      <x:c r="I1521" s="35" t="str">
        <x:v>H6</x:v>
      </x:c>
      <x:c r="J1521" s="85" t="b">
        <x:v>1</x:v>
      </x:c>
      <x:c r="K1521" s="85" t="b">
        <x:v>1</x:v>
      </x:c>
      <x:c r="L1521" s="56" t="str">
        <x:f>'Effects'!U6</x:f>
        <x:v>OK</x:v>
      </x:c>
      <x:c r="M1521" s="44" t="str">
        <x:v>Источник Effects.Compare Key</x:v>
      </x:c>
    </x:row>
    <x:row r="1522" ht="36" customHeight="1">
      <x:c r="A1522" s="118" t="n">
        <x:v>1517</x:v>
      </x:c>
      <x:c r="B1522" s="35" t="str">
        <x:v>effect</x:v>
      </x:c>
      <x:c r="C1522" s="35" t="str">
        <x:v>effect_bear_thick_hide</x:v>
      </x:c>
      <x:c r="D1522" s="35" t="str">
        <x:v>modifier_stat1</x:v>
      </x:c>
      <x:c r="E1522" s="38" t="str">
        <x:v>string</x:v>
      </x:c>
      <x:c r="F1522" s="56" t="str">
        <x:f>'Effects'!I6</x:f>
        <x:v>Armor</x:v>
      </x:c>
      <x:c r="G1522" s="38" t="str"/>
      <x:c r="H1522" s="35" t="str">
        <x:v>Effects</x:v>
      </x:c>
      <x:c r="I1522" s="35" t="str">
        <x:v>I6</x:v>
      </x:c>
      <x:c r="J1522" s="85" t="b">
        <x:v>1</x:v>
      </x:c>
      <x:c r="K1522" s="85" t="b">
        <x:v>1</x:v>
      </x:c>
      <x:c r="L1522" s="56" t="str">
        <x:f>'Effects'!U6</x:f>
        <x:v>OK</x:v>
      </x:c>
      <x:c r="M1522" s="44" t="str">
        <x:v>Источник Effects.Modifier Stat 1</x:v>
      </x:c>
    </x:row>
    <x:row r="1523" ht="36" customHeight="1">
      <x:c r="A1523" s="118" t="n">
        <x:v>1518</x:v>
      </x:c>
      <x:c r="B1523" s="35" t="str">
        <x:v>effect</x:v>
      </x:c>
      <x:c r="C1523" s="35" t="str">
        <x:v>effect_bear_thick_hide</x:v>
      </x:c>
      <x:c r="D1523" s="35" t="str">
        <x:v>operation1</x:v>
      </x:c>
      <x:c r="E1523" s="38" t="str">
        <x:v>string</x:v>
      </x:c>
      <x:c r="F1523" s="56" t="str">
        <x:f>'Effects'!J6</x:f>
        <x:v>Multiply</x:v>
      </x:c>
      <x:c r="G1523" s="38" t="str"/>
      <x:c r="H1523" s="35" t="str">
        <x:v>Effects</x:v>
      </x:c>
      <x:c r="I1523" s="35" t="str">
        <x:v>J6</x:v>
      </x:c>
      <x:c r="J1523" s="85" t="b">
        <x:v>1</x:v>
      </x:c>
      <x:c r="K1523" s="85" t="b">
        <x:v>1</x:v>
      </x:c>
      <x:c r="L1523" s="56" t="str">
        <x:f>'Effects'!U6</x:f>
        <x:v>OK</x:v>
      </x:c>
      <x:c r="M1523" s="44" t="str">
        <x:v>Источник Effects.Operation 1</x:v>
      </x:c>
    </x:row>
    <x:row r="1524" ht="36" customHeight="1">
      <x:c r="A1524" s="118" t="n">
        <x:v>1519</x:v>
      </x:c>
      <x:c r="B1524" s="35" t="str">
        <x:v>effect</x:v>
      </x:c>
      <x:c r="C1524" s="35" t="str">
        <x:v>effect_bear_thick_hide</x:v>
      </x:c>
      <x:c r="D1524" s="35" t="str">
        <x:v>value1</x:v>
      </x:c>
      <x:c r="E1524" s="38" t="str">
        <x:v>int</x:v>
      </x:c>
      <x:c r="F1524" s="56" t="n">
        <x:f>'Effects'!K6</x:f>
        <x:v>1150</x:v>
      </x:c>
      <x:c r="G1524" s="38" t="str"/>
      <x:c r="H1524" s="35" t="str">
        <x:v>Effects</x:v>
      </x:c>
      <x:c r="I1524" s="35" t="str">
        <x:v>K6</x:v>
      </x:c>
      <x:c r="J1524" s="85" t="b">
        <x:v>1</x:v>
      </x:c>
      <x:c r="K1524" s="85" t="b">
        <x:v>1</x:v>
      </x:c>
      <x:c r="L1524" s="56" t="str">
        <x:f>'Effects'!U6</x:f>
        <x:v>OK</x:v>
      </x:c>
      <x:c r="M1524" s="44" t="str">
        <x:v>Источник Effects.Value 1</x:v>
      </x:c>
    </x:row>
    <x:row r="1525" ht="36" customHeight="1">
      <x:c r="A1525" s="118" t="n">
        <x:v>1520</x:v>
      </x:c>
      <x:c r="B1525" s="35" t="str">
        <x:v>effect</x:v>
      </x:c>
      <x:c r="C1525" s="35" t="str">
        <x:v>effect_bear_thick_hide</x:v>
      </x:c>
      <x:c r="D1525" s="35" t="str">
        <x:v>modifier_stat2</x:v>
      </x:c>
      <x:c r="E1525" s="38" t="str">
        <x:v>string</x:v>
      </x:c>
      <x:c r="F1525" s="56" t="str">
        <x:f>'Effects'!L6</x:f>
        <x:v>ControlResistance</x:v>
      </x:c>
      <x:c r="G1525" s="38" t="str"/>
      <x:c r="H1525" s="35" t="str">
        <x:v>Effects</x:v>
      </x:c>
      <x:c r="I1525" s="35" t="str">
        <x:v>L6</x:v>
      </x:c>
      <x:c r="J1525" s="85" t="b">
        <x:v>0</x:v>
      </x:c>
      <x:c r="K1525" s="85" t="b">
        <x:v>1</x:v>
      </x:c>
      <x:c r="L1525" s="56" t="str">
        <x:f>'Effects'!U6</x:f>
        <x:v>OK</x:v>
      </x:c>
      <x:c r="M1525" s="44" t="str">
        <x:v>Источник Effects.Modifier Stat 2</x:v>
      </x:c>
    </x:row>
    <x:row r="1526" ht="36" customHeight="1">
      <x:c r="A1526" s="118" t="n">
        <x:v>1521</x:v>
      </x:c>
      <x:c r="B1526" s="35" t="str">
        <x:v>effect</x:v>
      </x:c>
      <x:c r="C1526" s="35" t="str">
        <x:v>effect_bear_thick_hide</x:v>
      </x:c>
      <x:c r="D1526" s="35" t="str">
        <x:v>operation2</x:v>
      </x:c>
      <x:c r="E1526" s="38" t="str">
        <x:v>string</x:v>
      </x:c>
      <x:c r="F1526" s="56" t="str">
        <x:f>'Effects'!M6</x:f>
        <x:v>Multiply</x:v>
      </x:c>
      <x:c r="G1526" s="38" t="str"/>
      <x:c r="H1526" s="35" t="str">
        <x:v>Effects</x:v>
      </x:c>
      <x:c r="I1526" s="35" t="str">
        <x:v>M6</x:v>
      </x:c>
      <x:c r="J1526" s="85" t="b">
        <x:v>0</x:v>
      </x:c>
      <x:c r="K1526" s="85" t="b">
        <x:v>1</x:v>
      </x:c>
      <x:c r="L1526" s="56" t="str">
        <x:f>'Effects'!U6</x:f>
        <x:v>OK</x:v>
      </x:c>
      <x:c r="M1526" s="44" t="str">
        <x:v>Источник Effects.Operation 2</x:v>
      </x:c>
    </x:row>
    <x:row r="1527" ht="36" customHeight="1">
      <x:c r="A1527" s="118" t="n">
        <x:v>1522</x:v>
      </x:c>
      <x:c r="B1527" s="35" t="str">
        <x:v>effect</x:v>
      </x:c>
      <x:c r="C1527" s="35" t="str">
        <x:v>effect_bear_thick_hide</x:v>
      </x:c>
      <x:c r="D1527" s="35" t="str">
        <x:v>value2</x:v>
      </x:c>
      <x:c r="E1527" s="38" t="str">
        <x:v>int</x:v>
      </x:c>
      <x:c r="F1527" s="56" t="n">
        <x:f>'Effects'!N6</x:f>
        <x:v>1150</x:v>
      </x:c>
      <x:c r="G1527" s="38" t="str"/>
      <x:c r="H1527" s="35" t="str">
        <x:v>Effects</x:v>
      </x:c>
      <x:c r="I1527" s="35" t="str">
        <x:v>N6</x:v>
      </x:c>
      <x:c r="J1527" s="85" t="b">
        <x:v>0</x:v>
      </x:c>
      <x:c r="K1527" s="85" t="b">
        <x:v>1</x:v>
      </x:c>
      <x:c r="L1527" s="56" t="str">
        <x:f>'Effects'!U6</x:f>
        <x:v>OK</x:v>
      </x:c>
      <x:c r="M1527" s="44" t="str">
        <x:v>Источник Effects.Value 2</x:v>
      </x:c>
    </x:row>
    <x:row r="1528" ht="36" customHeight="1">
      <x:c r="A1528" s="118" t="n">
        <x:v>1523</x:v>
      </x:c>
      <x:c r="B1528" s="35" t="str">
        <x:v>effect</x:v>
      </x:c>
      <x:c r="C1528" s="35" t="str">
        <x:v>effect_bear_thick_hide</x:v>
      </x:c>
      <x:c r="D1528" s="35" t="str">
        <x:v>tags</x:v>
      </x:c>
      <x:c r="E1528" s="38" t="str">
        <x:v>string</x:v>
      </x:c>
      <x:c r="F1528" s="56" t="str">
        <x:f>'Effects'!O6</x:f>
        <x:v>buff|defense</x:v>
      </x:c>
      <x:c r="G1528" s="38" t="str"/>
      <x:c r="H1528" s="35" t="str">
        <x:v>Effects</x:v>
      </x:c>
      <x:c r="I1528" s="35" t="str">
        <x:v>O6</x:v>
      </x:c>
      <x:c r="J1528" s="85" t="b">
        <x:v>1</x:v>
      </x:c>
      <x:c r="K1528" s="85" t="b">
        <x:v>1</x:v>
      </x:c>
      <x:c r="L1528" s="56" t="str">
        <x:f>'Effects'!U6</x:f>
        <x:v>OK</x:v>
      </x:c>
      <x:c r="M1528" s="44" t="str">
        <x:v>Источник Effects.Tags</x:v>
      </x:c>
    </x:row>
    <x:row r="1529" ht="36" customHeight="1">
      <x:c r="A1529" s="118" t="n">
        <x:v>1524</x:v>
      </x:c>
      <x:c r="B1529" s="35" t="str">
        <x:v>effect</x:v>
      </x:c>
      <x:c r="C1529" s="35" t="str">
        <x:v>effect_bear_thick_hide</x:v>
      </x:c>
      <x:c r="D1529" s="35" t="str">
        <x:v>max_activations_per_tick</x:v>
      </x:c>
      <x:c r="E1529" s="38" t="str">
        <x:v>int</x:v>
      </x:c>
      <x:c r="F1529" s="56" t="n">
        <x:f>'Effects'!P6</x:f>
        <x:v>1</x:v>
      </x:c>
      <x:c r="G1529" s="38" t="str"/>
      <x:c r="H1529" s="35" t="str">
        <x:v>Effects</x:v>
      </x:c>
      <x:c r="I1529" s="35" t="str">
        <x:v>P6</x:v>
      </x:c>
      <x:c r="J1529" s="85" t="b">
        <x:v>1</x:v>
      </x:c>
      <x:c r="K1529" s="85" t="b">
        <x:v>1</x:v>
      </x:c>
      <x:c r="L1529" s="56" t="str">
        <x:f>'Effects'!U6</x:f>
        <x:v>OK</x:v>
      </x:c>
      <x:c r="M1529" s="44" t="str">
        <x:v>Источник Effects.Max Activations / Tick</x:v>
      </x:c>
    </x:row>
    <x:row r="1530" ht="36" customHeight="1">
      <x:c r="A1530" s="118" t="n">
        <x:v>1525</x:v>
      </x:c>
      <x:c r="B1530" s="35" t="str">
        <x:v>effect</x:v>
      </x:c>
      <x:c r="C1530" s="35" t="str">
        <x:v>effect_bear_thick_hide</x:v>
      </x:c>
      <x:c r="D1530" s="35" t="str">
        <x:v>max_activations_per_battle</x:v>
      </x:c>
      <x:c r="E1530" s="38" t="str">
        <x:v>int</x:v>
      </x:c>
      <x:c r="F1530" s="56" t="n">
        <x:f>'Effects'!Q6</x:f>
        <x:v>99</x:v>
      </x:c>
      <x:c r="G1530" s="38" t="str"/>
      <x:c r="H1530" s="35" t="str">
        <x:v>Effects</x:v>
      </x:c>
      <x:c r="I1530" s="35" t="str">
        <x:v>Q6</x:v>
      </x:c>
      <x:c r="J1530" s="85" t="b">
        <x:v>1</x:v>
      </x:c>
      <x:c r="K1530" s="85" t="b">
        <x:v>1</x:v>
      </x:c>
      <x:c r="L1530" s="56" t="str">
        <x:f>'Effects'!U6</x:f>
        <x:v>OK</x:v>
      </x:c>
      <x:c r="M1530" s="44" t="str">
        <x:v>Источник Effects.Max Activations / Battle</x:v>
      </x:c>
    </x:row>
    <x:row r="1531" ht="36" customHeight="1">
      <x:c r="A1531" s="118" t="n">
        <x:v>1526</x:v>
      </x:c>
      <x:c r="B1531" s="35" t="str">
        <x:v>effect</x:v>
      </x:c>
      <x:c r="C1531" s="35" t="str">
        <x:v>effect_bear_thick_hide</x:v>
      </x:c>
      <x:c r="D1531" s="35" t="str">
        <x:v>internal_cooldown_ticks</x:v>
      </x:c>
      <x:c r="E1531" s="38" t="str">
        <x:v>int</x:v>
      </x:c>
      <x:c r="F1531" s="56" t="n">
        <x:f>'Effects'!R6</x:f>
        <x:v>50</x:v>
      </x:c>
      <x:c r="G1531" s="38" t="str"/>
      <x:c r="H1531" s="35" t="str">
        <x:v>Effects</x:v>
      </x:c>
      <x:c r="I1531" s="35" t="str">
        <x:v>R6</x:v>
      </x:c>
      <x:c r="J1531" s="85" t="b">
        <x:v>1</x:v>
      </x:c>
      <x:c r="K1531" s="85" t="b">
        <x:v>1</x:v>
      </x:c>
      <x:c r="L1531" s="56" t="str">
        <x:f>'Effects'!U6</x:f>
        <x:v>OK</x:v>
      </x:c>
      <x:c r="M1531" s="44" t="str">
        <x:v>Источник Effects.Internal Cooldown Ticks</x:v>
      </x:c>
    </x:row>
    <x:row r="1532" ht="36" customHeight="1">
      <x:c r="A1532" s="118" t="n">
        <x:v>1527</x:v>
      </x:c>
      <x:c r="B1532" s="35" t="str">
        <x:v>effect</x:v>
      </x:c>
      <x:c r="C1532" s="35" t="str">
        <x:v>effect_bear_thick_hide</x:v>
      </x:c>
      <x:c r="D1532" s="35" t="str">
        <x:v>lookup_profile</x:v>
      </x:c>
      <x:c r="E1532" s="38" t="str">
        <x:v>string</x:v>
      </x:c>
      <x:c r="F1532" s="56" t="str">
        <x:f>'Effects'!S6</x:f>
      </x:c>
      <x:c r="G1532" s="38" t="str"/>
      <x:c r="H1532" s="35" t="str">
        <x:v>Effects</x:v>
      </x:c>
      <x:c r="I1532" s="35" t="str">
        <x:v>S6</x:v>
      </x:c>
      <x:c r="J1532" s="85" t="b">
        <x:v>0</x:v>
      </x:c>
      <x:c r="K1532" s="85" t="b">
        <x:v>1</x:v>
      </x:c>
      <x:c r="L1532" s="56" t="str">
        <x:f>'Effects'!U6</x:f>
        <x:v>OK</x:v>
      </x:c>
      <x:c r="M1532" s="44" t="str">
        <x:v>Источник Effects.Lookup Profile</x:v>
      </x:c>
    </x:row>
    <x:row r="1533" ht="36" customHeight="1">
      <x:c r="A1533" s="118" t="n">
        <x:v>1528</x:v>
      </x:c>
      <x:c r="B1533" s="35" t="str">
        <x:v>effect</x:v>
      </x:c>
      <x:c r="C1533" s="35" t="str">
        <x:v>effect_kangaroo_clean_rhythm</x:v>
      </x:c>
      <x:c r="D1533" s="35" t="str">
        <x:v>effect_id</x:v>
      </x:c>
      <x:c r="E1533" s="38" t="str">
        <x:v>string</x:v>
      </x:c>
      <x:c r="F1533" s="56" t="str">
        <x:f>'Effects'!A7</x:f>
        <x:v>effect_kangaroo_clean_rhythm</x:v>
      </x:c>
      <x:c r="G1533" s="38" t="str"/>
      <x:c r="H1533" s="35" t="str">
        <x:v>Effects</x:v>
      </x:c>
      <x:c r="I1533" s="35" t="str">
        <x:v>A7</x:v>
      </x:c>
      <x:c r="J1533" s="85" t="b">
        <x:v>1</x:v>
      </x:c>
      <x:c r="K1533" s="85" t="b">
        <x:v>1</x:v>
      </x:c>
      <x:c r="L1533" s="56" t="str">
        <x:f>'Effects'!U7</x:f>
        <x:v>OK</x:v>
      </x:c>
      <x:c r="M1533" s="44" t="str">
        <x:v>Источник Effects.Effect ID</x:v>
      </x:c>
    </x:row>
    <x:row r="1534" ht="36" customHeight="1">
      <x:c r="A1534" s="118" t="n">
        <x:v>1529</x:v>
      </x:c>
      <x:c r="B1534" s="35" t="str">
        <x:v>effect</x:v>
      </x:c>
      <x:c r="C1534" s="35" t="str">
        <x:v>effect_kangaroo_clean_rhythm</x:v>
      </x:c>
      <x:c r="D1534" s="35" t="str">
        <x:v>duration_ticks</x:v>
      </x:c>
      <x:c r="E1534" s="38" t="str">
        <x:v>int</x:v>
      </x:c>
      <x:c r="F1534" s="56" t="n">
        <x:f>'Effects'!C7</x:f>
        <x:v>20</x:v>
      </x:c>
      <x:c r="G1534" s="38" t="str"/>
      <x:c r="H1534" s="35" t="str">
        <x:v>Effects</x:v>
      </x:c>
      <x:c r="I1534" s="35" t="str">
        <x:v>C7</x:v>
      </x:c>
      <x:c r="J1534" s="85" t="b">
        <x:v>1</x:v>
      </x:c>
      <x:c r="K1534" s="85" t="b">
        <x:v>1</x:v>
      </x:c>
      <x:c r="L1534" s="56" t="str">
        <x:f>'Effects'!U7</x:f>
        <x:v>OK</x:v>
      </x:c>
      <x:c r="M1534" s="44" t="str">
        <x:v>Источник Effects.Duration Ticks</x:v>
      </x:c>
    </x:row>
    <x:row r="1535" ht="36" customHeight="1">
      <x:c r="A1535" s="118" t="n">
        <x:v>1530</x:v>
      </x:c>
      <x:c r="B1535" s="35" t="str">
        <x:v>effect</x:v>
      </x:c>
      <x:c r="C1535" s="35" t="str">
        <x:v>effect_kangaroo_clean_rhythm</x:v>
      </x:c>
      <x:c r="D1535" s="35" t="str">
        <x:v>expiry_boundary</x:v>
      </x:c>
      <x:c r="E1535" s="38" t="str">
        <x:v>string</x:v>
      </x:c>
      <x:c r="F1535" s="56" t="str">
        <x:f>'Effects'!D7</x:f>
        <x:v>ExpireAfterTick</x:v>
      </x:c>
      <x:c r="G1535" s="38" t="str"/>
      <x:c r="H1535" s="35" t="str">
        <x:v>Effects</x:v>
      </x:c>
      <x:c r="I1535" s="35" t="str">
        <x:v>D7</x:v>
      </x:c>
      <x:c r="J1535" s="85" t="b">
        <x:v>1</x:v>
      </x:c>
      <x:c r="K1535" s="85" t="b">
        <x:v>1</x:v>
      </x:c>
      <x:c r="L1535" s="56" t="str">
        <x:f>'Effects'!U7</x:f>
        <x:v>OK</x:v>
      </x:c>
      <x:c r="M1535" s="44" t="str">
        <x:v>Источник Effects.Expiry Boundary</x:v>
      </x:c>
    </x:row>
    <x:row r="1536" ht="36" customHeight="1">
      <x:c r="A1536" s="118" t="n">
        <x:v>1531</x:v>
      </x:c>
      <x:c r="B1536" s="35" t="str">
        <x:v>effect</x:v>
      </x:c>
      <x:c r="C1536" s="35" t="str">
        <x:v>effect_kangaroo_clean_rhythm</x:v>
      </x:c>
      <x:c r="D1536" s="35" t="str">
        <x:v>stack_group</x:v>
      </x:c>
      <x:c r="E1536" s="38" t="str">
        <x:v>string</x:v>
      </x:c>
      <x:c r="F1536" s="56" t="str">
        <x:f>'Effects'!E7</x:f>
        <x:v>kangaroo_clean_rhythm</x:v>
      </x:c>
      <x:c r="G1536" s="38" t="str"/>
      <x:c r="H1536" s="35" t="str">
        <x:v>Effects</x:v>
      </x:c>
      <x:c r="I1536" s="35" t="str">
        <x:v>E7</x:v>
      </x:c>
      <x:c r="J1536" s="85" t="b">
        <x:v>1</x:v>
      </x:c>
      <x:c r="K1536" s="85" t="b">
        <x:v>1</x:v>
      </x:c>
      <x:c r="L1536" s="56" t="str">
        <x:f>'Effects'!U7</x:f>
        <x:v>OK</x:v>
      </x:c>
      <x:c r="M1536" s="44" t="str">
        <x:v>Источник Effects.Stack Group</x:v>
      </x:c>
    </x:row>
    <x:row r="1537" ht="36" customHeight="1">
      <x:c r="A1537" s="118" t="n">
        <x:v>1532</x:v>
      </x:c>
      <x:c r="B1537" s="35" t="str">
        <x:v>effect</x:v>
      </x:c>
      <x:c r="C1537" s="35" t="str">
        <x:v>effect_kangaroo_clean_rhythm</x:v>
      </x:c>
      <x:c r="D1537" s="35" t="str">
        <x:v>stack_policy</x:v>
      </x:c>
      <x:c r="E1537" s="38" t="str">
        <x:v>string</x:v>
      </x:c>
      <x:c r="F1537" s="56" t="str">
        <x:f>'Effects'!F7</x:f>
        <x:v>AddStacks</x:v>
      </x:c>
      <x:c r="G1537" s="38" t="str"/>
      <x:c r="H1537" s="35" t="str">
        <x:v>Effects</x:v>
      </x:c>
      <x:c r="I1537" s="35" t="str">
        <x:v>F7</x:v>
      </x:c>
      <x:c r="J1537" s="85" t="b">
        <x:v>1</x:v>
      </x:c>
      <x:c r="K1537" s="85" t="b">
        <x:v>1</x:v>
      </x:c>
      <x:c r="L1537" s="56" t="str">
        <x:f>'Effects'!U7</x:f>
        <x:v>OK</x:v>
      </x:c>
      <x:c r="M1537" s="44" t="str">
        <x:v>Источник Effects.Stack Policy</x:v>
      </x:c>
    </x:row>
    <x:row r="1538" ht="36" customHeight="1">
      <x:c r="A1538" s="118" t="n">
        <x:v>1533</x:v>
      </x:c>
      <x:c r="B1538" s="35" t="str">
        <x:v>effect</x:v>
      </x:c>
      <x:c r="C1538" s="35" t="str">
        <x:v>effect_kangaroo_clean_rhythm</x:v>
      </x:c>
      <x:c r="D1538" s="35" t="str">
        <x:v>stack_cap</x:v>
      </x:c>
      <x:c r="E1538" s="38" t="str">
        <x:v>int</x:v>
      </x:c>
      <x:c r="F1538" s="56" t="n">
        <x:f>'Effects'!G7</x:f>
        <x:v>3</x:v>
      </x:c>
      <x:c r="G1538" s="38" t="str"/>
      <x:c r="H1538" s="35" t="str">
        <x:v>Effects</x:v>
      </x:c>
      <x:c r="I1538" s="35" t="str">
        <x:v>G7</x:v>
      </x:c>
      <x:c r="J1538" s="85" t="b">
        <x:v>1</x:v>
      </x:c>
      <x:c r="K1538" s="85" t="b">
        <x:v>1</x:v>
      </x:c>
      <x:c r="L1538" s="56" t="str">
        <x:f>'Effects'!U7</x:f>
        <x:v>OK</x:v>
      </x:c>
      <x:c r="M1538" s="44" t="str">
        <x:v>Источник Effects.Stack Cap</x:v>
      </x:c>
    </x:row>
    <x:row r="1539" ht="36" customHeight="1">
      <x:c r="A1539" s="118" t="n">
        <x:v>1534</x:v>
      </x:c>
      <x:c r="B1539" s="35" t="str">
        <x:v>effect</x:v>
      </x:c>
      <x:c r="C1539" s="35" t="str">
        <x:v>effect_kangaroo_clean_rhythm</x:v>
      </x:c>
      <x:c r="D1539" s="35" t="str">
        <x:v>compare_key</x:v>
      </x:c>
      <x:c r="E1539" s="38" t="str">
        <x:v>string</x:v>
      </x:c>
      <x:c r="F1539" s="56" t="str">
        <x:f>'Effects'!H7</x:f>
        <x:v>StackCount</x:v>
      </x:c>
      <x:c r="G1539" s="38" t="str"/>
      <x:c r="H1539" s="35" t="str">
        <x:v>Effects</x:v>
      </x:c>
      <x:c r="I1539" s="35" t="str">
        <x:v>H7</x:v>
      </x:c>
      <x:c r="J1539" s="85" t="b">
        <x:v>1</x:v>
      </x:c>
      <x:c r="K1539" s="85" t="b">
        <x:v>1</x:v>
      </x:c>
      <x:c r="L1539" s="56" t="str">
        <x:f>'Effects'!U7</x:f>
        <x:v>OK</x:v>
      </x:c>
      <x:c r="M1539" s="44" t="str">
        <x:v>Источник Effects.Compare Key</x:v>
      </x:c>
    </x:row>
    <x:row r="1540" ht="36" customHeight="1">
      <x:c r="A1540" s="118" t="n">
        <x:v>1535</x:v>
      </x:c>
      <x:c r="B1540" s="35" t="str">
        <x:v>effect</x:v>
      </x:c>
      <x:c r="C1540" s="35" t="str">
        <x:v>effect_kangaroo_clean_rhythm</x:v>
      </x:c>
      <x:c r="D1540" s="35" t="str">
        <x:v>modifier_stat1</x:v>
      </x:c>
      <x:c r="E1540" s="38" t="str">
        <x:v>string</x:v>
      </x:c>
      <x:c r="F1540" s="56" t="str">
        <x:f>'Effects'!I7</x:f>
        <x:v>Precision</x:v>
      </x:c>
      <x:c r="G1540" s="38" t="str"/>
      <x:c r="H1540" s="35" t="str">
        <x:v>Effects</x:v>
      </x:c>
      <x:c r="I1540" s="35" t="str">
        <x:v>I7</x:v>
      </x:c>
      <x:c r="J1540" s="85" t="b">
        <x:v>1</x:v>
      </x:c>
      <x:c r="K1540" s="85" t="b">
        <x:v>1</x:v>
      </x:c>
      <x:c r="L1540" s="56" t="str">
        <x:f>'Effects'!U7</x:f>
        <x:v>OK</x:v>
      </x:c>
      <x:c r="M1540" s="44" t="str">
        <x:v>Источник Effects.Modifier Stat 1</x:v>
      </x:c>
    </x:row>
    <x:row r="1541" ht="36" customHeight="1">
      <x:c r="A1541" s="118" t="n">
        <x:v>1536</x:v>
      </x:c>
      <x:c r="B1541" s="35" t="str">
        <x:v>effect</x:v>
      </x:c>
      <x:c r="C1541" s="35" t="str">
        <x:v>effect_kangaroo_clean_rhythm</x:v>
      </x:c>
      <x:c r="D1541" s="35" t="str">
        <x:v>operation1</x:v>
      </x:c>
      <x:c r="E1541" s="38" t="str">
        <x:v>string</x:v>
      </x:c>
      <x:c r="F1541" s="56" t="str">
        <x:f>'Effects'!J7</x:f>
        <x:v>Add</x:v>
      </x:c>
      <x:c r="G1541" s="38" t="str"/>
      <x:c r="H1541" s="35" t="str">
        <x:v>Effects</x:v>
      </x:c>
      <x:c r="I1541" s="35" t="str">
        <x:v>J7</x:v>
      </x:c>
      <x:c r="J1541" s="85" t="b">
        <x:v>1</x:v>
      </x:c>
      <x:c r="K1541" s="85" t="b">
        <x:v>1</x:v>
      </x:c>
      <x:c r="L1541" s="56" t="str">
        <x:f>'Effects'!U7</x:f>
        <x:v>OK</x:v>
      </x:c>
      <x:c r="M1541" s="44" t="str">
        <x:v>Источник Effects.Operation 1</x:v>
      </x:c>
    </x:row>
    <x:row r="1542" ht="36" customHeight="1">
      <x:c r="A1542" s="118" t="n">
        <x:v>1537</x:v>
      </x:c>
      <x:c r="B1542" s="35" t="str">
        <x:v>effect</x:v>
      </x:c>
      <x:c r="C1542" s="35" t="str">
        <x:v>effect_kangaroo_clean_rhythm</x:v>
      </x:c>
      <x:c r="D1542" s="35" t="str">
        <x:v>value1</x:v>
      </x:c>
      <x:c r="E1542" s="38" t="str">
        <x:v>int</x:v>
      </x:c>
      <x:c r="F1542" s="56" t="n">
        <x:f>'Effects'!K7</x:f>
        <x:v>8</x:v>
      </x:c>
      <x:c r="G1542" s="38" t="str"/>
      <x:c r="H1542" s="35" t="str">
        <x:v>Effects</x:v>
      </x:c>
      <x:c r="I1542" s="35" t="str">
        <x:v>K7</x:v>
      </x:c>
      <x:c r="J1542" s="85" t="b">
        <x:v>1</x:v>
      </x:c>
      <x:c r="K1542" s="85" t="b">
        <x:v>1</x:v>
      </x:c>
      <x:c r="L1542" s="56" t="str">
        <x:f>'Effects'!U7</x:f>
        <x:v>OK</x:v>
      </x:c>
      <x:c r="M1542" s="44" t="str">
        <x:v>Источник Effects.Value 1</x:v>
      </x:c>
    </x:row>
    <x:row r="1543" ht="36" customHeight="1">
      <x:c r="A1543" s="118" t="n">
        <x:v>1538</x:v>
      </x:c>
      <x:c r="B1543" s="35" t="str">
        <x:v>effect</x:v>
      </x:c>
      <x:c r="C1543" s="35" t="str">
        <x:v>effect_kangaroo_clean_rhythm</x:v>
      </x:c>
      <x:c r="D1543" s="35" t="str">
        <x:v>modifier_stat2</x:v>
      </x:c>
      <x:c r="E1543" s="38" t="str">
        <x:v>string</x:v>
      </x:c>
      <x:c r="F1543" s="56" t="str">
        <x:f>'Effects'!L7</x:f>
        <x:v>ActionSpeed</x:v>
      </x:c>
      <x:c r="G1543" s="38" t="str"/>
      <x:c r="H1543" s="35" t="str">
        <x:v>Effects</x:v>
      </x:c>
      <x:c r="I1543" s="35" t="str">
        <x:v>L7</x:v>
      </x:c>
      <x:c r="J1543" s="85" t="b">
        <x:v>0</x:v>
      </x:c>
      <x:c r="K1543" s="85" t="b">
        <x:v>1</x:v>
      </x:c>
      <x:c r="L1543" s="56" t="str">
        <x:f>'Effects'!U7</x:f>
        <x:v>OK</x:v>
      </x:c>
      <x:c r="M1543" s="44" t="str">
        <x:v>Источник Effects.Modifier Stat 2</x:v>
      </x:c>
    </x:row>
    <x:row r="1544" ht="36" customHeight="1">
      <x:c r="A1544" s="118" t="n">
        <x:v>1539</x:v>
      </x:c>
      <x:c r="B1544" s="35" t="str">
        <x:v>effect</x:v>
      </x:c>
      <x:c r="C1544" s="35" t="str">
        <x:v>effect_kangaroo_clean_rhythm</x:v>
      </x:c>
      <x:c r="D1544" s="35" t="str">
        <x:v>operation2</x:v>
      </x:c>
      <x:c r="E1544" s="38" t="str">
        <x:v>string</x:v>
      </x:c>
      <x:c r="F1544" s="56" t="str">
        <x:f>'Effects'!M7</x:f>
        <x:v>Add</x:v>
      </x:c>
      <x:c r="G1544" s="38" t="str"/>
      <x:c r="H1544" s="35" t="str">
        <x:v>Effects</x:v>
      </x:c>
      <x:c r="I1544" s="35" t="str">
        <x:v>M7</x:v>
      </x:c>
      <x:c r="J1544" s="85" t="b">
        <x:v>0</x:v>
      </x:c>
      <x:c r="K1544" s="85" t="b">
        <x:v>1</x:v>
      </x:c>
      <x:c r="L1544" s="56" t="str">
        <x:f>'Effects'!U7</x:f>
        <x:v>OK</x:v>
      </x:c>
      <x:c r="M1544" s="44" t="str">
        <x:v>Источник Effects.Operation 2</x:v>
      </x:c>
    </x:row>
    <x:row r="1545" ht="36" customHeight="1">
      <x:c r="A1545" s="118" t="n">
        <x:v>1540</x:v>
      </x:c>
      <x:c r="B1545" s="35" t="str">
        <x:v>effect</x:v>
      </x:c>
      <x:c r="C1545" s="35" t="str">
        <x:v>effect_kangaroo_clean_rhythm</x:v>
      </x:c>
      <x:c r="D1545" s="35" t="str">
        <x:v>value2</x:v>
      </x:c>
      <x:c r="E1545" s="38" t="str">
        <x:v>int</x:v>
      </x:c>
      <x:c r="F1545" s="56" t="n">
        <x:f>'Effects'!N7</x:f>
        <x:v>5</x:v>
      </x:c>
      <x:c r="G1545" s="38" t="str"/>
      <x:c r="H1545" s="35" t="str">
        <x:v>Effects</x:v>
      </x:c>
      <x:c r="I1545" s="35" t="str">
        <x:v>N7</x:v>
      </x:c>
      <x:c r="J1545" s="85" t="b">
        <x:v>0</x:v>
      </x:c>
      <x:c r="K1545" s="85" t="b">
        <x:v>1</x:v>
      </x:c>
      <x:c r="L1545" s="56" t="str">
        <x:f>'Effects'!U7</x:f>
        <x:v>OK</x:v>
      </x:c>
      <x:c r="M1545" s="44" t="str">
        <x:v>Источник Effects.Value 2</x:v>
      </x:c>
    </x:row>
    <x:row r="1546" ht="36" customHeight="1">
      <x:c r="A1546" s="118" t="n">
        <x:v>1541</x:v>
      </x:c>
      <x:c r="B1546" s="35" t="str">
        <x:v>effect</x:v>
      </x:c>
      <x:c r="C1546" s="35" t="str">
        <x:v>effect_kangaroo_clean_rhythm</x:v>
      </x:c>
      <x:c r="D1546" s="35" t="str">
        <x:v>tags</x:v>
      </x:c>
      <x:c r="E1546" s="38" t="str">
        <x:v>string</x:v>
      </x:c>
      <x:c r="F1546" s="56" t="str">
        <x:f>'Effects'!O7</x:f>
        <x:v>buff|rhythm|speed</x:v>
      </x:c>
      <x:c r="G1546" s="38" t="str"/>
      <x:c r="H1546" s="35" t="str">
        <x:v>Effects</x:v>
      </x:c>
      <x:c r="I1546" s="35" t="str">
        <x:v>O7</x:v>
      </x:c>
      <x:c r="J1546" s="85" t="b">
        <x:v>1</x:v>
      </x:c>
      <x:c r="K1546" s="85" t="b">
        <x:v>1</x:v>
      </x:c>
      <x:c r="L1546" s="56" t="str">
        <x:f>'Effects'!U7</x:f>
        <x:v>OK</x:v>
      </x:c>
      <x:c r="M1546" s="44" t="str">
        <x:v>Источник Effects.Tags</x:v>
      </x:c>
    </x:row>
    <x:row r="1547" ht="36" customHeight="1">
      <x:c r="A1547" s="118" t="n">
        <x:v>1542</x:v>
      </x:c>
      <x:c r="B1547" s="35" t="str">
        <x:v>effect</x:v>
      </x:c>
      <x:c r="C1547" s="35" t="str">
        <x:v>effect_kangaroo_clean_rhythm</x:v>
      </x:c>
      <x:c r="D1547" s="35" t="str">
        <x:v>max_activations_per_tick</x:v>
      </x:c>
      <x:c r="E1547" s="38" t="str">
        <x:v>int</x:v>
      </x:c>
      <x:c r="F1547" s="56" t="n">
        <x:f>'Effects'!P7</x:f>
        <x:v>1</x:v>
      </x:c>
      <x:c r="G1547" s="38" t="str"/>
      <x:c r="H1547" s="35" t="str">
        <x:v>Effects</x:v>
      </x:c>
      <x:c r="I1547" s="35" t="str">
        <x:v>P7</x:v>
      </x:c>
      <x:c r="J1547" s="85" t="b">
        <x:v>1</x:v>
      </x:c>
      <x:c r="K1547" s="85" t="b">
        <x:v>1</x:v>
      </x:c>
      <x:c r="L1547" s="56" t="str">
        <x:f>'Effects'!U7</x:f>
        <x:v>OK</x:v>
      </x:c>
      <x:c r="M1547" s="44" t="str">
        <x:v>Источник Effects.Max Activations / Tick</x:v>
      </x:c>
    </x:row>
    <x:row r="1548" ht="36" customHeight="1">
      <x:c r="A1548" s="118" t="n">
        <x:v>1543</x:v>
      </x:c>
      <x:c r="B1548" s="35" t="str">
        <x:v>effect</x:v>
      </x:c>
      <x:c r="C1548" s="35" t="str">
        <x:v>effect_kangaroo_clean_rhythm</x:v>
      </x:c>
      <x:c r="D1548" s="35" t="str">
        <x:v>max_activations_per_battle</x:v>
      </x:c>
      <x:c r="E1548" s="38" t="str">
        <x:v>int</x:v>
      </x:c>
      <x:c r="F1548" s="56" t="n">
        <x:f>'Effects'!Q7</x:f>
        <x:v>99</x:v>
      </x:c>
      <x:c r="G1548" s="38" t="str"/>
      <x:c r="H1548" s="35" t="str">
        <x:v>Effects</x:v>
      </x:c>
      <x:c r="I1548" s="35" t="str">
        <x:v>Q7</x:v>
      </x:c>
      <x:c r="J1548" s="85" t="b">
        <x:v>1</x:v>
      </x:c>
      <x:c r="K1548" s="85" t="b">
        <x:v>1</x:v>
      </x:c>
      <x:c r="L1548" s="56" t="str">
        <x:f>'Effects'!U7</x:f>
        <x:v>OK</x:v>
      </x:c>
      <x:c r="M1548" s="44" t="str">
        <x:v>Источник Effects.Max Activations / Battle</x:v>
      </x:c>
    </x:row>
    <x:row r="1549" ht="36" customHeight="1">
      <x:c r="A1549" s="118" t="n">
        <x:v>1544</x:v>
      </x:c>
      <x:c r="B1549" s="35" t="str">
        <x:v>effect</x:v>
      </x:c>
      <x:c r="C1549" s="35" t="str">
        <x:v>effect_kangaroo_clean_rhythm</x:v>
      </x:c>
      <x:c r="D1549" s="35" t="str">
        <x:v>internal_cooldown_ticks</x:v>
      </x:c>
      <x:c r="E1549" s="38" t="str">
        <x:v>int</x:v>
      </x:c>
      <x:c r="F1549" s="56" t="n">
        <x:f>'Effects'!R7</x:f>
        <x:v>8</x:v>
      </x:c>
      <x:c r="G1549" s="38" t="str"/>
      <x:c r="H1549" s="35" t="str">
        <x:v>Effects</x:v>
      </x:c>
      <x:c r="I1549" s="35" t="str">
        <x:v>R7</x:v>
      </x:c>
      <x:c r="J1549" s="85" t="b">
        <x:v>1</x:v>
      </x:c>
      <x:c r="K1549" s="85" t="b">
        <x:v>1</x:v>
      </x:c>
      <x:c r="L1549" s="56" t="str">
        <x:f>'Effects'!U7</x:f>
        <x:v>OK</x:v>
      </x:c>
      <x:c r="M1549" s="44" t="str">
        <x:v>Источник Effects.Internal Cooldown Ticks</x:v>
      </x:c>
    </x:row>
    <x:row r="1550" ht="36" customHeight="1">
      <x:c r="A1550" s="118" t="n">
        <x:v>1545</x:v>
      </x:c>
      <x:c r="B1550" s="35" t="str">
        <x:v>effect</x:v>
      </x:c>
      <x:c r="C1550" s="35" t="str">
        <x:v>effect_kangaroo_clean_rhythm</x:v>
      </x:c>
      <x:c r="D1550" s="35" t="str">
        <x:v>lookup_profile</x:v>
      </x:c>
      <x:c r="E1550" s="38" t="str">
        <x:v>string</x:v>
      </x:c>
      <x:c r="F1550" s="56" t="str">
        <x:f>'Effects'!S7</x:f>
      </x:c>
      <x:c r="G1550" s="38" t="str"/>
      <x:c r="H1550" s="35" t="str">
        <x:v>Effects</x:v>
      </x:c>
      <x:c r="I1550" s="35" t="str">
        <x:v>S7</x:v>
      </x:c>
      <x:c r="J1550" s="85" t="b">
        <x:v>0</x:v>
      </x:c>
      <x:c r="K1550" s="85" t="b">
        <x:v>1</x:v>
      </x:c>
      <x:c r="L1550" s="56" t="str">
        <x:f>'Effects'!U7</x:f>
        <x:v>OK</x:v>
      </x:c>
      <x:c r="M1550" s="44" t="str">
        <x:v>Источник Effects.Lookup Profile</x:v>
      </x:c>
    </x:row>
    <x:row r="1551" ht="36" customHeight="1">
      <x:c r="A1551" s="118" t="n">
        <x:v>1546</x:v>
      </x:c>
      <x:c r="B1551" s="35" t="str">
        <x:v>effect</x:v>
      </x:c>
      <x:c r="C1551" s="35" t="str">
        <x:v>effect_gorilla_wall_pressure</x:v>
      </x:c>
      <x:c r="D1551" s="35" t="str">
        <x:v>effect_id</x:v>
      </x:c>
      <x:c r="E1551" s="38" t="str">
        <x:v>string</x:v>
      </x:c>
      <x:c r="F1551" s="56" t="str">
        <x:f>'Effects'!A8</x:f>
        <x:v>effect_gorilla_wall_pressure</x:v>
      </x:c>
      <x:c r="G1551" s="38" t="str"/>
      <x:c r="H1551" s="35" t="str">
        <x:v>Effects</x:v>
      </x:c>
      <x:c r="I1551" s="35" t="str">
        <x:v>A8</x:v>
      </x:c>
      <x:c r="J1551" s="85" t="b">
        <x:v>1</x:v>
      </x:c>
      <x:c r="K1551" s="85" t="b">
        <x:v>1</x:v>
      </x:c>
      <x:c r="L1551" s="56" t="str">
        <x:f>'Effects'!U8</x:f>
        <x:v>OK</x:v>
      </x:c>
      <x:c r="M1551" s="44" t="str">
        <x:v>Источник Effects.Effect ID</x:v>
      </x:c>
    </x:row>
    <x:row r="1552" ht="36" customHeight="1">
      <x:c r="A1552" s="118" t="n">
        <x:v>1547</x:v>
      </x:c>
      <x:c r="B1552" s="35" t="str">
        <x:v>effect</x:v>
      </x:c>
      <x:c r="C1552" s="35" t="str">
        <x:v>effect_gorilla_wall_pressure</x:v>
      </x:c>
      <x:c r="D1552" s="35" t="str">
        <x:v>duration_ticks</x:v>
      </x:c>
      <x:c r="E1552" s="38" t="str">
        <x:v>int</x:v>
      </x:c>
      <x:c r="F1552" s="56" t="n">
        <x:f>'Effects'!C8</x:f>
        <x:v>10</x:v>
      </x:c>
      <x:c r="G1552" s="38" t="str"/>
      <x:c r="H1552" s="35" t="str">
        <x:v>Effects</x:v>
      </x:c>
      <x:c r="I1552" s="35" t="str">
        <x:v>C8</x:v>
      </x:c>
      <x:c r="J1552" s="85" t="b">
        <x:v>1</x:v>
      </x:c>
      <x:c r="K1552" s="85" t="b">
        <x:v>1</x:v>
      </x:c>
      <x:c r="L1552" s="56" t="str">
        <x:f>'Effects'!U8</x:f>
        <x:v>OK</x:v>
      </x:c>
      <x:c r="M1552" s="44" t="str">
        <x:v>Источник Effects.Duration Ticks</x:v>
      </x:c>
    </x:row>
    <x:row r="1553" ht="36" customHeight="1">
      <x:c r="A1553" s="118" t="n">
        <x:v>1548</x:v>
      </x:c>
      <x:c r="B1553" s="35" t="str">
        <x:v>effect</x:v>
      </x:c>
      <x:c r="C1553" s="35" t="str">
        <x:v>effect_gorilla_wall_pressure</x:v>
      </x:c>
      <x:c r="D1553" s="35" t="str">
        <x:v>expiry_boundary</x:v>
      </x:c>
      <x:c r="E1553" s="38" t="str">
        <x:v>string</x:v>
      </x:c>
      <x:c r="F1553" s="56" t="str">
        <x:f>'Effects'!D8</x:f>
        <x:v>ExpireAfterTick</x:v>
      </x:c>
      <x:c r="G1553" s="38" t="str"/>
      <x:c r="H1553" s="35" t="str">
        <x:v>Effects</x:v>
      </x:c>
      <x:c r="I1553" s="35" t="str">
        <x:v>D8</x:v>
      </x:c>
      <x:c r="J1553" s="85" t="b">
        <x:v>1</x:v>
      </x:c>
      <x:c r="K1553" s="85" t="b">
        <x:v>1</x:v>
      </x:c>
      <x:c r="L1553" s="56" t="str">
        <x:f>'Effects'!U8</x:f>
        <x:v>OK</x:v>
      </x:c>
      <x:c r="M1553" s="44" t="str">
        <x:v>Источник Effects.Expiry Boundary</x:v>
      </x:c>
    </x:row>
    <x:row r="1554" ht="36" customHeight="1">
      <x:c r="A1554" s="118" t="n">
        <x:v>1549</x:v>
      </x:c>
      <x:c r="B1554" s="35" t="str">
        <x:v>effect</x:v>
      </x:c>
      <x:c r="C1554" s="35" t="str">
        <x:v>effect_gorilla_wall_pressure</x:v>
      </x:c>
      <x:c r="D1554" s="35" t="str">
        <x:v>stack_group</x:v>
      </x:c>
      <x:c r="E1554" s="38" t="str">
        <x:v>string</x:v>
      </x:c>
      <x:c r="F1554" s="56" t="str">
        <x:f>'Effects'!E8</x:f>
        <x:v>gorilla_wall_pressure</x:v>
      </x:c>
      <x:c r="G1554" s="38" t="str"/>
      <x:c r="H1554" s="35" t="str">
        <x:v>Effects</x:v>
      </x:c>
      <x:c r="I1554" s="35" t="str">
        <x:v>E8</x:v>
      </x:c>
      <x:c r="J1554" s="85" t="b">
        <x:v>1</x:v>
      </x:c>
      <x:c r="K1554" s="85" t="b">
        <x:v>1</x:v>
      </x:c>
      <x:c r="L1554" s="56" t="str">
        <x:f>'Effects'!U8</x:f>
        <x:v>OK</x:v>
      </x:c>
      <x:c r="M1554" s="44" t="str">
        <x:v>Источник Effects.Stack Group</x:v>
      </x:c>
    </x:row>
    <x:row r="1555" ht="36" customHeight="1">
      <x:c r="A1555" s="118" t="n">
        <x:v>1550</x:v>
      </x:c>
      <x:c r="B1555" s="35" t="str">
        <x:v>effect</x:v>
      </x:c>
      <x:c r="C1555" s="35" t="str">
        <x:v>effect_gorilla_wall_pressure</x:v>
      </x:c>
      <x:c r="D1555" s="35" t="str">
        <x:v>stack_policy</x:v>
      </x:c>
      <x:c r="E1555" s="38" t="str">
        <x:v>string</x:v>
      </x:c>
      <x:c r="F1555" s="56" t="str">
        <x:f>'Effects'!F8</x:f>
        <x:v>Refresh</x:v>
      </x:c>
      <x:c r="G1555" s="38" t="str"/>
      <x:c r="H1555" s="35" t="str">
        <x:v>Effects</x:v>
      </x:c>
      <x:c r="I1555" s="35" t="str">
        <x:v>F8</x:v>
      </x:c>
      <x:c r="J1555" s="85" t="b">
        <x:v>1</x:v>
      </x:c>
      <x:c r="K1555" s="85" t="b">
        <x:v>1</x:v>
      </x:c>
      <x:c r="L1555" s="56" t="str">
        <x:f>'Effects'!U8</x:f>
        <x:v>OK</x:v>
      </x:c>
      <x:c r="M1555" s="44" t="str">
        <x:v>Источник Effects.Stack Policy</x:v>
      </x:c>
    </x:row>
    <x:row r="1556" ht="36" customHeight="1">
      <x:c r="A1556" s="118" t="n">
        <x:v>1551</x:v>
      </x:c>
      <x:c r="B1556" s="35" t="str">
        <x:v>effect</x:v>
      </x:c>
      <x:c r="C1556" s="35" t="str">
        <x:v>effect_gorilla_wall_pressure</x:v>
      </x:c>
      <x:c r="D1556" s="35" t="str">
        <x:v>stack_cap</x:v>
      </x:c>
      <x:c r="E1556" s="38" t="str">
        <x:v>int</x:v>
      </x:c>
      <x:c r="F1556" s="56" t="n">
        <x:f>'Effects'!G8</x:f>
        <x:v>1</x:v>
      </x:c>
      <x:c r="G1556" s="38" t="str"/>
      <x:c r="H1556" s="35" t="str">
        <x:v>Effects</x:v>
      </x:c>
      <x:c r="I1556" s="35" t="str">
        <x:v>G8</x:v>
      </x:c>
      <x:c r="J1556" s="85" t="b">
        <x:v>1</x:v>
      </x:c>
      <x:c r="K1556" s="85" t="b">
        <x:v>1</x:v>
      </x:c>
      <x:c r="L1556" s="56" t="str">
        <x:f>'Effects'!U8</x:f>
        <x:v>OK</x:v>
      </x:c>
      <x:c r="M1556" s="44" t="str">
        <x:v>Источник Effects.Stack Cap</x:v>
      </x:c>
    </x:row>
    <x:row r="1557" ht="36" customHeight="1">
      <x:c r="A1557" s="118" t="n">
        <x:v>1552</x:v>
      </x:c>
      <x:c r="B1557" s="35" t="str">
        <x:v>effect</x:v>
      </x:c>
      <x:c r="C1557" s="35" t="str">
        <x:v>effect_gorilla_wall_pressure</x:v>
      </x:c>
      <x:c r="D1557" s="35" t="str">
        <x:v>compare_key</x:v>
      </x:c>
      <x:c r="E1557" s="38" t="str">
        <x:v>string</x:v>
      </x:c>
      <x:c r="F1557" s="56" t="str">
        <x:f>'Effects'!H8</x:f>
        <x:v>DurationTicks</x:v>
      </x:c>
      <x:c r="G1557" s="38" t="str"/>
      <x:c r="H1557" s="35" t="str">
        <x:v>Effects</x:v>
      </x:c>
      <x:c r="I1557" s="35" t="str">
        <x:v>H8</x:v>
      </x:c>
      <x:c r="J1557" s="85" t="b">
        <x:v>1</x:v>
      </x:c>
      <x:c r="K1557" s="85" t="b">
        <x:v>1</x:v>
      </x:c>
      <x:c r="L1557" s="56" t="str">
        <x:f>'Effects'!U8</x:f>
        <x:v>OK</x:v>
      </x:c>
      <x:c r="M1557" s="44" t="str">
        <x:v>Источник Effects.Compare Key</x:v>
      </x:c>
    </x:row>
    <x:row r="1558" ht="36" customHeight="1">
      <x:c r="A1558" s="118" t="n">
        <x:v>1553</x:v>
      </x:c>
      <x:c r="B1558" s="35" t="str">
        <x:v>effect</x:v>
      </x:c>
      <x:c r="C1558" s="35" t="str">
        <x:v>effect_gorilla_wall_pressure</x:v>
      </x:c>
      <x:c r="D1558" s="35" t="str">
        <x:v>modifier_stat1</x:v>
      </x:c>
      <x:c r="E1558" s="38" t="str">
        <x:v>string</x:v>
      </x:c>
      <x:c r="F1558" s="56" t="str">
        <x:f>'Effects'!I8</x:f>
        <x:v>WallActionWeight</x:v>
      </x:c>
      <x:c r="G1558" s="38" t="str"/>
      <x:c r="H1558" s="35" t="str">
        <x:v>Effects</x:v>
      </x:c>
      <x:c r="I1558" s="35" t="str">
        <x:v>I8</x:v>
      </x:c>
      <x:c r="J1558" s="85" t="b">
        <x:v>1</x:v>
      </x:c>
      <x:c r="K1558" s="85" t="b">
        <x:v>1</x:v>
      </x:c>
      <x:c r="L1558" s="56" t="str">
        <x:f>'Effects'!U8</x:f>
        <x:v>OK</x:v>
      </x:c>
      <x:c r="M1558" s="44" t="str">
        <x:v>Источник Effects.Modifier Stat 1</x:v>
      </x:c>
    </x:row>
    <x:row r="1559" ht="36" customHeight="1">
      <x:c r="A1559" s="118" t="n">
        <x:v>1554</x:v>
      </x:c>
      <x:c r="B1559" s="35" t="str">
        <x:v>effect</x:v>
      </x:c>
      <x:c r="C1559" s="35" t="str">
        <x:v>effect_gorilla_wall_pressure</x:v>
      </x:c>
      <x:c r="D1559" s="35" t="str">
        <x:v>operation1</x:v>
      </x:c>
      <x:c r="E1559" s="38" t="str">
        <x:v>string</x:v>
      </x:c>
      <x:c r="F1559" s="56" t="str">
        <x:f>'Effects'!J8</x:f>
        <x:v>Multiply</x:v>
      </x:c>
      <x:c r="G1559" s="38" t="str"/>
      <x:c r="H1559" s="35" t="str">
        <x:v>Effects</x:v>
      </x:c>
      <x:c r="I1559" s="35" t="str">
        <x:v>J8</x:v>
      </x:c>
      <x:c r="J1559" s="85" t="b">
        <x:v>1</x:v>
      </x:c>
      <x:c r="K1559" s="85" t="b">
        <x:v>1</x:v>
      </x:c>
      <x:c r="L1559" s="56" t="str">
        <x:f>'Effects'!U8</x:f>
        <x:v>OK</x:v>
      </x:c>
      <x:c r="M1559" s="44" t="str">
        <x:v>Источник Effects.Operation 1</x:v>
      </x:c>
    </x:row>
    <x:row r="1560" ht="36" customHeight="1">
      <x:c r="A1560" s="118" t="n">
        <x:v>1555</x:v>
      </x:c>
      <x:c r="B1560" s="35" t="str">
        <x:v>effect</x:v>
      </x:c>
      <x:c r="C1560" s="35" t="str">
        <x:v>effect_gorilla_wall_pressure</x:v>
      </x:c>
      <x:c r="D1560" s="35" t="str">
        <x:v>value1</x:v>
      </x:c>
      <x:c r="E1560" s="38" t="str">
        <x:v>int</x:v>
      </x:c>
      <x:c r="F1560" s="56" t="n">
        <x:f>'Effects'!K8</x:f>
        <x:v>1250</x:v>
      </x:c>
      <x:c r="G1560" s="38" t="str"/>
      <x:c r="H1560" s="35" t="str">
        <x:v>Effects</x:v>
      </x:c>
      <x:c r="I1560" s="35" t="str">
        <x:v>K8</x:v>
      </x:c>
      <x:c r="J1560" s="85" t="b">
        <x:v>1</x:v>
      </x:c>
      <x:c r="K1560" s="85" t="b">
        <x:v>1</x:v>
      </x:c>
      <x:c r="L1560" s="56" t="str">
        <x:f>'Effects'!U8</x:f>
        <x:v>OK</x:v>
      </x:c>
      <x:c r="M1560" s="44" t="str">
        <x:v>Источник Effects.Value 1</x:v>
      </x:c>
    </x:row>
    <x:row r="1561" ht="36" customHeight="1">
      <x:c r="A1561" s="118" t="n">
        <x:v>1556</x:v>
      </x:c>
      <x:c r="B1561" s="35" t="str">
        <x:v>effect</x:v>
      </x:c>
      <x:c r="C1561" s="35" t="str">
        <x:v>effect_gorilla_wall_pressure</x:v>
      </x:c>
      <x:c r="D1561" s="35" t="str">
        <x:v>modifier_stat2</x:v>
      </x:c>
      <x:c r="E1561" s="38" t="str">
        <x:v>string</x:v>
      </x:c>
      <x:c r="F1561" s="56" t="str">
        <x:f>'Effects'!L8</x:f>
        <x:v>GripGain</x:v>
      </x:c>
      <x:c r="G1561" s="38" t="str"/>
      <x:c r="H1561" s="35" t="str">
        <x:v>Effects</x:v>
      </x:c>
      <x:c r="I1561" s="35" t="str">
        <x:v>L8</x:v>
      </x:c>
      <x:c r="J1561" s="85" t="b">
        <x:v>0</x:v>
      </x:c>
      <x:c r="K1561" s="85" t="b">
        <x:v>1</x:v>
      </x:c>
      <x:c r="L1561" s="56" t="str">
        <x:f>'Effects'!U8</x:f>
        <x:v>OK</x:v>
      </x:c>
      <x:c r="M1561" s="44" t="str">
        <x:v>Источник Effects.Modifier Stat 2</x:v>
      </x:c>
    </x:row>
    <x:row r="1562" ht="36" customHeight="1">
      <x:c r="A1562" s="118" t="n">
        <x:v>1557</x:v>
      </x:c>
      <x:c r="B1562" s="35" t="str">
        <x:v>effect</x:v>
      </x:c>
      <x:c r="C1562" s="35" t="str">
        <x:v>effect_gorilla_wall_pressure</x:v>
      </x:c>
      <x:c r="D1562" s="35" t="str">
        <x:v>operation2</x:v>
      </x:c>
      <x:c r="E1562" s="38" t="str">
        <x:v>string</x:v>
      </x:c>
      <x:c r="F1562" s="56" t="str">
        <x:f>'Effects'!M8</x:f>
        <x:v>Add</x:v>
      </x:c>
      <x:c r="G1562" s="38" t="str"/>
      <x:c r="H1562" s="35" t="str">
        <x:v>Effects</x:v>
      </x:c>
      <x:c r="I1562" s="35" t="str">
        <x:v>M8</x:v>
      </x:c>
      <x:c r="J1562" s="85" t="b">
        <x:v>0</x:v>
      </x:c>
      <x:c r="K1562" s="85" t="b">
        <x:v>1</x:v>
      </x:c>
      <x:c r="L1562" s="56" t="str">
        <x:f>'Effects'!U8</x:f>
        <x:v>OK</x:v>
      </x:c>
      <x:c r="M1562" s="44" t="str">
        <x:v>Источник Effects.Operation 2</x:v>
      </x:c>
    </x:row>
    <x:row r="1563" ht="36" customHeight="1">
      <x:c r="A1563" s="118" t="n">
        <x:v>1558</x:v>
      </x:c>
      <x:c r="B1563" s="35" t="str">
        <x:v>effect</x:v>
      </x:c>
      <x:c r="C1563" s="35" t="str">
        <x:v>effect_gorilla_wall_pressure</x:v>
      </x:c>
      <x:c r="D1563" s="35" t="str">
        <x:v>value2</x:v>
      </x:c>
      <x:c r="E1563" s="38" t="str">
        <x:v>int</x:v>
      </x:c>
      <x:c r="F1563" s="56" t="n">
        <x:f>'Effects'!N8</x:f>
        <x:v>10</x:v>
      </x:c>
      <x:c r="G1563" s="38" t="str"/>
      <x:c r="H1563" s="35" t="str">
        <x:v>Effects</x:v>
      </x:c>
      <x:c r="I1563" s="35" t="str">
        <x:v>N8</x:v>
      </x:c>
      <x:c r="J1563" s="85" t="b">
        <x:v>0</x:v>
      </x:c>
      <x:c r="K1563" s="85" t="b">
        <x:v>1</x:v>
      </x:c>
      <x:c r="L1563" s="56" t="str">
        <x:f>'Effects'!U8</x:f>
        <x:v>OK</x:v>
      </x:c>
      <x:c r="M1563" s="44" t="str">
        <x:v>Источник Effects.Value 2</x:v>
      </x:c>
    </x:row>
    <x:row r="1564" ht="36" customHeight="1">
      <x:c r="A1564" s="118" t="n">
        <x:v>1559</x:v>
      </x:c>
      <x:c r="B1564" s="35" t="str">
        <x:v>effect</x:v>
      </x:c>
      <x:c r="C1564" s="35" t="str">
        <x:v>effect_gorilla_wall_pressure</x:v>
      </x:c>
      <x:c r="D1564" s="35" t="str">
        <x:v>tags</x:v>
      </x:c>
      <x:c r="E1564" s="38" t="str">
        <x:v>string</x:v>
      </x:c>
      <x:c r="F1564" s="56" t="str">
        <x:f>'Effects'!O8</x:f>
        <x:v>buff|wall|resource</x:v>
      </x:c>
      <x:c r="G1564" s="38" t="str"/>
      <x:c r="H1564" s="35" t="str">
        <x:v>Effects</x:v>
      </x:c>
      <x:c r="I1564" s="35" t="str">
        <x:v>O8</x:v>
      </x:c>
      <x:c r="J1564" s="85" t="b">
        <x:v>1</x:v>
      </x:c>
      <x:c r="K1564" s="85" t="b">
        <x:v>1</x:v>
      </x:c>
      <x:c r="L1564" s="56" t="str">
        <x:f>'Effects'!U8</x:f>
        <x:v>OK</x:v>
      </x:c>
      <x:c r="M1564" s="44" t="str">
        <x:v>Источник Effects.Tags</x:v>
      </x:c>
    </x:row>
    <x:row r="1565" ht="36" customHeight="1">
      <x:c r="A1565" s="118" t="n">
        <x:v>1560</x:v>
      </x:c>
      <x:c r="B1565" s="35" t="str">
        <x:v>effect</x:v>
      </x:c>
      <x:c r="C1565" s="35" t="str">
        <x:v>effect_gorilla_wall_pressure</x:v>
      </x:c>
      <x:c r="D1565" s="35" t="str">
        <x:v>max_activations_per_tick</x:v>
      </x:c>
      <x:c r="E1565" s="38" t="str">
        <x:v>int</x:v>
      </x:c>
      <x:c r="F1565" s="56" t="n">
        <x:f>'Effects'!P8</x:f>
        <x:v>1</x:v>
      </x:c>
      <x:c r="G1565" s="38" t="str"/>
      <x:c r="H1565" s="35" t="str">
        <x:v>Effects</x:v>
      </x:c>
      <x:c r="I1565" s="35" t="str">
        <x:v>P8</x:v>
      </x:c>
      <x:c r="J1565" s="85" t="b">
        <x:v>1</x:v>
      </x:c>
      <x:c r="K1565" s="85" t="b">
        <x:v>1</x:v>
      </x:c>
      <x:c r="L1565" s="56" t="str">
        <x:f>'Effects'!U8</x:f>
        <x:v>OK</x:v>
      </x:c>
      <x:c r="M1565" s="44" t="str">
        <x:v>Источник Effects.Max Activations / Tick</x:v>
      </x:c>
    </x:row>
    <x:row r="1566" ht="36" customHeight="1">
      <x:c r="A1566" s="118" t="n">
        <x:v>1561</x:v>
      </x:c>
      <x:c r="B1566" s="35" t="str">
        <x:v>effect</x:v>
      </x:c>
      <x:c r="C1566" s="35" t="str">
        <x:v>effect_gorilla_wall_pressure</x:v>
      </x:c>
      <x:c r="D1566" s="35" t="str">
        <x:v>max_activations_per_battle</x:v>
      </x:c>
      <x:c r="E1566" s="38" t="str">
        <x:v>int</x:v>
      </x:c>
      <x:c r="F1566" s="56" t="n">
        <x:f>'Effects'!Q8</x:f>
        <x:v>999</x:v>
      </x:c>
      <x:c r="G1566" s="38" t="str"/>
      <x:c r="H1566" s="35" t="str">
        <x:v>Effects</x:v>
      </x:c>
      <x:c r="I1566" s="35" t="str">
        <x:v>Q8</x:v>
      </x:c>
      <x:c r="J1566" s="85" t="b">
        <x:v>1</x:v>
      </x:c>
      <x:c r="K1566" s="85" t="b">
        <x:v>1</x:v>
      </x:c>
      <x:c r="L1566" s="56" t="str">
        <x:f>'Effects'!U8</x:f>
        <x:v>OK</x:v>
      </x:c>
      <x:c r="M1566" s="44" t="str">
        <x:v>Источник Effects.Max Activations / Battle</x:v>
      </x:c>
    </x:row>
    <x:row r="1567" ht="36" customHeight="1">
      <x:c r="A1567" s="118" t="n">
        <x:v>1562</x:v>
      </x:c>
      <x:c r="B1567" s="35" t="str">
        <x:v>effect</x:v>
      </x:c>
      <x:c r="C1567" s="35" t="str">
        <x:v>effect_gorilla_wall_pressure</x:v>
      </x:c>
      <x:c r="D1567" s="35" t="str">
        <x:v>internal_cooldown_ticks</x:v>
      </x:c>
      <x:c r="E1567" s="38" t="str">
        <x:v>int</x:v>
      </x:c>
      <x:c r="F1567" s="56" t="n">
        <x:f>'Effects'!R8</x:f>
        <x:v>5</x:v>
      </x:c>
      <x:c r="G1567" s="38" t="str"/>
      <x:c r="H1567" s="35" t="str">
        <x:v>Effects</x:v>
      </x:c>
      <x:c r="I1567" s="35" t="str">
        <x:v>R8</x:v>
      </x:c>
      <x:c r="J1567" s="85" t="b">
        <x:v>1</x:v>
      </x:c>
      <x:c r="K1567" s="85" t="b">
        <x:v>1</x:v>
      </x:c>
      <x:c r="L1567" s="56" t="str">
        <x:f>'Effects'!U8</x:f>
        <x:v>OK</x:v>
      </x:c>
      <x:c r="M1567" s="44" t="str">
        <x:v>Источник Effects.Internal Cooldown Ticks</x:v>
      </x:c>
    </x:row>
    <x:row r="1568" ht="36" customHeight="1">
      <x:c r="A1568" s="118" t="n">
        <x:v>1563</x:v>
      </x:c>
      <x:c r="B1568" s="35" t="str">
        <x:v>effect</x:v>
      </x:c>
      <x:c r="C1568" s="35" t="str">
        <x:v>effect_gorilla_wall_pressure</x:v>
      </x:c>
      <x:c r="D1568" s="35" t="str">
        <x:v>lookup_profile</x:v>
      </x:c>
      <x:c r="E1568" s="38" t="str">
        <x:v>string</x:v>
      </x:c>
      <x:c r="F1568" s="56" t="str">
        <x:f>'Effects'!S8</x:f>
      </x:c>
      <x:c r="G1568" s="38" t="str"/>
      <x:c r="H1568" s="35" t="str">
        <x:v>Effects</x:v>
      </x:c>
      <x:c r="I1568" s="35" t="str">
        <x:v>S8</x:v>
      </x:c>
      <x:c r="J1568" s="85" t="b">
        <x:v>0</x:v>
      </x:c>
      <x:c r="K1568" s="85" t="b">
        <x:v>1</x:v>
      </x:c>
      <x:c r="L1568" s="56" t="str">
        <x:f>'Effects'!U8</x:f>
        <x:v>OK</x:v>
      </x:c>
      <x:c r="M1568" s="44" t="str">
        <x:v>Источник Effects.Lookup Profile</x:v>
      </x:c>
    </x:row>
    <x:row r="1569" ht="36" customHeight="1">
      <x:c r="A1569" s="118" t="n">
        <x:v>1564</x:v>
      </x:c>
      <x:c r="B1569" s="35" t="str">
        <x:v>effect</x:v>
      </x:c>
      <x:c r="C1569" s="35" t="str">
        <x:v>effect_gorilla_iron_grip</x:v>
      </x:c>
      <x:c r="D1569" s="35" t="str">
        <x:v>effect_id</x:v>
      </x:c>
      <x:c r="E1569" s="38" t="str">
        <x:v>string</x:v>
      </x:c>
      <x:c r="F1569" s="56" t="str">
        <x:f>'Effects'!A9</x:f>
        <x:v>effect_gorilla_iron_grip</x:v>
      </x:c>
      <x:c r="G1569" s="38" t="str"/>
      <x:c r="H1569" s="35" t="str">
        <x:v>Effects</x:v>
      </x:c>
      <x:c r="I1569" s="35" t="str">
        <x:v>A9</x:v>
      </x:c>
      <x:c r="J1569" s="85" t="b">
        <x:v>1</x:v>
      </x:c>
      <x:c r="K1569" s="85" t="b">
        <x:v>1</x:v>
      </x:c>
      <x:c r="L1569" s="56" t="str">
        <x:f>'Effects'!U9</x:f>
        <x:v>OK</x:v>
      </x:c>
      <x:c r="M1569" s="44" t="str">
        <x:v>Источник Effects.Effect ID</x:v>
      </x:c>
    </x:row>
    <x:row r="1570" ht="36" customHeight="1">
      <x:c r="A1570" s="118" t="n">
        <x:v>1565</x:v>
      </x:c>
      <x:c r="B1570" s="35" t="str">
        <x:v>effect</x:v>
      </x:c>
      <x:c r="C1570" s="35" t="str">
        <x:v>effect_gorilla_iron_grip</x:v>
      </x:c>
      <x:c r="D1570" s="35" t="str">
        <x:v>duration_ticks</x:v>
      </x:c>
      <x:c r="E1570" s="38" t="str">
        <x:v>int</x:v>
      </x:c>
      <x:c r="F1570" s="56" t="n">
        <x:f>'Effects'!C9</x:f>
        <x:v>12</x:v>
      </x:c>
      <x:c r="G1570" s="38" t="str"/>
      <x:c r="H1570" s="35" t="str">
        <x:v>Effects</x:v>
      </x:c>
      <x:c r="I1570" s="35" t="str">
        <x:v>C9</x:v>
      </x:c>
      <x:c r="J1570" s="85" t="b">
        <x:v>1</x:v>
      </x:c>
      <x:c r="K1570" s="85" t="b">
        <x:v>1</x:v>
      </x:c>
      <x:c r="L1570" s="56" t="str">
        <x:f>'Effects'!U9</x:f>
        <x:v>OK</x:v>
      </x:c>
      <x:c r="M1570" s="44" t="str">
        <x:v>Источник Effects.Duration Ticks</x:v>
      </x:c>
    </x:row>
    <x:row r="1571" ht="36" customHeight="1">
      <x:c r="A1571" s="118" t="n">
        <x:v>1566</x:v>
      </x:c>
      <x:c r="B1571" s="35" t="str">
        <x:v>effect</x:v>
      </x:c>
      <x:c r="C1571" s="35" t="str">
        <x:v>effect_gorilla_iron_grip</x:v>
      </x:c>
      <x:c r="D1571" s="35" t="str">
        <x:v>expiry_boundary</x:v>
      </x:c>
      <x:c r="E1571" s="38" t="str">
        <x:v>string</x:v>
      </x:c>
      <x:c r="F1571" s="56" t="str">
        <x:f>'Effects'!D9</x:f>
        <x:v>ExpireAfterTick</x:v>
      </x:c>
      <x:c r="G1571" s="38" t="str"/>
      <x:c r="H1571" s="35" t="str">
        <x:v>Effects</x:v>
      </x:c>
      <x:c r="I1571" s="35" t="str">
        <x:v>D9</x:v>
      </x:c>
      <x:c r="J1571" s="85" t="b">
        <x:v>1</x:v>
      </x:c>
      <x:c r="K1571" s="85" t="b">
        <x:v>1</x:v>
      </x:c>
      <x:c r="L1571" s="56" t="str">
        <x:f>'Effects'!U9</x:f>
        <x:v>OK</x:v>
      </x:c>
      <x:c r="M1571" s="44" t="str">
        <x:v>Источник Effects.Expiry Boundary</x:v>
      </x:c>
    </x:row>
    <x:row r="1572" ht="36" customHeight="1">
      <x:c r="A1572" s="118" t="n">
        <x:v>1567</x:v>
      </x:c>
      <x:c r="B1572" s="35" t="str">
        <x:v>effect</x:v>
      </x:c>
      <x:c r="C1572" s="35" t="str">
        <x:v>effect_gorilla_iron_grip</x:v>
      </x:c>
      <x:c r="D1572" s="35" t="str">
        <x:v>stack_group</x:v>
      </x:c>
      <x:c r="E1572" s="38" t="str">
        <x:v>string</x:v>
      </x:c>
      <x:c r="F1572" s="56" t="str">
        <x:f>'Effects'!E9</x:f>
        <x:v>gorilla_iron_grip</x:v>
      </x:c>
      <x:c r="G1572" s="38" t="str"/>
      <x:c r="H1572" s="35" t="str">
        <x:v>Effects</x:v>
      </x:c>
      <x:c r="I1572" s="35" t="str">
        <x:v>E9</x:v>
      </x:c>
      <x:c r="J1572" s="85" t="b">
        <x:v>1</x:v>
      </x:c>
      <x:c r="K1572" s="85" t="b">
        <x:v>1</x:v>
      </x:c>
      <x:c r="L1572" s="56" t="str">
        <x:f>'Effects'!U9</x:f>
        <x:v>OK</x:v>
      </x:c>
      <x:c r="M1572" s="44" t="str">
        <x:v>Источник Effects.Stack Group</x:v>
      </x:c>
    </x:row>
    <x:row r="1573" ht="36" customHeight="1">
      <x:c r="A1573" s="118" t="n">
        <x:v>1568</x:v>
      </x:c>
      <x:c r="B1573" s="35" t="str">
        <x:v>effect</x:v>
      </x:c>
      <x:c r="C1573" s="35" t="str">
        <x:v>effect_gorilla_iron_grip</x:v>
      </x:c>
      <x:c r="D1573" s="35" t="str">
        <x:v>stack_policy</x:v>
      </x:c>
      <x:c r="E1573" s="38" t="str">
        <x:v>string</x:v>
      </x:c>
      <x:c r="F1573" s="56" t="str">
        <x:f>'Effects'!F9</x:f>
        <x:v>Refresh</x:v>
      </x:c>
      <x:c r="G1573" s="38" t="str"/>
      <x:c r="H1573" s="35" t="str">
        <x:v>Effects</x:v>
      </x:c>
      <x:c r="I1573" s="35" t="str">
        <x:v>F9</x:v>
      </x:c>
      <x:c r="J1573" s="85" t="b">
        <x:v>1</x:v>
      </x:c>
      <x:c r="K1573" s="85" t="b">
        <x:v>1</x:v>
      </x:c>
      <x:c r="L1573" s="56" t="str">
        <x:f>'Effects'!U9</x:f>
        <x:v>OK</x:v>
      </x:c>
      <x:c r="M1573" s="44" t="str">
        <x:v>Источник Effects.Stack Policy</x:v>
      </x:c>
    </x:row>
    <x:row r="1574" ht="36" customHeight="1">
      <x:c r="A1574" s="118" t="n">
        <x:v>1569</x:v>
      </x:c>
      <x:c r="B1574" s="35" t="str">
        <x:v>effect</x:v>
      </x:c>
      <x:c r="C1574" s="35" t="str">
        <x:v>effect_gorilla_iron_grip</x:v>
      </x:c>
      <x:c r="D1574" s="35" t="str">
        <x:v>stack_cap</x:v>
      </x:c>
      <x:c r="E1574" s="38" t="str">
        <x:v>int</x:v>
      </x:c>
      <x:c r="F1574" s="56" t="n">
        <x:f>'Effects'!G9</x:f>
        <x:v>1</x:v>
      </x:c>
      <x:c r="G1574" s="38" t="str"/>
      <x:c r="H1574" s="35" t="str">
        <x:v>Effects</x:v>
      </x:c>
      <x:c r="I1574" s="35" t="str">
        <x:v>G9</x:v>
      </x:c>
      <x:c r="J1574" s="85" t="b">
        <x:v>1</x:v>
      </x:c>
      <x:c r="K1574" s="85" t="b">
        <x:v>1</x:v>
      </x:c>
      <x:c r="L1574" s="56" t="str">
        <x:f>'Effects'!U9</x:f>
        <x:v>OK</x:v>
      </x:c>
      <x:c r="M1574" s="44" t="str">
        <x:v>Источник Effects.Stack Cap</x:v>
      </x:c>
    </x:row>
    <x:row r="1575" ht="36" customHeight="1">
      <x:c r="A1575" s="118" t="n">
        <x:v>1570</x:v>
      </x:c>
      <x:c r="B1575" s="35" t="str">
        <x:v>effect</x:v>
      </x:c>
      <x:c r="C1575" s="35" t="str">
        <x:v>effect_gorilla_iron_grip</x:v>
      </x:c>
      <x:c r="D1575" s="35" t="str">
        <x:v>compare_key</x:v>
      </x:c>
      <x:c r="E1575" s="38" t="str">
        <x:v>string</x:v>
      </x:c>
      <x:c r="F1575" s="56" t="str">
        <x:f>'Effects'!H9</x:f>
        <x:v>DurationTicks</x:v>
      </x:c>
      <x:c r="G1575" s="38" t="str"/>
      <x:c r="H1575" s="35" t="str">
        <x:v>Effects</x:v>
      </x:c>
      <x:c r="I1575" s="35" t="str">
        <x:v>H9</x:v>
      </x:c>
      <x:c r="J1575" s="85" t="b">
        <x:v>1</x:v>
      </x:c>
      <x:c r="K1575" s="85" t="b">
        <x:v>1</x:v>
      </x:c>
      <x:c r="L1575" s="56" t="str">
        <x:f>'Effects'!U9</x:f>
        <x:v>OK</x:v>
      </x:c>
      <x:c r="M1575" s="44" t="str">
        <x:v>Источник Effects.Compare Key</x:v>
      </x:c>
    </x:row>
    <x:row r="1576" ht="36" customHeight="1">
      <x:c r="A1576" s="118" t="n">
        <x:v>1571</x:v>
      </x:c>
      <x:c r="B1576" s="35" t="str">
        <x:v>effect</x:v>
      </x:c>
      <x:c r="C1576" s="35" t="str">
        <x:v>effect_gorilla_iron_grip</x:v>
      </x:c>
      <x:c r="D1576" s="35" t="str">
        <x:v>modifier_stat1</x:v>
      </x:c>
      <x:c r="E1576" s="38" t="str">
        <x:v>string</x:v>
      </x:c>
      <x:c r="F1576" s="56" t="str">
        <x:f>'Effects'!I9</x:f>
        <x:v>GrabPriority</x:v>
      </x:c>
      <x:c r="G1576" s="38" t="str"/>
      <x:c r="H1576" s="35" t="str">
        <x:v>Effects</x:v>
      </x:c>
      <x:c r="I1576" s="35" t="str">
        <x:v>I9</x:v>
      </x:c>
      <x:c r="J1576" s="85" t="b">
        <x:v>1</x:v>
      </x:c>
      <x:c r="K1576" s="85" t="b">
        <x:v>1</x:v>
      </x:c>
      <x:c r="L1576" s="56" t="str">
        <x:f>'Effects'!U9</x:f>
        <x:v>OK</x:v>
      </x:c>
      <x:c r="M1576" s="44" t="str">
        <x:v>Источник Effects.Modifier Stat 1</x:v>
      </x:c>
    </x:row>
    <x:row r="1577" ht="36" customHeight="1">
      <x:c r="A1577" s="118" t="n">
        <x:v>1572</x:v>
      </x:c>
      <x:c r="B1577" s="35" t="str">
        <x:v>effect</x:v>
      </x:c>
      <x:c r="C1577" s="35" t="str">
        <x:v>effect_gorilla_iron_grip</x:v>
      </x:c>
      <x:c r="D1577" s="35" t="str">
        <x:v>operation1</x:v>
      </x:c>
      <x:c r="E1577" s="38" t="str">
        <x:v>string</x:v>
      </x:c>
      <x:c r="F1577" s="56" t="str">
        <x:f>'Effects'!J9</x:f>
        <x:v>Add</x:v>
      </x:c>
      <x:c r="G1577" s="38" t="str"/>
      <x:c r="H1577" s="35" t="str">
        <x:v>Effects</x:v>
      </x:c>
      <x:c r="I1577" s="35" t="str">
        <x:v>J9</x:v>
      </x:c>
      <x:c r="J1577" s="85" t="b">
        <x:v>1</x:v>
      </x:c>
      <x:c r="K1577" s="85" t="b">
        <x:v>1</x:v>
      </x:c>
      <x:c r="L1577" s="56" t="str">
        <x:f>'Effects'!U9</x:f>
        <x:v>OK</x:v>
      </x:c>
      <x:c r="M1577" s="44" t="str">
        <x:v>Источник Effects.Operation 1</x:v>
      </x:c>
    </x:row>
    <x:row r="1578" ht="36" customHeight="1">
      <x:c r="A1578" s="118" t="n">
        <x:v>1573</x:v>
      </x:c>
      <x:c r="B1578" s="35" t="str">
        <x:v>effect</x:v>
      </x:c>
      <x:c r="C1578" s="35" t="str">
        <x:v>effect_gorilla_iron_grip</x:v>
      </x:c>
      <x:c r="D1578" s="35" t="str">
        <x:v>value1</x:v>
      </x:c>
      <x:c r="E1578" s="38" t="str">
        <x:v>int</x:v>
      </x:c>
      <x:c r="F1578" s="56" t="n">
        <x:f>'Effects'!K9</x:f>
        <x:v>8</x:v>
      </x:c>
      <x:c r="G1578" s="38" t="str"/>
      <x:c r="H1578" s="35" t="str">
        <x:v>Effects</x:v>
      </x:c>
      <x:c r="I1578" s="35" t="str">
        <x:v>K9</x:v>
      </x:c>
      <x:c r="J1578" s="85" t="b">
        <x:v>1</x:v>
      </x:c>
      <x:c r="K1578" s="85" t="b">
        <x:v>1</x:v>
      </x:c>
      <x:c r="L1578" s="56" t="str">
        <x:f>'Effects'!U9</x:f>
        <x:v>OK</x:v>
      </x:c>
      <x:c r="M1578" s="44" t="str">
        <x:v>Источник Effects.Value 1</x:v>
      </x:c>
    </x:row>
    <x:row r="1579" ht="36" customHeight="1">
      <x:c r="A1579" s="118" t="n">
        <x:v>1574</x:v>
      </x:c>
      <x:c r="B1579" s="35" t="str">
        <x:v>effect</x:v>
      </x:c>
      <x:c r="C1579" s="35" t="str">
        <x:v>effect_gorilla_iron_grip</x:v>
      </x:c>
      <x:c r="D1579" s="35" t="str">
        <x:v>modifier_stat2</x:v>
      </x:c>
      <x:c r="E1579" s="38" t="str">
        <x:v>string</x:v>
      </x:c>
      <x:c r="F1579" s="56" t="str">
        <x:f>'Effects'!L9</x:f>
        <x:v>ControlPower</x:v>
      </x:c>
      <x:c r="G1579" s="38" t="str"/>
      <x:c r="H1579" s="35" t="str">
        <x:v>Effects</x:v>
      </x:c>
      <x:c r="I1579" s="35" t="str">
        <x:v>L9</x:v>
      </x:c>
      <x:c r="J1579" s="85" t="b">
        <x:v>0</x:v>
      </x:c>
      <x:c r="K1579" s="85" t="b">
        <x:v>1</x:v>
      </x:c>
      <x:c r="L1579" s="56" t="str">
        <x:f>'Effects'!U9</x:f>
        <x:v>OK</x:v>
      </x:c>
      <x:c r="M1579" s="44" t="str">
        <x:v>Источник Effects.Modifier Stat 2</x:v>
      </x:c>
    </x:row>
    <x:row r="1580" ht="36" customHeight="1">
      <x:c r="A1580" s="118" t="n">
        <x:v>1575</x:v>
      </x:c>
      <x:c r="B1580" s="35" t="str">
        <x:v>effect</x:v>
      </x:c>
      <x:c r="C1580" s="35" t="str">
        <x:v>effect_gorilla_iron_grip</x:v>
      </x:c>
      <x:c r="D1580" s="35" t="str">
        <x:v>operation2</x:v>
      </x:c>
      <x:c r="E1580" s="38" t="str">
        <x:v>string</x:v>
      </x:c>
      <x:c r="F1580" s="56" t="str">
        <x:f>'Effects'!M9</x:f>
        <x:v>Add</x:v>
      </x:c>
      <x:c r="G1580" s="38" t="str"/>
      <x:c r="H1580" s="35" t="str">
        <x:v>Effects</x:v>
      </x:c>
      <x:c r="I1580" s="35" t="str">
        <x:v>M9</x:v>
      </x:c>
      <x:c r="J1580" s="85" t="b">
        <x:v>0</x:v>
      </x:c>
      <x:c r="K1580" s="85" t="b">
        <x:v>1</x:v>
      </x:c>
      <x:c r="L1580" s="56" t="str">
        <x:f>'Effects'!U9</x:f>
        <x:v>OK</x:v>
      </x:c>
      <x:c r="M1580" s="44" t="str">
        <x:v>Источник Effects.Operation 2</x:v>
      </x:c>
    </x:row>
    <x:row r="1581" ht="36" customHeight="1">
      <x:c r="A1581" s="118" t="n">
        <x:v>1576</x:v>
      </x:c>
      <x:c r="B1581" s="35" t="str">
        <x:v>effect</x:v>
      </x:c>
      <x:c r="C1581" s="35" t="str">
        <x:v>effect_gorilla_iron_grip</x:v>
      </x:c>
      <x:c r="D1581" s="35" t="str">
        <x:v>value2</x:v>
      </x:c>
      <x:c r="E1581" s="38" t="str">
        <x:v>int</x:v>
      </x:c>
      <x:c r="F1581" s="56" t="n">
        <x:f>'Effects'!N9</x:f>
        <x:v>12</x:v>
      </x:c>
      <x:c r="G1581" s="38" t="str"/>
      <x:c r="H1581" s="35" t="str">
        <x:v>Effects</x:v>
      </x:c>
      <x:c r="I1581" s="35" t="str">
        <x:v>N9</x:v>
      </x:c>
      <x:c r="J1581" s="85" t="b">
        <x:v>0</x:v>
      </x:c>
      <x:c r="K1581" s="85" t="b">
        <x:v>1</x:v>
      </x:c>
      <x:c r="L1581" s="56" t="str">
        <x:f>'Effects'!U9</x:f>
        <x:v>OK</x:v>
      </x:c>
      <x:c r="M1581" s="44" t="str">
        <x:v>Источник Effects.Value 2</x:v>
      </x:c>
    </x:row>
    <x:row r="1582" ht="36" customHeight="1">
      <x:c r="A1582" s="118" t="n">
        <x:v>1577</x:v>
      </x:c>
      <x:c r="B1582" s="35" t="str">
        <x:v>effect</x:v>
      </x:c>
      <x:c r="C1582" s="35" t="str">
        <x:v>effect_gorilla_iron_grip</x:v>
      </x:c>
      <x:c r="D1582" s="35" t="str">
        <x:v>tags</x:v>
      </x:c>
      <x:c r="E1582" s="38" t="str">
        <x:v>string</x:v>
      </x:c>
      <x:c r="F1582" s="56" t="str">
        <x:f>'Effects'!O9</x:f>
        <x:v>buff|grab|control</x:v>
      </x:c>
      <x:c r="G1582" s="38" t="str"/>
      <x:c r="H1582" s="35" t="str">
        <x:v>Effects</x:v>
      </x:c>
      <x:c r="I1582" s="35" t="str">
        <x:v>O9</x:v>
      </x:c>
      <x:c r="J1582" s="85" t="b">
        <x:v>1</x:v>
      </x:c>
      <x:c r="K1582" s="85" t="b">
        <x:v>1</x:v>
      </x:c>
      <x:c r="L1582" s="56" t="str">
        <x:f>'Effects'!U9</x:f>
        <x:v>OK</x:v>
      </x:c>
      <x:c r="M1582" s="44" t="str">
        <x:v>Источник Effects.Tags</x:v>
      </x:c>
    </x:row>
    <x:row r="1583" ht="36" customHeight="1">
      <x:c r="A1583" s="118" t="n">
        <x:v>1578</x:v>
      </x:c>
      <x:c r="B1583" s="35" t="str">
        <x:v>effect</x:v>
      </x:c>
      <x:c r="C1583" s="35" t="str">
        <x:v>effect_gorilla_iron_grip</x:v>
      </x:c>
      <x:c r="D1583" s="35" t="str">
        <x:v>max_activations_per_tick</x:v>
      </x:c>
      <x:c r="E1583" s="38" t="str">
        <x:v>int</x:v>
      </x:c>
      <x:c r="F1583" s="56" t="n">
        <x:f>'Effects'!P9</x:f>
        <x:v>1</x:v>
      </x:c>
      <x:c r="G1583" s="38" t="str"/>
      <x:c r="H1583" s="35" t="str">
        <x:v>Effects</x:v>
      </x:c>
      <x:c r="I1583" s="35" t="str">
        <x:v>P9</x:v>
      </x:c>
      <x:c r="J1583" s="85" t="b">
        <x:v>1</x:v>
      </x:c>
      <x:c r="K1583" s="85" t="b">
        <x:v>1</x:v>
      </x:c>
      <x:c r="L1583" s="56" t="str">
        <x:f>'Effects'!U9</x:f>
        <x:v>OK</x:v>
      </x:c>
      <x:c r="M1583" s="44" t="str">
        <x:v>Источник Effects.Max Activations / Tick</x:v>
      </x:c>
    </x:row>
    <x:row r="1584" ht="36" customHeight="1">
      <x:c r="A1584" s="118" t="n">
        <x:v>1579</x:v>
      </x:c>
      <x:c r="B1584" s="35" t="str">
        <x:v>effect</x:v>
      </x:c>
      <x:c r="C1584" s="35" t="str">
        <x:v>effect_gorilla_iron_grip</x:v>
      </x:c>
      <x:c r="D1584" s="35" t="str">
        <x:v>max_activations_per_battle</x:v>
      </x:c>
      <x:c r="E1584" s="38" t="str">
        <x:v>int</x:v>
      </x:c>
      <x:c r="F1584" s="56" t="n">
        <x:f>'Effects'!Q9</x:f>
        <x:v>99</x:v>
      </x:c>
      <x:c r="G1584" s="38" t="str"/>
      <x:c r="H1584" s="35" t="str">
        <x:v>Effects</x:v>
      </x:c>
      <x:c r="I1584" s="35" t="str">
        <x:v>Q9</x:v>
      </x:c>
      <x:c r="J1584" s="85" t="b">
        <x:v>1</x:v>
      </x:c>
      <x:c r="K1584" s="85" t="b">
        <x:v>1</x:v>
      </x:c>
      <x:c r="L1584" s="56" t="str">
        <x:f>'Effects'!U9</x:f>
        <x:v>OK</x:v>
      </x:c>
      <x:c r="M1584" s="44" t="str">
        <x:v>Источник Effects.Max Activations / Battle</x:v>
      </x:c>
    </x:row>
    <x:row r="1585" ht="36" customHeight="1">
      <x:c r="A1585" s="118" t="n">
        <x:v>1580</x:v>
      </x:c>
      <x:c r="B1585" s="35" t="str">
        <x:v>effect</x:v>
      </x:c>
      <x:c r="C1585" s="35" t="str">
        <x:v>effect_gorilla_iron_grip</x:v>
      </x:c>
      <x:c r="D1585" s="35" t="str">
        <x:v>internal_cooldown_ticks</x:v>
      </x:c>
      <x:c r="E1585" s="38" t="str">
        <x:v>int</x:v>
      </x:c>
      <x:c r="F1585" s="56" t="n">
        <x:f>'Effects'!R9</x:f>
        <x:v>15</x:v>
      </x:c>
      <x:c r="G1585" s="38" t="str"/>
      <x:c r="H1585" s="35" t="str">
        <x:v>Effects</x:v>
      </x:c>
      <x:c r="I1585" s="35" t="str">
        <x:v>R9</x:v>
      </x:c>
      <x:c r="J1585" s="85" t="b">
        <x:v>1</x:v>
      </x:c>
      <x:c r="K1585" s="85" t="b">
        <x:v>1</x:v>
      </x:c>
      <x:c r="L1585" s="56" t="str">
        <x:f>'Effects'!U9</x:f>
        <x:v>OK</x:v>
      </x:c>
      <x:c r="M1585" s="44" t="str">
        <x:v>Источник Effects.Internal Cooldown Ticks</x:v>
      </x:c>
    </x:row>
    <x:row r="1586" ht="36" customHeight="1">
      <x:c r="A1586" s="118" t="n">
        <x:v>1581</x:v>
      </x:c>
      <x:c r="B1586" s="35" t="str">
        <x:v>effect</x:v>
      </x:c>
      <x:c r="C1586" s="35" t="str">
        <x:v>effect_gorilla_iron_grip</x:v>
      </x:c>
      <x:c r="D1586" s="35" t="str">
        <x:v>lookup_profile</x:v>
      </x:c>
      <x:c r="E1586" s="38" t="str">
        <x:v>string</x:v>
      </x:c>
      <x:c r="F1586" s="56" t="str">
        <x:f>'Effects'!S9</x:f>
      </x:c>
      <x:c r="G1586" s="38" t="str"/>
      <x:c r="H1586" s="35" t="str">
        <x:v>Effects</x:v>
      </x:c>
      <x:c r="I1586" s="35" t="str">
        <x:v>S9</x:v>
      </x:c>
      <x:c r="J1586" s="85" t="b">
        <x:v>0</x:v>
      </x:c>
      <x:c r="K1586" s="85" t="b">
        <x:v>1</x:v>
      </x:c>
      <x:c r="L1586" s="56" t="str">
        <x:f>'Effects'!U9</x:f>
        <x:v>OK</x:v>
      </x:c>
      <x:c r="M1586" s="44" t="str">
        <x:v>Источник Effects.Lookup Profile</x:v>
      </x:c>
    </x:row>
    <x:row r="1587" ht="36" customHeight="1">
      <x:c r="A1587" s="118" t="n">
        <x:v>1582</x:v>
      </x:c>
      <x:c r="B1587" s="35" t="str">
        <x:v>effect</x:v>
      </x:c>
      <x:c r="C1587" s="35" t="str">
        <x:v>effect_guard_broken</x:v>
      </x:c>
      <x:c r="D1587" s="35" t="str">
        <x:v>effect_id</x:v>
      </x:c>
      <x:c r="E1587" s="38" t="str">
        <x:v>string</x:v>
      </x:c>
      <x:c r="F1587" s="56" t="str">
        <x:f>'Effects'!A10</x:f>
        <x:v>effect_guard_broken</x:v>
      </x:c>
      <x:c r="G1587" s="38" t="str"/>
      <x:c r="H1587" s="35" t="str">
        <x:v>Effects</x:v>
      </x:c>
      <x:c r="I1587" s="35" t="str">
        <x:v>A10</x:v>
      </x:c>
      <x:c r="J1587" s="85" t="b">
        <x:v>1</x:v>
      </x:c>
      <x:c r="K1587" s="85" t="b">
        <x:v>1</x:v>
      </x:c>
      <x:c r="L1587" s="56" t="str">
        <x:f>'Effects'!U10</x:f>
        <x:v>OK</x:v>
      </x:c>
      <x:c r="M1587" s="44" t="str">
        <x:v>Источник Effects.Effect ID</x:v>
      </x:c>
    </x:row>
    <x:row r="1588" ht="36" customHeight="1">
      <x:c r="A1588" s="118" t="n">
        <x:v>1583</x:v>
      </x:c>
      <x:c r="B1588" s="35" t="str">
        <x:v>effect</x:v>
      </x:c>
      <x:c r="C1588" s="35" t="str">
        <x:v>effect_guard_broken</x:v>
      </x:c>
      <x:c r="D1588" s="35" t="str">
        <x:v>duration_ticks</x:v>
      </x:c>
      <x:c r="E1588" s="38" t="str">
        <x:v>int</x:v>
      </x:c>
      <x:c r="F1588" s="56" t="n">
        <x:f>'Effects'!C10</x:f>
        <x:v>15</x:v>
      </x:c>
      <x:c r="G1588" s="38" t="str"/>
      <x:c r="H1588" s="35" t="str">
        <x:v>Effects</x:v>
      </x:c>
      <x:c r="I1588" s="35" t="str">
        <x:v>C10</x:v>
      </x:c>
      <x:c r="J1588" s="85" t="b">
        <x:v>1</x:v>
      </x:c>
      <x:c r="K1588" s="85" t="b">
        <x:v>1</x:v>
      </x:c>
      <x:c r="L1588" s="56" t="str">
        <x:f>'Effects'!U10</x:f>
        <x:v>OK</x:v>
      </x:c>
      <x:c r="M1588" s="44" t="str">
        <x:v>Источник Effects.Duration Ticks</x:v>
      </x:c>
    </x:row>
    <x:row r="1589" ht="36" customHeight="1">
      <x:c r="A1589" s="118" t="n">
        <x:v>1584</x:v>
      </x:c>
      <x:c r="B1589" s="35" t="str">
        <x:v>effect</x:v>
      </x:c>
      <x:c r="C1589" s="35" t="str">
        <x:v>effect_guard_broken</x:v>
      </x:c>
      <x:c r="D1589" s="35" t="str">
        <x:v>expiry_boundary</x:v>
      </x:c>
      <x:c r="E1589" s="38" t="str">
        <x:v>string</x:v>
      </x:c>
      <x:c r="F1589" s="56" t="str">
        <x:f>'Effects'!D10</x:f>
        <x:v>ExpireAfterTick</x:v>
      </x:c>
      <x:c r="G1589" s="38" t="str"/>
      <x:c r="H1589" s="35" t="str">
        <x:v>Effects</x:v>
      </x:c>
      <x:c r="I1589" s="35" t="str">
        <x:v>D10</x:v>
      </x:c>
      <x:c r="J1589" s="85" t="b">
        <x:v>1</x:v>
      </x:c>
      <x:c r="K1589" s="85" t="b">
        <x:v>1</x:v>
      </x:c>
      <x:c r="L1589" s="56" t="str">
        <x:f>'Effects'!U10</x:f>
        <x:v>OK</x:v>
      </x:c>
      <x:c r="M1589" s="44" t="str">
        <x:v>Источник Effects.Expiry Boundary</x:v>
      </x:c>
    </x:row>
    <x:row r="1590" ht="36" customHeight="1">
      <x:c r="A1590" s="118" t="n">
        <x:v>1585</x:v>
      </x:c>
      <x:c r="B1590" s="35" t="str">
        <x:v>effect</x:v>
      </x:c>
      <x:c r="C1590" s="35" t="str">
        <x:v>effect_guard_broken</x:v>
      </x:c>
      <x:c r="D1590" s="35" t="str">
        <x:v>stack_group</x:v>
      </x:c>
      <x:c r="E1590" s="38" t="str">
        <x:v>string</x:v>
      </x:c>
      <x:c r="F1590" s="56" t="str">
        <x:f>'Effects'!E10</x:f>
        <x:v>guard_broken</x:v>
      </x:c>
      <x:c r="G1590" s="38" t="str"/>
      <x:c r="H1590" s="35" t="str">
        <x:v>Effects</x:v>
      </x:c>
      <x:c r="I1590" s="35" t="str">
        <x:v>E10</x:v>
      </x:c>
      <x:c r="J1590" s="85" t="b">
        <x:v>1</x:v>
      </x:c>
      <x:c r="K1590" s="85" t="b">
        <x:v>1</x:v>
      </x:c>
      <x:c r="L1590" s="56" t="str">
        <x:f>'Effects'!U10</x:f>
        <x:v>OK</x:v>
      </x:c>
      <x:c r="M1590" s="44" t="str">
        <x:v>Источник Effects.Stack Group</x:v>
      </x:c>
    </x:row>
    <x:row r="1591" ht="36" customHeight="1">
      <x:c r="A1591" s="118" t="n">
        <x:v>1586</x:v>
      </x:c>
      <x:c r="B1591" s="35" t="str">
        <x:v>effect</x:v>
      </x:c>
      <x:c r="C1591" s="35" t="str">
        <x:v>effect_guard_broken</x:v>
      </x:c>
      <x:c r="D1591" s="35" t="str">
        <x:v>stack_policy</x:v>
      </x:c>
      <x:c r="E1591" s="38" t="str">
        <x:v>string</x:v>
      </x:c>
      <x:c r="F1591" s="56" t="str">
        <x:f>'Effects'!F10</x:f>
        <x:v>Refresh</x:v>
      </x:c>
      <x:c r="G1591" s="38" t="str"/>
      <x:c r="H1591" s="35" t="str">
        <x:v>Effects</x:v>
      </x:c>
      <x:c r="I1591" s="35" t="str">
        <x:v>F10</x:v>
      </x:c>
      <x:c r="J1591" s="85" t="b">
        <x:v>1</x:v>
      </x:c>
      <x:c r="K1591" s="85" t="b">
        <x:v>1</x:v>
      </x:c>
      <x:c r="L1591" s="56" t="str">
        <x:f>'Effects'!U10</x:f>
        <x:v>OK</x:v>
      </x:c>
      <x:c r="M1591" s="44" t="str">
        <x:v>Источник Effects.Stack Policy</x:v>
      </x:c>
    </x:row>
    <x:row r="1592" ht="36" customHeight="1">
      <x:c r="A1592" s="118" t="n">
        <x:v>1587</x:v>
      </x:c>
      <x:c r="B1592" s="35" t="str">
        <x:v>effect</x:v>
      </x:c>
      <x:c r="C1592" s="35" t="str">
        <x:v>effect_guard_broken</x:v>
      </x:c>
      <x:c r="D1592" s="35" t="str">
        <x:v>stack_cap</x:v>
      </x:c>
      <x:c r="E1592" s="38" t="str">
        <x:v>int</x:v>
      </x:c>
      <x:c r="F1592" s="56" t="n">
        <x:f>'Effects'!G10</x:f>
        <x:v>1</x:v>
      </x:c>
      <x:c r="G1592" s="38" t="str"/>
      <x:c r="H1592" s="35" t="str">
        <x:v>Effects</x:v>
      </x:c>
      <x:c r="I1592" s="35" t="str">
        <x:v>G10</x:v>
      </x:c>
      <x:c r="J1592" s="85" t="b">
        <x:v>1</x:v>
      </x:c>
      <x:c r="K1592" s="85" t="b">
        <x:v>1</x:v>
      </x:c>
      <x:c r="L1592" s="56" t="str">
        <x:f>'Effects'!U10</x:f>
        <x:v>OK</x:v>
      </x:c>
      <x:c r="M1592" s="44" t="str">
        <x:v>Источник Effects.Stack Cap</x:v>
      </x:c>
    </x:row>
    <x:row r="1593" ht="36" customHeight="1">
      <x:c r="A1593" s="118" t="n">
        <x:v>1588</x:v>
      </x:c>
      <x:c r="B1593" s="35" t="str">
        <x:v>effect</x:v>
      </x:c>
      <x:c r="C1593" s="35" t="str">
        <x:v>effect_guard_broken</x:v>
      </x:c>
      <x:c r="D1593" s="35" t="str">
        <x:v>compare_key</x:v>
      </x:c>
      <x:c r="E1593" s="38" t="str">
        <x:v>string</x:v>
      </x:c>
      <x:c r="F1593" s="56" t="str">
        <x:f>'Effects'!H10</x:f>
        <x:v>DurationTicks</x:v>
      </x:c>
      <x:c r="G1593" s="38" t="str"/>
      <x:c r="H1593" s="35" t="str">
        <x:v>Effects</x:v>
      </x:c>
      <x:c r="I1593" s="35" t="str">
        <x:v>H10</x:v>
      </x:c>
      <x:c r="J1593" s="85" t="b">
        <x:v>1</x:v>
      </x:c>
      <x:c r="K1593" s="85" t="b">
        <x:v>1</x:v>
      </x:c>
      <x:c r="L1593" s="56" t="str">
        <x:f>'Effects'!U10</x:f>
        <x:v>OK</x:v>
      </x:c>
      <x:c r="M1593" s="44" t="str">
        <x:v>Источник Effects.Compare Key</x:v>
      </x:c>
    </x:row>
    <x:row r="1594" ht="36" customHeight="1">
      <x:c r="A1594" s="118" t="n">
        <x:v>1589</x:v>
      </x:c>
      <x:c r="B1594" s="35" t="str">
        <x:v>effect</x:v>
      </x:c>
      <x:c r="C1594" s="35" t="str">
        <x:v>effect_guard_broken</x:v>
      </x:c>
      <x:c r="D1594" s="35" t="str">
        <x:v>modifier_stat1</x:v>
      </x:c>
      <x:c r="E1594" s="38" t="str">
        <x:v>string</x:v>
      </x:c>
      <x:c r="F1594" s="56" t="str">
        <x:f>'Effects'!I10</x:f>
        <x:v>Guard</x:v>
      </x:c>
      <x:c r="G1594" s="38" t="str"/>
      <x:c r="H1594" s="35" t="str">
        <x:v>Effects</x:v>
      </x:c>
      <x:c r="I1594" s="35" t="str">
        <x:v>I10</x:v>
      </x:c>
      <x:c r="J1594" s="85" t="b">
        <x:v>1</x:v>
      </x:c>
      <x:c r="K1594" s="85" t="b">
        <x:v>1</x:v>
      </x:c>
      <x:c r="L1594" s="56" t="str">
        <x:f>'Effects'!U10</x:f>
        <x:v>OK</x:v>
      </x:c>
      <x:c r="M1594" s="44" t="str">
        <x:v>Источник Effects.Modifier Stat 1</x:v>
      </x:c>
    </x:row>
    <x:row r="1595" ht="36" customHeight="1">
      <x:c r="A1595" s="118" t="n">
        <x:v>1590</x:v>
      </x:c>
      <x:c r="B1595" s="35" t="str">
        <x:v>effect</x:v>
      </x:c>
      <x:c r="C1595" s="35" t="str">
        <x:v>effect_guard_broken</x:v>
      </x:c>
      <x:c r="D1595" s="35" t="str">
        <x:v>operation1</x:v>
      </x:c>
      <x:c r="E1595" s="38" t="str">
        <x:v>string</x:v>
      </x:c>
      <x:c r="F1595" s="56" t="str">
        <x:f>'Effects'!J10</x:f>
        <x:v>Add</x:v>
      </x:c>
      <x:c r="G1595" s="38" t="str"/>
      <x:c r="H1595" s="35" t="str">
        <x:v>Effects</x:v>
      </x:c>
      <x:c r="I1595" s="35" t="str">
        <x:v>J10</x:v>
      </x:c>
      <x:c r="J1595" s="85" t="b">
        <x:v>1</x:v>
      </x:c>
      <x:c r="K1595" s="85" t="b">
        <x:v>1</x:v>
      </x:c>
      <x:c r="L1595" s="56" t="str">
        <x:f>'Effects'!U10</x:f>
        <x:v>OK</x:v>
      </x:c>
      <x:c r="M1595" s="44" t="str">
        <x:v>Источник Effects.Operation 1</x:v>
      </x:c>
    </x:row>
    <x:row r="1596" ht="36" customHeight="1">
      <x:c r="A1596" s="118" t="n">
        <x:v>1591</x:v>
      </x:c>
      <x:c r="B1596" s="35" t="str">
        <x:v>effect</x:v>
      </x:c>
      <x:c r="C1596" s="35" t="str">
        <x:v>effect_guard_broken</x:v>
      </x:c>
      <x:c r="D1596" s="35" t="str">
        <x:v>value1</x:v>
      </x:c>
      <x:c r="E1596" s="38" t="str">
        <x:v>int</x:v>
      </x:c>
      <x:c r="F1596" s="56" t="n">
        <x:f>'Effects'!K10</x:f>
        <x:v>-30</x:v>
      </x:c>
      <x:c r="G1596" s="38" t="str"/>
      <x:c r="H1596" s="35" t="str">
        <x:v>Effects</x:v>
      </x:c>
      <x:c r="I1596" s="35" t="str">
        <x:v>K10</x:v>
      </x:c>
      <x:c r="J1596" s="85" t="b">
        <x:v>1</x:v>
      </x:c>
      <x:c r="K1596" s="85" t="b">
        <x:v>1</x:v>
      </x:c>
      <x:c r="L1596" s="56" t="str">
        <x:f>'Effects'!U10</x:f>
        <x:v>OK</x:v>
      </x:c>
      <x:c r="M1596" s="44" t="str">
        <x:v>Источник Effects.Value 1</x:v>
      </x:c>
    </x:row>
    <x:row r="1597" ht="36" customHeight="1">
      <x:c r="A1597" s="118" t="n">
        <x:v>1592</x:v>
      </x:c>
      <x:c r="B1597" s="35" t="str">
        <x:v>effect</x:v>
      </x:c>
      <x:c r="C1597" s="35" t="str">
        <x:v>effect_guard_broken</x:v>
      </x:c>
      <x:c r="D1597" s="35" t="str">
        <x:v>modifier_stat2</x:v>
      </x:c>
      <x:c r="E1597" s="38" t="str">
        <x:v>string</x:v>
      </x:c>
      <x:c r="F1597" s="56" t="str">
        <x:f>'Effects'!L10</x:f>
        <x:v>BlockWeight</x:v>
      </x:c>
      <x:c r="G1597" s="38" t="str"/>
      <x:c r="H1597" s="35" t="str">
        <x:v>Effects</x:v>
      </x:c>
      <x:c r="I1597" s="35" t="str">
        <x:v>L10</x:v>
      </x:c>
      <x:c r="J1597" s="85" t="b">
        <x:v>0</x:v>
      </x:c>
      <x:c r="K1597" s="85" t="b">
        <x:v>1</x:v>
      </x:c>
      <x:c r="L1597" s="56" t="str">
        <x:f>'Effects'!U10</x:f>
        <x:v>OK</x:v>
      </x:c>
      <x:c r="M1597" s="44" t="str">
        <x:v>Источник Effects.Modifier Stat 2</x:v>
      </x:c>
    </x:row>
    <x:row r="1598" ht="36" customHeight="1">
      <x:c r="A1598" s="118" t="n">
        <x:v>1593</x:v>
      </x:c>
      <x:c r="B1598" s="35" t="str">
        <x:v>effect</x:v>
      </x:c>
      <x:c r="C1598" s="35" t="str">
        <x:v>effect_guard_broken</x:v>
      </x:c>
      <x:c r="D1598" s="35" t="str">
        <x:v>operation2</x:v>
      </x:c>
      <x:c r="E1598" s="38" t="str">
        <x:v>string</x:v>
      </x:c>
      <x:c r="F1598" s="56" t="str">
        <x:f>'Effects'!M10</x:f>
        <x:v>Multiply</x:v>
      </x:c>
      <x:c r="G1598" s="38" t="str"/>
      <x:c r="H1598" s="35" t="str">
        <x:v>Effects</x:v>
      </x:c>
      <x:c r="I1598" s="35" t="str">
        <x:v>M10</x:v>
      </x:c>
      <x:c r="J1598" s="85" t="b">
        <x:v>0</x:v>
      </x:c>
      <x:c r="K1598" s="85" t="b">
        <x:v>1</x:v>
      </x:c>
      <x:c r="L1598" s="56" t="str">
        <x:f>'Effects'!U10</x:f>
        <x:v>OK</x:v>
      </x:c>
      <x:c r="M1598" s="44" t="str">
        <x:v>Источник Effects.Operation 2</x:v>
      </x:c>
    </x:row>
    <x:row r="1599" ht="36" customHeight="1">
      <x:c r="A1599" s="118" t="n">
        <x:v>1594</x:v>
      </x:c>
      <x:c r="B1599" s="35" t="str">
        <x:v>effect</x:v>
      </x:c>
      <x:c r="C1599" s="35" t="str">
        <x:v>effect_guard_broken</x:v>
      </x:c>
      <x:c r="D1599" s="35" t="str">
        <x:v>value2</x:v>
      </x:c>
      <x:c r="E1599" s="38" t="str">
        <x:v>int</x:v>
      </x:c>
      <x:c r="F1599" s="56" t="n">
        <x:f>'Effects'!N10</x:f>
        <x:v>650</x:v>
      </x:c>
      <x:c r="G1599" s="38" t="str"/>
      <x:c r="H1599" s="35" t="str">
        <x:v>Effects</x:v>
      </x:c>
      <x:c r="I1599" s="35" t="str">
        <x:v>N10</x:v>
      </x:c>
      <x:c r="J1599" s="85" t="b">
        <x:v>0</x:v>
      </x:c>
      <x:c r="K1599" s="85" t="b">
        <x:v>1</x:v>
      </x:c>
      <x:c r="L1599" s="56" t="str">
        <x:f>'Effects'!U10</x:f>
        <x:v>OK</x:v>
      </x:c>
      <x:c r="M1599" s="44" t="str">
        <x:v>Источник Effects.Value 2</x:v>
      </x:c>
    </x:row>
    <x:row r="1600" ht="36" customHeight="1">
      <x:c r="A1600" s="118" t="n">
        <x:v>1595</x:v>
      </x:c>
      <x:c r="B1600" s="35" t="str">
        <x:v>effect</x:v>
      </x:c>
      <x:c r="C1600" s="35" t="str">
        <x:v>effect_guard_broken</x:v>
      </x:c>
      <x:c r="D1600" s="35" t="str">
        <x:v>tags</x:v>
      </x:c>
      <x:c r="E1600" s="38" t="str">
        <x:v>string</x:v>
      </x:c>
      <x:c r="F1600" s="56" t="str">
        <x:f>'Effects'!O10</x:f>
        <x:v>debuff|guard_break|exposed</x:v>
      </x:c>
      <x:c r="G1600" s="38" t="str"/>
      <x:c r="H1600" s="35" t="str">
        <x:v>Effects</x:v>
      </x:c>
      <x:c r="I1600" s="35" t="str">
        <x:v>O10</x:v>
      </x:c>
      <x:c r="J1600" s="85" t="b">
        <x:v>1</x:v>
      </x:c>
      <x:c r="K1600" s="85" t="b">
        <x:v>1</x:v>
      </x:c>
      <x:c r="L1600" s="56" t="str">
        <x:f>'Effects'!U10</x:f>
        <x:v>OK</x:v>
      </x:c>
      <x:c r="M1600" s="44" t="str">
        <x:v>Источник Effects.Tags</x:v>
      </x:c>
    </x:row>
    <x:row r="1601" ht="36" customHeight="1">
      <x:c r="A1601" s="118" t="n">
        <x:v>1596</x:v>
      </x:c>
      <x:c r="B1601" s="35" t="str">
        <x:v>effect</x:v>
      </x:c>
      <x:c r="C1601" s="35" t="str">
        <x:v>effect_guard_broken</x:v>
      </x:c>
      <x:c r="D1601" s="35" t="str">
        <x:v>max_activations_per_tick</x:v>
      </x:c>
      <x:c r="E1601" s="38" t="str">
        <x:v>int</x:v>
      </x:c>
      <x:c r="F1601" s="56" t="n">
        <x:f>'Effects'!P10</x:f>
        <x:v>1</x:v>
      </x:c>
      <x:c r="G1601" s="38" t="str"/>
      <x:c r="H1601" s="35" t="str">
        <x:v>Effects</x:v>
      </x:c>
      <x:c r="I1601" s="35" t="str">
        <x:v>P10</x:v>
      </x:c>
      <x:c r="J1601" s="85" t="b">
        <x:v>1</x:v>
      </x:c>
      <x:c r="K1601" s="85" t="b">
        <x:v>1</x:v>
      </x:c>
      <x:c r="L1601" s="56" t="str">
        <x:f>'Effects'!U10</x:f>
        <x:v>OK</x:v>
      </x:c>
      <x:c r="M1601" s="44" t="str">
        <x:v>Источник Effects.Max Activations / Tick</x:v>
      </x:c>
    </x:row>
    <x:row r="1602" ht="36" customHeight="1">
      <x:c r="A1602" s="118" t="n">
        <x:v>1597</x:v>
      </x:c>
      <x:c r="B1602" s="35" t="str">
        <x:v>effect</x:v>
      </x:c>
      <x:c r="C1602" s="35" t="str">
        <x:v>effect_guard_broken</x:v>
      </x:c>
      <x:c r="D1602" s="35" t="str">
        <x:v>max_activations_per_battle</x:v>
      </x:c>
      <x:c r="E1602" s="38" t="str">
        <x:v>int</x:v>
      </x:c>
      <x:c r="F1602" s="56" t="n">
        <x:f>'Effects'!Q10</x:f>
        <x:v>99</x:v>
      </x:c>
      <x:c r="G1602" s="38" t="str"/>
      <x:c r="H1602" s="35" t="str">
        <x:v>Effects</x:v>
      </x:c>
      <x:c r="I1602" s="35" t="str">
        <x:v>Q10</x:v>
      </x:c>
      <x:c r="J1602" s="85" t="b">
        <x:v>1</x:v>
      </x:c>
      <x:c r="K1602" s="85" t="b">
        <x:v>1</x:v>
      </x:c>
      <x:c r="L1602" s="56" t="str">
        <x:f>'Effects'!U10</x:f>
        <x:v>OK</x:v>
      </x:c>
      <x:c r="M1602" s="44" t="str">
        <x:v>Источник Effects.Max Activations / Battle</x:v>
      </x:c>
    </x:row>
    <x:row r="1603" ht="36" customHeight="1">
      <x:c r="A1603" s="118" t="n">
        <x:v>1598</x:v>
      </x:c>
      <x:c r="B1603" s="35" t="str">
        <x:v>effect</x:v>
      </x:c>
      <x:c r="C1603" s="35" t="str">
        <x:v>effect_guard_broken</x:v>
      </x:c>
      <x:c r="D1603" s="35" t="str">
        <x:v>internal_cooldown_ticks</x:v>
      </x:c>
      <x:c r="E1603" s="38" t="str">
        <x:v>int</x:v>
      </x:c>
      <x:c r="F1603" s="56" t="n">
        <x:f>'Effects'!R10</x:f>
        <x:v>0</x:v>
      </x:c>
      <x:c r="G1603" s="38" t="str"/>
      <x:c r="H1603" s="35" t="str">
        <x:v>Effects</x:v>
      </x:c>
      <x:c r="I1603" s="35" t="str">
        <x:v>R10</x:v>
      </x:c>
      <x:c r="J1603" s="85" t="b">
        <x:v>1</x:v>
      </x:c>
      <x:c r="K1603" s="85" t="b">
        <x:v>1</x:v>
      </x:c>
      <x:c r="L1603" s="56" t="str">
        <x:f>'Effects'!U10</x:f>
        <x:v>OK</x:v>
      </x:c>
      <x:c r="M1603" s="44" t="str">
        <x:v>Источник Effects.Internal Cooldown Ticks</x:v>
      </x:c>
    </x:row>
    <x:row r="1604" ht="36" customHeight="1">
      <x:c r="A1604" s="118" t="n">
        <x:v>1599</x:v>
      </x:c>
      <x:c r="B1604" s="35" t="str">
        <x:v>effect</x:v>
      </x:c>
      <x:c r="C1604" s="35" t="str">
        <x:v>effect_guard_broken</x:v>
      </x:c>
      <x:c r="D1604" s="35" t="str">
        <x:v>lookup_profile</x:v>
      </x:c>
      <x:c r="E1604" s="38" t="str">
        <x:v>string</x:v>
      </x:c>
      <x:c r="F1604" s="56" t="str">
        <x:f>'Effects'!S10</x:f>
      </x:c>
      <x:c r="G1604" s="38" t="str"/>
      <x:c r="H1604" s="35" t="str">
        <x:v>Effects</x:v>
      </x:c>
      <x:c r="I1604" s="35" t="str">
        <x:v>S10</x:v>
      </x:c>
      <x:c r="J1604" s="85" t="b">
        <x:v>0</x:v>
      </x:c>
      <x:c r="K1604" s="85" t="b">
        <x:v>1</x:v>
      </x:c>
      <x:c r="L1604" s="56" t="str">
        <x:f>'Effects'!U10</x:f>
        <x:v>OK</x:v>
      </x:c>
      <x:c r="M1604" s="44" t="str">
        <x:v>Источник Effects.Lookup Profile</x:v>
      </x:c>
    </x:row>
    <x:row r="1605" ht="36" customHeight="1">
      <x:c r="A1605" s="118" t="n">
        <x:v>1600</x:v>
      </x:c>
      <x:c r="B1605" s="35" t="str">
        <x:v>effect</x:v>
      </x:c>
      <x:c r="C1605" s="35" t="str">
        <x:v>effect_exposed</x:v>
      </x:c>
      <x:c r="D1605" s="35" t="str">
        <x:v>effect_id</x:v>
      </x:c>
      <x:c r="E1605" s="38" t="str">
        <x:v>string</x:v>
      </x:c>
      <x:c r="F1605" s="56" t="str">
        <x:f>'Effects'!A11</x:f>
        <x:v>effect_exposed</x:v>
      </x:c>
      <x:c r="G1605" s="38" t="str"/>
      <x:c r="H1605" s="35" t="str">
        <x:v>Effects</x:v>
      </x:c>
      <x:c r="I1605" s="35" t="str">
        <x:v>A11</x:v>
      </x:c>
      <x:c r="J1605" s="85" t="b">
        <x:v>1</x:v>
      </x:c>
      <x:c r="K1605" s="85" t="b">
        <x:v>1</x:v>
      </x:c>
      <x:c r="L1605" s="56" t="str">
        <x:f>'Effects'!U11</x:f>
        <x:v>OK</x:v>
      </x:c>
      <x:c r="M1605" s="44" t="str">
        <x:v>Источник Effects.Effect ID</x:v>
      </x:c>
    </x:row>
    <x:row r="1606" ht="36" customHeight="1">
      <x:c r="A1606" s="118" t="n">
        <x:v>1601</x:v>
      </x:c>
      <x:c r="B1606" s="35" t="str">
        <x:v>effect</x:v>
      </x:c>
      <x:c r="C1606" s="35" t="str">
        <x:v>effect_exposed</x:v>
      </x:c>
      <x:c r="D1606" s="35" t="str">
        <x:v>duration_ticks</x:v>
      </x:c>
      <x:c r="E1606" s="38" t="str">
        <x:v>int</x:v>
      </x:c>
      <x:c r="F1606" s="56" t="n">
        <x:f>'Effects'!C11</x:f>
        <x:v>12</x:v>
      </x:c>
      <x:c r="G1606" s="38" t="str"/>
      <x:c r="H1606" s="35" t="str">
        <x:v>Effects</x:v>
      </x:c>
      <x:c r="I1606" s="35" t="str">
        <x:v>C11</x:v>
      </x:c>
      <x:c r="J1606" s="85" t="b">
        <x:v>1</x:v>
      </x:c>
      <x:c r="K1606" s="85" t="b">
        <x:v>1</x:v>
      </x:c>
      <x:c r="L1606" s="56" t="str">
        <x:f>'Effects'!U11</x:f>
        <x:v>OK</x:v>
      </x:c>
      <x:c r="M1606" s="44" t="str">
        <x:v>Источник Effects.Duration Ticks</x:v>
      </x:c>
    </x:row>
    <x:row r="1607" ht="36" customHeight="1">
      <x:c r="A1607" s="118" t="n">
        <x:v>1602</x:v>
      </x:c>
      <x:c r="B1607" s="35" t="str">
        <x:v>effect</x:v>
      </x:c>
      <x:c r="C1607" s="35" t="str">
        <x:v>effect_exposed</x:v>
      </x:c>
      <x:c r="D1607" s="35" t="str">
        <x:v>expiry_boundary</x:v>
      </x:c>
      <x:c r="E1607" s="38" t="str">
        <x:v>string</x:v>
      </x:c>
      <x:c r="F1607" s="56" t="str">
        <x:f>'Effects'!D11</x:f>
        <x:v>ExpireAfterTick</x:v>
      </x:c>
      <x:c r="G1607" s="38" t="str"/>
      <x:c r="H1607" s="35" t="str">
        <x:v>Effects</x:v>
      </x:c>
      <x:c r="I1607" s="35" t="str">
        <x:v>D11</x:v>
      </x:c>
      <x:c r="J1607" s="85" t="b">
        <x:v>1</x:v>
      </x:c>
      <x:c r="K1607" s="85" t="b">
        <x:v>1</x:v>
      </x:c>
      <x:c r="L1607" s="56" t="str">
        <x:f>'Effects'!U11</x:f>
        <x:v>OK</x:v>
      </x:c>
      <x:c r="M1607" s="44" t="str">
        <x:v>Источник Effects.Expiry Boundary</x:v>
      </x:c>
    </x:row>
    <x:row r="1608" ht="36" customHeight="1">
      <x:c r="A1608" s="118" t="n">
        <x:v>1603</x:v>
      </x:c>
      <x:c r="B1608" s="35" t="str">
        <x:v>effect</x:v>
      </x:c>
      <x:c r="C1608" s="35" t="str">
        <x:v>effect_exposed</x:v>
      </x:c>
      <x:c r="D1608" s="35" t="str">
        <x:v>stack_group</x:v>
      </x:c>
      <x:c r="E1608" s="38" t="str">
        <x:v>string</x:v>
      </x:c>
      <x:c r="F1608" s="56" t="str">
        <x:f>'Effects'!E11</x:f>
        <x:v>exposed</x:v>
      </x:c>
      <x:c r="G1608" s="38" t="str"/>
      <x:c r="H1608" s="35" t="str">
        <x:v>Effects</x:v>
      </x:c>
      <x:c r="I1608" s="35" t="str">
        <x:v>E11</x:v>
      </x:c>
      <x:c r="J1608" s="85" t="b">
        <x:v>1</x:v>
      </x:c>
      <x:c r="K1608" s="85" t="b">
        <x:v>1</x:v>
      </x:c>
      <x:c r="L1608" s="56" t="str">
        <x:f>'Effects'!U11</x:f>
        <x:v>OK</x:v>
      </x:c>
      <x:c r="M1608" s="44" t="str">
        <x:v>Источник Effects.Stack Group</x:v>
      </x:c>
    </x:row>
    <x:row r="1609" ht="36" customHeight="1">
      <x:c r="A1609" s="118" t="n">
        <x:v>1604</x:v>
      </x:c>
      <x:c r="B1609" s="35" t="str">
        <x:v>effect</x:v>
      </x:c>
      <x:c r="C1609" s="35" t="str">
        <x:v>effect_exposed</x:v>
      </x:c>
      <x:c r="D1609" s="35" t="str">
        <x:v>stack_policy</x:v>
      </x:c>
      <x:c r="E1609" s="38" t="str">
        <x:v>string</x:v>
      </x:c>
      <x:c r="F1609" s="56" t="str">
        <x:f>'Effects'!F11</x:f>
        <x:v>Refresh</x:v>
      </x:c>
      <x:c r="G1609" s="38" t="str"/>
      <x:c r="H1609" s="35" t="str">
        <x:v>Effects</x:v>
      </x:c>
      <x:c r="I1609" s="35" t="str">
        <x:v>F11</x:v>
      </x:c>
      <x:c r="J1609" s="85" t="b">
        <x:v>1</x:v>
      </x:c>
      <x:c r="K1609" s="85" t="b">
        <x:v>1</x:v>
      </x:c>
      <x:c r="L1609" s="56" t="str">
        <x:f>'Effects'!U11</x:f>
        <x:v>OK</x:v>
      </x:c>
      <x:c r="M1609" s="44" t="str">
        <x:v>Источник Effects.Stack Policy</x:v>
      </x:c>
    </x:row>
    <x:row r="1610" ht="36" customHeight="1">
      <x:c r="A1610" s="118" t="n">
        <x:v>1605</x:v>
      </x:c>
      <x:c r="B1610" s="35" t="str">
        <x:v>effect</x:v>
      </x:c>
      <x:c r="C1610" s="35" t="str">
        <x:v>effect_exposed</x:v>
      </x:c>
      <x:c r="D1610" s="35" t="str">
        <x:v>stack_cap</x:v>
      </x:c>
      <x:c r="E1610" s="38" t="str">
        <x:v>int</x:v>
      </x:c>
      <x:c r="F1610" s="56" t="n">
        <x:f>'Effects'!G11</x:f>
        <x:v>1</x:v>
      </x:c>
      <x:c r="G1610" s="38" t="str"/>
      <x:c r="H1610" s="35" t="str">
        <x:v>Effects</x:v>
      </x:c>
      <x:c r="I1610" s="35" t="str">
        <x:v>G11</x:v>
      </x:c>
      <x:c r="J1610" s="85" t="b">
        <x:v>1</x:v>
      </x:c>
      <x:c r="K1610" s="85" t="b">
        <x:v>1</x:v>
      </x:c>
      <x:c r="L1610" s="56" t="str">
        <x:f>'Effects'!U11</x:f>
        <x:v>OK</x:v>
      </x:c>
      <x:c r="M1610" s="44" t="str">
        <x:v>Источник Effects.Stack Cap</x:v>
      </x:c>
    </x:row>
    <x:row r="1611" ht="36" customHeight="1">
      <x:c r="A1611" s="118" t="n">
        <x:v>1606</x:v>
      </x:c>
      <x:c r="B1611" s="35" t="str">
        <x:v>effect</x:v>
      </x:c>
      <x:c r="C1611" s="35" t="str">
        <x:v>effect_exposed</x:v>
      </x:c>
      <x:c r="D1611" s="35" t="str">
        <x:v>compare_key</x:v>
      </x:c>
      <x:c r="E1611" s="38" t="str">
        <x:v>string</x:v>
      </x:c>
      <x:c r="F1611" s="56" t="str">
        <x:f>'Effects'!H11</x:f>
        <x:v>DurationTicks</x:v>
      </x:c>
      <x:c r="G1611" s="38" t="str"/>
      <x:c r="H1611" s="35" t="str">
        <x:v>Effects</x:v>
      </x:c>
      <x:c r="I1611" s="35" t="str">
        <x:v>H11</x:v>
      </x:c>
      <x:c r="J1611" s="85" t="b">
        <x:v>1</x:v>
      </x:c>
      <x:c r="K1611" s="85" t="b">
        <x:v>1</x:v>
      </x:c>
      <x:c r="L1611" s="56" t="str">
        <x:f>'Effects'!U11</x:f>
        <x:v>OK</x:v>
      </x:c>
      <x:c r="M1611" s="44" t="str">
        <x:v>Источник Effects.Compare Key</x:v>
      </x:c>
    </x:row>
    <x:row r="1612" ht="36" customHeight="1">
      <x:c r="A1612" s="118" t="n">
        <x:v>1607</x:v>
      </x:c>
      <x:c r="B1612" s="35" t="str">
        <x:v>effect</x:v>
      </x:c>
      <x:c r="C1612" s="35" t="str">
        <x:v>effect_exposed</x:v>
      </x:c>
      <x:c r="D1612" s="35" t="str">
        <x:v>modifier_stat1</x:v>
      </x:c>
      <x:c r="E1612" s="38" t="str">
        <x:v>string</x:v>
      </x:c>
      <x:c r="F1612" s="56" t="str">
        <x:f>'Effects'!I11</x:f>
        <x:v>DamageTaken</x:v>
      </x:c>
      <x:c r="G1612" s="38" t="str"/>
      <x:c r="H1612" s="35" t="str">
        <x:v>Effects</x:v>
      </x:c>
      <x:c r="I1612" s="35" t="str">
        <x:v>I11</x:v>
      </x:c>
      <x:c r="J1612" s="85" t="b">
        <x:v>1</x:v>
      </x:c>
      <x:c r="K1612" s="85" t="b">
        <x:v>1</x:v>
      </x:c>
      <x:c r="L1612" s="56" t="str">
        <x:f>'Effects'!U11</x:f>
        <x:v>OK</x:v>
      </x:c>
      <x:c r="M1612" s="44" t="str">
        <x:v>Источник Effects.Modifier Stat 1</x:v>
      </x:c>
    </x:row>
    <x:row r="1613" ht="36" customHeight="1">
      <x:c r="A1613" s="118" t="n">
        <x:v>1608</x:v>
      </x:c>
      <x:c r="B1613" s="35" t="str">
        <x:v>effect</x:v>
      </x:c>
      <x:c r="C1613" s="35" t="str">
        <x:v>effect_exposed</x:v>
      </x:c>
      <x:c r="D1613" s="35" t="str">
        <x:v>operation1</x:v>
      </x:c>
      <x:c r="E1613" s="38" t="str">
        <x:v>string</x:v>
      </x:c>
      <x:c r="F1613" s="56" t="str">
        <x:f>'Effects'!J11</x:f>
        <x:v>Multiply</x:v>
      </x:c>
      <x:c r="G1613" s="38" t="str"/>
      <x:c r="H1613" s="35" t="str">
        <x:v>Effects</x:v>
      </x:c>
      <x:c r="I1613" s="35" t="str">
        <x:v>J11</x:v>
      </x:c>
      <x:c r="J1613" s="85" t="b">
        <x:v>1</x:v>
      </x:c>
      <x:c r="K1613" s="85" t="b">
        <x:v>1</x:v>
      </x:c>
      <x:c r="L1613" s="56" t="str">
        <x:f>'Effects'!U11</x:f>
        <x:v>OK</x:v>
      </x:c>
      <x:c r="M1613" s="44" t="str">
        <x:v>Источник Effects.Operation 1</x:v>
      </x:c>
    </x:row>
    <x:row r="1614" ht="36" customHeight="1">
      <x:c r="A1614" s="118" t="n">
        <x:v>1609</x:v>
      </x:c>
      <x:c r="B1614" s="35" t="str">
        <x:v>effect</x:v>
      </x:c>
      <x:c r="C1614" s="35" t="str">
        <x:v>effect_exposed</x:v>
      </x:c>
      <x:c r="D1614" s="35" t="str">
        <x:v>value1</x:v>
      </x:c>
      <x:c r="E1614" s="38" t="str">
        <x:v>int</x:v>
      </x:c>
      <x:c r="F1614" s="56" t="n">
        <x:f>'Effects'!K11</x:f>
        <x:v>1250</x:v>
      </x:c>
      <x:c r="G1614" s="38" t="str"/>
      <x:c r="H1614" s="35" t="str">
        <x:v>Effects</x:v>
      </x:c>
      <x:c r="I1614" s="35" t="str">
        <x:v>K11</x:v>
      </x:c>
      <x:c r="J1614" s="85" t="b">
        <x:v>1</x:v>
      </x:c>
      <x:c r="K1614" s="85" t="b">
        <x:v>1</x:v>
      </x:c>
      <x:c r="L1614" s="56" t="str">
        <x:f>'Effects'!U11</x:f>
        <x:v>OK</x:v>
      </x:c>
      <x:c r="M1614" s="44" t="str">
        <x:v>Источник Effects.Value 1</x:v>
      </x:c>
    </x:row>
    <x:row r="1615" ht="36" customHeight="1">
      <x:c r="A1615" s="118" t="n">
        <x:v>1610</x:v>
      </x:c>
      <x:c r="B1615" s="35" t="str">
        <x:v>effect</x:v>
      </x:c>
      <x:c r="C1615" s="35" t="str">
        <x:v>effect_exposed</x:v>
      </x:c>
      <x:c r="D1615" s="35" t="str">
        <x:v>modifier_stat2</x:v>
      </x:c>
      <x:c r="E1615" s="38" t="str">
        <x:v>string</x:v>
      </x:c>
      <x:c r="F1615" s="56" t="str">
        <x:f>'Effects'!L11</x:f>
        <x:v>PunishWeight</x:v>
      </x:c>
      <x:c r="G1615" s="38" t="str"/>
      <x:c r="H1615" s="35" t="str">
        <x:v>Effects</x:v>
      </x:c>
      <x:c r="I1615" s="35" t="str">
        <x:v>L11</x:v>
      </x:c>
      <x:c r="J1615" s="85" t="b">
        <x:v>0</x:v>
      </x:c>
      <x:c r="K1615" s="85" t="b">
        <x:v>1</x:v>
      </x:c>
      <x:c r="L1615" s="56" t="str">
        <x:f>'Effects'!U11</x:f>
        <x:v>OK</x:v>
      </x:c>
      <x:c r="M1615" s="44" t="str">
        <x:v>Источник Effects.Modifier Stat 2</x:v>
      </x:c>
    </x:row>
    <x:row r="1616" ht="36" customHeight="1">
      <x:c r="A1616" s="118" t="n">
        <x:v>1611</x:v>
      </x:c>
      <x:c r="B1616" s="35" t="str">
        <x:v>effect</x:v>
      </x:c>
      <x:c r="C1616" s="35" t="str">
        <x:v>effect_exposed</x:v>
      </x:c>
      <x:c r="D1616" s="35" t="str">
        <x:v>operation2</x:v>
      </x:c>
      <x:c r="E1616" s="38" t="str">
        <x:v>string</x:v>
      </x:c>
      <x:c r="F1616" s="56" t="str">
        <x:f>'Effects'!M11</x:f>
        <x:v>Multiply</x:v>
      </x:c>
      <x:c r="G1616" s="38" t="str"/>
      <x:c r="H1616" s="35" t="str">
        <x:v>Effects</x:v>
      </x:c>
      <x:c r="I1616" s="35" t="str">
        <x:v>M11</x:v>
      </x:c>
      <x:c r="J1616" s="85" t="b">
        <x:v>0</x:v>
      </x:c>
      <x:c r="K1616" s="85" t="b">
        <x:v>1</x:v>
      </x:c>
      <x:c r="L1616" s="56" t="str">
        <x:f>'Effects'!U11</x:f>
        <x:v>OK</x:v>
      </x:c>
      <x:c r="M1616" s="44" t="str">
        <x:v>Источник Effects.Operation 2</x:v>
      </x:c>
    </x:row>
    <x:row r="1617" ht="36" customHeight="1">
      <x:c r="A1617" s="118" t="n">
        <x:v>1612</x:v>
      </x:c>
      <x:c r="B1617" s="35" t="str">
        <x:v>effect</x:v>
      </x:c>
      <x:c r="C1617" s="35" t="str">
        <x:v>effect_exposed</x:v>
      </x:c>
      <x:c r="D1617" s="35" t="str">
        <x:v>value2</x:v>
      </x:c>
      <x:c r="E1617" s="38" t="str">
        <x:v>int</x:v>
      </x:c>
      <x:c r="F1617" s="56" t="n">
        <x:f>'Effects'!N11</x:f>
        <x:v>1400</x:v>
      </x:c>
      <x:c r="G1617" s="38" t="str"/>
      <x:c r="H1617" s="35" t="str">
        <x:v>Effects</x:v>
      </x:c>
      <x:c r="I1617" s="35" t="str">
        <x:v>N11</x:v>
      </x:c>
      <x:c r="J1617" s="85" t="b">
        <x:v>0</x:v>
      </x:c>
      <x:c r="K1617" s="85" t="b">
        <x:v>1</x:v>
      </x:c>
      <x:c r="L1617" s="56" t="str">
        <x:f>'Effects'!U11</x:f>
        <x:v>OK</x:v>
      </x:c>
      <x:c r="M1617" s="44" t="str">
        <x:v>Источник Effects.Value 2</x:v>
      </x:c>
    </x:row>
    <x:row r="1618" ht="36" customHeight="1">
      <x:c r="A1618" s="118" t="n">
        <x:v>1613</x:v>
      </x:c>
      <x:c r="B1618" s="35" t="str">
        <x:v>effect</x:v>
      </x:c>
      <x:c r="C1618" s="35" t="str">
        <x:v>effect_exposed</x:v>
      </x:c>
      <x:c r="D1618" s="35" t="str">
        <x:v>tags</x:v>
      </x:c>
      <x:c r="E1618" s="38" t="str">
        <x:v>string</x:v>
      </x:c>
      <x:c r="F1618" s="56" t="str">
        <x:f>'Effects'!O11</x:f>
        <x:v>debuff|exposed|punish</x:v>
      </x:c>
      <x:c r="G1618" s="38" t="str"/>
      <x:c r="H1618" s="35" t="str">
        <x:v>Effects</x:v>
      </x:c>
      <x:c r="I1618" s="35" t="str">
        <x:v>O11</x:v>
      </x:c>
      <x:c r="J1618" s="85" t="b">
        <x:v>1</x:v>
      </x:c>
      <x:c r="K1618" s="85" t="b">
        <x:v>1</x:v>
      </x:c>
      <x:c r="L1618" s="56" t="str">
        <x:f>'Effects'!U11</x:f>
        <x:v>OK</x:v>
      </x:c>
      <x:c r="M1618" s="44" t="str">
        <x:v>Источник Effects.Tags</x:v>
      </x:c>
    </x:row>
    <x:row r="1619" ht="36" customHeight="1">
      <x:c r="A1619" s="118" t="n">
        <x:v>1614</x:v>
      </x:c>
      <x:c r="B1619" s="35" t="str">
        <x:v>effect</x:v>
      </x:c>
      <x:c r="C1619" s="35" t="str">
        <x:v>effect_exposed</x:v>
      </x:c>
      <x:c r="D1619" s="35" t="str">
        <x:v>max_activations_per_tick</x:v>
      </x:c>
      <x:c r="E1619" s="38" t="str">
        <x:v>int</x:v>
      </x:c>
      <x:c r="F1619" s="56" t="n">
        <x:f>'Effects'!P11</x:f>
        <x:v>1</x:v>
      </x:c>
      <x:c r="G1619" s="38" t="str"/>
      <x:c r="H1619" s="35" t="str">
        <x:v>Effects</x:v>
      </x:c>
      <x:c r="I1619" s="35" t="str">
        <x:v>P11</x:v>
      </x:c>
      <x:c r="J1619" s="85" t="b">
        <x:v>1</x:v>
      </x:c>
      <x:c r="K1619" s="85" t="b">
        <x:v>1</x:v>
      </x:c>
      <x:c r="L1619" s="56" t="str">
        <x:f>'Effects'!U11</x:f>
        <x:v>OK</x:v>
      </x:c>
      <x:c r="M1619" s="44" t="str">
        <x:v>Источник Effects.Max Activations / Tick</x:v>
      </x:c>
    </x:row>
    <x:row r="1620" ht="36" customHeight="1">
      <x:c r="A1620" s="118" t="n">
        <x:v>1615</x:v>
      </x:c>
      <x:c r="B1620" s="35" t="str">
        <x:v>effect</x:v>
      </x:c>
      <x:c r="C1620" s="35" t="str">
        <x:v>effect_exposed</x:v>
      </x:c>
      <x:c r="D1620" s="35" t="str">
        <x:v>max_activations_per_battle</x:v>
      </x:c>
      <x:c r="E1620" s="38" t="str">
        <x:v>int</x:v>
      </x:c>
      <x:c r="F1620" s="56" t="n">
        <x:f>'Effects'!Q11</x:f>
        <x:v>99</x:v>
      </x:c>
      <x:c r="G1620" s="38" t="str"/>
      <x:c r="H1620" s="35" t="str">
        <x:v>Effects</x:v>
      </x:c>
      <x:c r="I1620" s="35" t="str">
        <x:v>Q11</x:v>
      </x:c>
      <x:c r="J1620" s="85" t="b">
        <x:v>1</x:v>
      </x:c>
      <x:c r="K1620" s="85" t="b">
        <x:v>1</x:v>
      </x:c>
      <x:c r="L1620" s="56" t="str">
        <x:f>'Effects'!U11</x:f>
        <x:v>OK</x:v>
      </x:c>
      <x:c r="M1620" s="44" t="str">
        <x:v>Источник Effects.Max Activations / Battle</x:v>
      </x:c>
    </x:row>
    <x:row r="1621" ht="36" customHeight="1">
      <x:c r="A1621" s="118" t="n">
        <x:v>1616</x:v>
      </x:c>
      <x:c r="B1621" s="35" t="str">
        <x:v>effect</x:v>
      </x:c>
      <x:c r="C1621" s="35" t="str">
        <x:v>effect_exposed</x:v>
      </x:c>
      <x:c r="D1621" s="35" t="str">
        <x:v>internal_cooldown_ticks</x:v>
      </x:c>
      <x:c r="E1621" s="38" t="str">
        <x:v>int</x:v>
      </x:c>
      <x:c r="F1621" s="56" t="n">
        <x:f>'Effects'!R11</x:f>
        <x:v>0</x:v>
      </x:c>
      <x:c r="G1621" s="38" t="str"/>
      <x:c r="H1621" s="35" t="str">
        <x:v>Effects</x:v>
      </x:c>
      <x:c r="I1621" s="35" t="str">
        <x:v>R11</x:v>
      </x:c>
      <x:c r="J1621" s="85" t="b">
        <x:v>1</x:v>
      </x:c>
      <x:c r="K1621" s="85" t="b">
        <x:v>1</x:v>
      </x:c>
      <x:c r="L1621" s="56" t="str">
        <x:f>'Effects'!U11</x:f>
        <x:v>OK</x:v>
      </x:c>
      <x:c r="M1621" s="44" t="str">
        <x:v>Источник Effects.Internal Cooldown Ticks</x:v>
      </x:c>
    </x:row>
    <x:row r="1622" ht="36" customHeight="1">
      <x:c r="A1622" s="118" t="n">
        <x:v>1617</x:v>
      </x:c>
      <x:c r="B1622" s="35" t="str">
        <x:v>effect</x:v>
      </x:c>
      <x:c r="C1622" s="35" t="str">
        <x:v>effect_exposed</x:v>
      </x:c>
      <x:c r="D1622" s="35" t="str">
        <x:v>lookup_profile</x:v>
      </x:c>
      <x:c r="E1622" s="38" t="str">
        <x:v>string</x:v>
      </x:c>
      <x:c r="F1622" s="56" t="str">
        <x:f>'Effects'!S11</x:f>
      </x:c>
      <x:c r="G1622" s="38" t="str"/>
      <x:c r="H1622" s="35" t="str">
        <x:v>Effects</x:v>
      </x:c>
      <x:c r="I1622" s="35" t="str">
        <x:v>S11</x:v>
      </x:c>
      <x:c r="J1622" s="85" t="b">
        <x:v>0</x:v>
      </x:c>
      <x:c r="K1622" s="85" t="b">
        <x:v>1</x:v>
      </x:c>
      <x:c r="L1622" s="56" t="str">
        <x:f>'Effects'!U11</x:f>
        <x:v>OK</x:v>
      </x:c>
      <x:c r="M1622" s="44" t="str">
        <x:v>Источник Effects.Lookup Profile</x:v>
      </x:c>
    </x:row>
    <x:row r="1623" ht="36" customHeight="1">
      <x:c r="A1623" s="118" t="n">
        <x:v>1618</x:v>
      </x:c>
      <x:c r="B1623" s="35" t="str">
        <x:v>effect</x:v>
      </x:c>
      <x:c r="C1623" s="35" t="str">
        <x:v>effect_control_fatigue</x:v>
      </x:c>
      <x:c r="D1623" s="35" t="str">
        <x:v>effect_id</x:v>
      </x:c>
      <x:c r="E1623" s="38" t="str">
        <x:v>string</x:v>
      </x:c>
      <x:c r="F1623" s="56" t="str">
        <x:f>'Effects'!A12</x:f>
        <x:v>effect_control_fatigue</x:v>
      </x:c>
      <x:c r="G1623" s="38" t="str"/>
      <x:c r="H1623" s="35" t="str">
        <x:v>Effects</x:v>
      </x:c>
      <x:c r="I1623" s="35" t="str">
        <x:v>A12</x:v>
      </x:c>
      <x:c r="J1623" s="85" t="b">
        <x:v>1</x:v>
      </x:c>
      <x:c r="K1623" s="85" t="b">
        <x:v>1</x:v>
      </x:c>
      <x:c r="L1623" s="56" t="str">
        <x:f>'Effects'!U12</x:f>
        <x:v>OK</x:v>
      </x:c>
      <x:c r="M1623" s="44" t="str">
        <x:v>Источник Effects.Effect ID</x:v>
      </x:c>
    </x:row>
    <x:row r="1624" ht="36" customHeight="1">
      <x:c r="A1624" s="118" t="n">
        <x:v>1619</x:v>
      </x:c>
      <x:c r="B1624" s="35" t="str">
        <x:v>effect</x:v>
      </x:c>
      <x:c r="C1624" s="35" t="str">
        <x:v>effect_control_fatigue</x:v>
      </x:c>
      <x:c r="D1624" s="35" t="str">
        <x:v>duration_ticks</x:v>
      </x:c>
      <x:c r="E1624" s="38" t="str">
        <x:v>int</x:v>
      </x:c>
      <x:c r="F1624" s="56" t="n">
        <x:f>'Effects'!C12</x:f>
        <x:v>100</x:v>
      </x:c>
      <x:c r="G1624" s="38" t="str"/>
      <x:c r="H1624" s="35" t="str">
        <x:v>Effects</x:v>
      </x:c>
      <x:c r="I1624" s="35" t="str">
        <x:v>C12</x:v>
      </x:c>
      <x:c r="J1624" s="85" t="b">
        <x:v>1</x:v>
      </x:c>
      <x:c r="K1624" s="85" t="b">
        <x:v>1</x:v>
      </x:c>
      <x:c r="L1624" s="56" t="str">
        <x:f>'Effects'!U12</x:f>
        <x:v>OK</x:v>
      </x:c>
      <x:c r="M1624" s="44" t="str">
        <x:v>Источник Effects.Duration Ticks</x:v>
      </x:c>
    </x:row>
    <x:row r="1625" ht="36" customHeight="1">
      <x:c r="A1625" s="118" t="n">
        <x:v>1620</x:v>
      </x:c>
      <x:c r="B1625" s="35" t="str">
        <x:v>effect</x:v>
      </x:c>
      <x:c r="C1625" s="35" t="str">
        <x:v>effect_control_fatigue</x:v>
      </x:c>
      <x:c r="D1625" s="35" t="str">
        <x:v>expiry_boundary</x:v>
      </x:c>
      <x:c r="E1625" s="38" t="str">
        <x:v>string</x:v>
      </x:c>
      <x:c r="F1625" s="56" t="str">
        <x:f>'Effects'!D12</x:f>
        <x:v>ExpireAfterTick</x:v>
      </x:c>
      <x:c r="G1625" s="38" t="str"/>
      <x:c r="H1625" s="35" t="str">
        <x:v>Effects</x:v>
      </x:c>
      <x:c r="I1625" s="35" t="str">
        <x:v>D12</x:v>
      </x:c>
      <x:c r="J1625" s="85" t="b">
        <x:v>1</x:v>
      </x:c>
      <x:c r="K1625" s="85" t="b">
        <x:v>1</x:v>
      </x:c>
      <x:c r="L1625" s="56" t="str">
        <x:f>'Effects'!U12</x:f>
        <x:v>OK</x:v>
      </x:c>
      <x:c r="M1625" s="44" t="str">
        <x:v>Источник Effects.Expiry Boundary</x:v>
      </x:c>
    </x:row>
    <x:row r="1626" ht="36" customHeight="1">
      <x:c r="A1626" s="118" t="n">
        <x:v>1621</x:v>
      </x:c>
      <x:c r="B1626" s="35" t="str">
        <x:v>effect</x:v>
      </x:c>
      <x:c r="C1626" s="35" t="str">
        <x:v>effect_control_fatigue</x:v>
      </x:c>
      <x:c r="D1626" s="35" t="str">
        <x:v>stack_group</x:v>
      </x:c>
      <x:c r="E1626" s="38" t="str">
        <x:v>string</x:v>
      </x:c>
      <x:c r="F1626" s="56" t="str">
        <x:f>'Effects'!E12</x:f>
        <x:v>control_fatigue</x:v>
      </x:c>
      <x:c r="G1626" s="38" t="str"/>
      <x:c r="H1626" s="35" t="str">
        <x:v>Effects</x:v>
      </x:c>
      <x:c r="I1626" s="35" t="str">
        <x:v>E12</x:v>
      </x:c>
      <x:c r="J1626" s="85" t="b">
        <x:v>1</x:v>
      </x:c>
      <x:c r="K1626" s="85" t="b">
        <x:v>1</x:v>
      </x:c>
      <x:c r="L1626" s="56" t="str">
        <x:f>'Effects'!U12</x:f>
        <x:v>OK</x:v>
      </x:c>
      <x:c r="M1626" s="44" t="str">
        <x:v>Источник Effects.Stack Group</x:v>
      </x:c>
    </x:row>
    <x:row r="1627" ht="36" customHeight="1">
      <x:c r="A1627" s="118" t="n">
        <x:v>1622</x:v>
      </x:c>
      <x:c r="B1627" s="35" t="str">
        <x:v>effect</x:v>
      </x:c>
      <x:c r="C1627" s="35" t="str">
        <x:v>effect_control_fatigue</x:v>
      </x:c>
      <x:c r="D1627" s="35" t="str">
        <x:v>stack_policy</x:v>
      </x:c>
      <x:c r="E1627" s="38" t="str">
        <x:v>string</x:v>
      </x:c>
      <x:c r="F1627" s="56" t="str">
        <x:f>'Effects'!F12</x:f>
        <x:v>AddStacks</x:v>
      </x:c>
      <x:c r="G1627" s="38" t="str"/>
      <x:c r="H1627" s="35" t="str">
        <x:v>Effects</x:v>
      </x:c>
      <x:c r="I1627" s="35" t="str">
        <x:v>F12</x:v>
      </x:c>
      <x:c r="J1627" s="85" t="b">
        <x:v>1</x:v>
      </x:c>
      <x:c r="K1627" s="85" t="b">
        <x:v>1</x:v>
      </x:c>
      <x:c r="L1627" s="56" t="str">
        <x:f>'Effects'!U12</x:f>
        <x:v>OK</x:v>
      </x:c>
      <x:c r="M1627" s="44" t="str">
        <x:v>Источник Effects.Stack Policy</x:v>
      </x:c>
    </x:row>
    <x:row r="1628" ht="36" customHeight="1">
      <x:c r="A1628" s="118" t="n">
        <x:v>1623</x:v>
      </x:c>
      <x:c r="B1628" s="35" t="str">
        <x:v>effect</x:v>
      </x:c>
      <x:c r="C1628" s="35" t="str">
        <x:v>effect_control_fatigue</x:v>
      </x:c>
      <x:c r="D1628" s="35" t="str">
        <x:v>stack_cap</x:v>
      </x:c>
      <x:c r="E1628" s="38" t="str">
        <x:v>int</x:v>
      </x:c>
      <x:c r="F1628" s="56" t="n">
        <x:f>'Effects'!G12</x:f>
        <x:v>3</x:v>
      </x:c>
      <x:c r="G1628" s="38" t="str"/>
      <x:c r="H1628" s="35" t="str">
        <x:v>Effects</x:v>
      </x:c>
      <x:c r="I1628" s="35" t="str">
        <x:v>G12</x:v>
      </x:c>
      <x:c r="J1628" s="85" t="b">
        <x:v>1</x:v>
      </x:c>
      <x:c r="K1628" s="85" t="b">
        <x:v>1</x:v>
      </x:c>
      <x:c r="L1628" s="56" t="str">
        <x:f>'Effects'!U12</x:f>
        <x:v>OK</x:v>
      </x:c>
      <x:c r="M1628" s="44" t="str">
        <x:v>Источник Effects.Stack Cap</x:v>
      </x:c>
    </x:row>
    <x:row r="1629" ht="36" customHeight="1">
      <x:c r="A1629" s="118" t="n">
        <x:v>1624</x:v>
      </x:c>
      <x:c r="B1629" s="35" t="str">
        <x:v>effect</x:v>
      </x:c>
      <x:c r="C1629" s="35" t="str">
        <x:v>effect_control_fatigue</x:v>
      </x:c>
      <x:c r="D1629" s="35" t="str">
        <x:v>compare_key</x:v>
      </x:c>
      <x:c r="E1629" s="38" t="str">
        <x:v>string</x:v>
      </x:c>
      <x:c r="F1629" s="56" t="str">
        <x:f>'Effects'!H12</x:f>
        <x:v>StackCount</x:v>
      </x:c>
      <x:c r="G1629" s="38" t="str"/>
      <x:c r="H1629" s="35" t="str">
        <x:v>Effects</x:v>
      </x:c>
      <x:c r="I1629" s="35" t="str">
        <x:v>H12</x:v>
      </x:c>
      <x:c r="J1629" s="85" t="b">
        <x:v>1</x:v>
      </x:c>
      <x:c r="K1629" s="85" t="b">
        <x:v>1</x:v>
      </x:c>
      <x:c r="L1629" s="56" t="str">
        <x:f>'Effects'!U12</x:f>
        <x:v>OK</x:v>
      </x:c>
      <x:c r="M1629" s="44" t="str">
        <x:v>Источник Effects.Compare Key</x:v>
      </x:c>
    </x:row>
    <x:row r="1630" ht="36" customHeight="1">
      <x:c r="A1630" s="118" t="n">
        <x:v>1625</x:v>
      </x:c>
      <x:c r="B1630" s="35" t="str">
        <x:v>effect</x:v>
      </x:c>
      <x:c r="C1630" s="35" t="str">
        <x:v>effect_control_fatigue</x:v>
      </x:c>
      <x:c r="D1630" s="35" t="str">
        <x:v>modifier_stat1</x:v>
      </x:c>
      <x:c r="E1630" s="38" t="str">
        <x:v>string</x:v>
      </x:c>
      <x:c r="F1630" s="56" t="str">
        <x:f>'Effects'!I12</x:f>
        <x:v>HardControlDuration</x:v>
      </x:c>
      <x:c r="G1630" s="38" t="str"/>
      <x:c r="H1630" s="35" t="str">
        <x:v>Effects</x:v>
      </x:c>
      <x:c r="I1630" s="35" t="str">
        <x:v>I12</x:v>
      </x:c>
      <x:c r="J1630" s="85" t="b">
        <x:v>1</x:v>
      </x:c>
      <x:c r="K1630" s="85" t="b">
        <x:v>1</x:v>
      </x:c>
      <x:c r="L1630" s="56" t="str">
        <x:f>'Effects'!U12</x:f>
        <x:v>OK</x:v>
      </x:c>
      <x:c r="M1630" s="44" t="str">
        <x:v>Источник Effects.Modifier Stat 1</x:v>
      </x:c>
    </x:row>
    <x:row r="1631" ht="36" customHeight="1">
      <x:c r="A1631" s="118" t="n">
        <x:v>1626</x:v>
      </x:c>
      <x:c r="B1631" s="35" t="str">
        <x:v>effect</x:v>
      </x:c>
      <x:c r="C1631" s="35" t="str">
        <x:v>effect_control_fatigue</x:v>
      </x:c>
      <x:c r="D1631" s="35" t="str">
        <x:v>operation1</x:v>
      </x:c>
      <x:c r="E1631" s="38" t="str">
        <x:v>string</x:v>
      </x:c>
      <x:c r="F1631" s="56" t="str">
        <x:f>'Effects'!J12</x:f>
        <x:v>Multiply</x:v>
      </x:c>
      <x:c r="G1631" s="38" t="str"/>
      <x:c r="H1631" s="35" t="str">
        <x:v>Effects</x:v>
      </x:c>
      <x:c r="I1631" s="35" t="str">
        <x:v>J12</x:v>
      </x:c>
      <x:c r="J1631" s="85" t="b">
        <x:v>1</x:v>
      </x:c>
      <x:c r="K1631" s="85" t="b">
        <x:v>1</x:v>
      </x:c>
      <x:c r="L1631" s="56" t="str">
        <x:f>'Effects'!U12</x:f>
        <x:v>OK</x:v>
      </x:c>
      <x:c r="M1631" s="44" t="str">
        <x:v>Источник Effects.Operation 1</x:v>
      </x:c>
    </x:row>
    <x:row r="1632" ht="36" customHeight="1">
      <x:c r="A1632" s="118" t="n">
        <x:v>1627</x:v>
      </x:c>
      <x:c r="B1632" s="35" t="str">
        <x:v>effect</x:v>
      </x:c>
      <x:c r="C1632" s="35" t="str">
        <x:v>effect_control_fatigue</x:v>
      </x:c>
      <x:c r="D1632" s="35" t="str">
        <x:v>value1</x:v>
      </x:c>
      <x:c r="E1632" s="38" t="str">
        <x:v>int</x:v>
      </x:c>
      <x:c r="F1632" s="56" t="n">
        <x:f>'Effects'!K12</x:f>
        <x:v>1000</x:v>
      </x:c>
      <x:c r="G1632" s="38" t="str"/>
      <x:c r="H1632" s="35" t="str">
        <x:v>Effects</x:v>
      </x:c>
      <x:c r="I1632" s="35" t="str">
        <x:v>K12</x:v>
      </x:c>
      <x:c r="J1632" s="85" t="b">
        <x:v>1</x:v>
      </x:c>
      <x:c r="K1632" s="85" t="b">
        <x:v>1</x:v>
      </x:c>
      <x:c r="L1632" s="56" t="str">
        <x:f>'Effects'!U12</x:f>
        <x:v>OK</x:v>
      </x:c>
      <x:c r="M1632" s="44" t="str">
        <x:v>Источник Effects.Value 1</x:v>
      </x:c>
    </x:row>
    <x:row r="1633" ht="36" customHeight="1">
      <x:c r="A1633" s="118" t="n">
        <x:v>1628</x:v>
      </x:c>
      <x:c r="B1633" s="35" t="str">
        <x:v>effect</x:v>
      </x:c>
      <x:c r="C1633" s="35" t="str">
        <x:v>effect_control_fatigue</x:v>
      </x:c>
      <x:c r="D1633" s="35" t="str">
        <x:v>modifier_stat2</x:v>
      </x:c>
      <x:c r="E1633" s="38" t="str">
        <x:v>string</x:v>
      </x:c>
      <x:c r="F1633" s="56" t="str">
        <x:f>'Effects'!L12</x:f>
      </x:c>
      <x:c r="G1633" s="38" t="str"/>
      <x:c r="H1633" s="35" t="str">
        <x:v>Effects</x:v>
      </x:c>
      <x:c r="I1633" s="35" t="str">
        <x:v>L12</x:v>
      </x:c>
      <x:c r="J1633" s="85" t="b">
        <x:v>0</x:v>
      </x:c>
      <x:c r="K1633" s="85" t="b">
        <x:v>1</x:v>
      </x:c>
      <x:c r="L1633" s="56" t="str">
        <x:f>'Effects'!U12</x:f>
        <x:v>OK</x:v>
      </x:c>
      <x:c r="M1633" s="44" t="str">
        <x:v>Источник Effects.Modifier Stat 2</x:v>
      </x:c>
    </x:row>
    <x:row r="1634" ht="36" customHeight="1">
      <x:c r="A1634" s="118" t="n">
        <x:v>1629</x:v>
      </x:c>
      <x:c r="B1634" s="35" t="str">
        <x:v>effect</x:v>
      </x:c>
      <x:c r="C1634" s="35" t="str">
        <x:v>effect_control_fatigue</x:v>
      </x:c>
      <x:c r="D1634" s="35" t="str">
        <x:v>operation2</x:v>
      </x:c>
      <x:c r="E1634" s="38" t="str">
        <x:v>string</x:v>
      </x:c>
      <x:c r="F1634" s="56" t="str">
        <x:f>'Effects'!M12</x:f>
        <x:v>Override</x:v>
      </x:c>
      <x:c r="G1634" s="38" t="str"/>
      <x:c r="H1634" s="35" t="str">
        <x:v>Effects</x:v>
      </x:c>
      <x:c r="I1634" s="35" t="str">
        <x:v>M12</x:v>
      </x:c>
      <x:c r="J1634" s="85" t="b">
        <x:v>0</x:v>
      </x:c>
      <x:c r="K1634" s="85" t="b">
        <x:v>1</x:v>
      </x:c>
      <x:c r="L1634" s="56" t="str">
        <x:f>'Effects'!U12</x:f>
        <x:v>OK</x:v>
      </x:c>
      <x:c r="M1634" s="44" t="str">
        <x:v>Источник Effects.Operation 2</x:v>
      </x:c>
    </x:row>
    <x:row r="1635" ht="36" customHeight="1">
      <x:c r="A1635" s="118" t="n">
        <x:v>1630</x:v>
      </x:c>
      <x:c r="B1635" s="35" t="str">
        <x:v>effect</x:v>
      </x:c>
      <x:c r="C1635" s="35" t="str">
        <x:v>effect_control_fatigue</x:v>
      </x:c>
      <x:c r="D1635" s="35" t="str">
        <x:v>value2</x:v>
      </x:c>
      <x:c r="E1635" s="38" t="str">
        <x:v>int</x:v>
      </x:c>
      <x:c r="F1635" s="56" t="n">
        <x:f>'Effects'!N12</x:f>
        <x:v>0</x:v>
      </x:c>
      <x:c r="G1635" s="38" t="str"/>
      <x:c r="H1635" s="35" t="str">
        <x:v>Effects</x:v>
      </x:c>
      <x:c r="I1635" s="35" t="str">
        <x:v>N12</x:v>
      </x:c>
      <x:c r="J1635" s="85" t="b">
        <x:v>0</x:v>
      </x:c>
      <x:c r="K1635" s="85" t="b">
        <x:v>1</x:v>
      </x:c>
      <x:c r="L1635" s="56" t="str">
        <x:f>'Effects'!U12</x:f>
        <x:v>OK</x:v>
      </x:c>
      <x:c r="M1635" s="44" t="str">
        <x:v>Источник Effects.Value 2</x:v>
      </x:c>
    </x:row>
    <x:row r="1636" ht="36" customHeight="1">
      <x:c r="A1636" s="118" t="n">
        <x:v>1631</x:v>
      </x:c>
      <x:c r="B1636" s="35" t="str">
        <x:v>effect</x:v>
      </x:c>
      <x:c r="C1636" s="35" t="str">
        <x:v>effect_control_fatigue</x:v>
      </x:c>
      <x:c r="D1636" s="35" t="str">
        <x:v>tags</x:v>
      </x:c>
      <x:c r="E1636" s="38" t="str">
        <x:v>string</x:v>
      </x:c>
      <x:c r="F1636" s="56" t="str">
        <x:f>'Effects'!O12</x:f>
        <x:v>debuff|hard_control|anti_loop</x:v>
      </x:c>
      <x:c r="G1636" s="38" t="str"/>
      <x:c r="H1636" s="35" t="str">
        <x:v>Effects</x:v>
      </x:c>
      <x:c r="I1636" s="35" t="str">
        <x:v>O12</x:v>
      </x:c>
      <x:c r="J1636" s="85" t="b">
        <x:v>1</x:v>
      </x:c>
      <x:c r="K1636" s="85" t="b">
        <x:v>1</x:v>
      </x:c>
      <x:c r="L1636" s="56" t="str">
        <x:f>'Effects'!U12</x:f>
        <x:v>OK</x:v>
      </x:c>
      <x:c r="M1636" s="44" t="str">
        <x:v>Источник Effects.Tags</x:v>
      </x:c>
    </x:row>
    <x:row r="1637" ht="36" customHeight="1">
      <x:c r="A1637" s="118" t="n">
        <x:v>1632</x:v>
      </x:c>
      <x:c r="B1637" s="35" t="str">
        <x:v>effect</x:v>
      </x:c>
      <x:c r="C1637" s="35" t="str">
        <x:v>effect_control_fatigue</x:v>
      </x:c>
      <x:c r="D1637" s="35" t="str">
        <x:v>max_activations_per_tick</x:v>
      </x:c>
      <x:c r="E1637" s="38" t="str">
        <x:v>int</x:v>
      </x:c>
      <x:c r="F1637" s="56" t="n">
        <x:f>'Effects'!P12</x:f>
        <x:v>1</x:v>
      </x:c>
      <x:c r="G1637" s="38" t="str"/>
      <x:c r="H1637" s="35" t="str">
        <x:v>Effects</x:v>
      </x:c>
      <x:c r="I1637" s="35" t="str">
        <x:v>P12</x:v>
      </x:c>
      <x:c r="J1637" s="85" t="b">
        <x:v>1</x:v>
      </x:c>
      <x:c r="K1637" s="85" t="b">
        <x:v>1</x:v>
      </x:c>
      <x:c r="L1637" s="56" t="str">
        <x:f>'Effects'!U12</x:f>
        <x:v>OK</x:v>
      </x:c>
      <x:c r="M1637" s="44" t="str">
        <x:v>Источник Effects.Max Activations / Tick</x:v>
      </x:c>
    </x:row>
    <x:row r="1638" ht="36" customHeight="1">
      <x:c r="A1638" s="118" t="n">
        <x:v>1633</x:v>
      </x:c>
      <x:c r="B1638" s="35" t="str">
        <x:v>effect</x:v>
      </x:c>
      <x:c r="C1638" s="35" t="str">
        <x:v>effect_control_fatigue</x:v>
      </x:c>
      <x:c r="D1638" s="35" t="str">
        <x:v>max_activations_per_battle</x:v>
      </x:c>
      <x:c r="E1638" s="38" t="str">
        <x:v>int</x:v>
      </x:c>
      <x:c r="F1638" s="56" t="n">
        <x:f>'Effects'!Q12</x:f>
        <x:v>999</x:v>
      </x:c>
      <x:c r="G1638" s="38" t="str"/>
      <x:c r="H1638" s="35" t="str">
        <x:v>Effects</x:v>
      </x:c>
      <x:c r="I1638" s="35" t="str">
        <x:v>Q12</x:v>
      </x:c>
      <x:c r="J1638" s="85" t="b">
        <x:v>1</x:v>
      </x:c>
      <x:c r="K1638" s="85" t="b">
        <x:v>1</x:v>
      </x:c>
      <x:c r="L1638" s="56" t="str">
        <x:f>'Effects'!U12</x:f>
        <x:v>OK</x:v>
      </x:c>
      <x:c r="M1638" s="44" t="str">
        <x:v>Источник Effects.Max Activations / Battle</x:v>
      </x:c>
    </x:row>
    <x:row r="1639" ht="36" customHeight="1">
      <x:c r="A1639" s="118" t="n">
        <x:v>1634</x:v>
      </x:c>
      <x:c r="B1639" s="35" t="str">
        <x:v>effect</x:v>
      </x:c>
      <x:c r="C1639" s="35" t="str">
        <x:v>effect_control_fatigue</x:v>
      </x:c>
      <x:c r="D1639" s="35" t="str">
        <x:v>internal_cooldown_ticks</x:v>
      </x:c>
      <x:c r="E1639" s="38" t="str">
        <x:v>int</x:v>
      </x:c>
      <x:c r="F1639" s="56" t="n">
        <x:f>'Effects'!R12</x:f>
        <x:v>0</x:v>
      </x:c>
      <x:c r="G1639" s="38" t="str"/>
      <x:c r="H1639" s="35" t="str">
        <x:v>Effects</x:v>
      </x:c>
      <x:c r="I1639" s="35" t="str">
        <x:v>R12</x:v>
      </x:c>
      <x:c r="J1639" s="85" t="b">
        <x:v>1</x:v>
      </x:c>
      <x:c r="K1639" s="85" t="b">
        <x:v>1</x:v>
      </x:c>
      <x:c r="L1639" s="56" t="str">
        <x:f>'Effects'!U12</x:f>
        <x:v>OK</x:v>
      </x:c>
      <x:c r="M1639" s="44" t="str">
        <x:v>Источник Effects.Internal Cooldown Ticks</x:v>
      </x:c>
    </x:row>
    <x:row r="1640" ht="36" customHeight="1">
      <x:c r="A1640" s="118" t="n">
        <x:v>1635</x:v>
      </x:c>
      <x:c r="B1640" s="35" t="str">
        <x:v>effect</x:v>
      </x:c>
      <x:c r="C1640" s="35" t="str">
        <x:v>effect_control_fatigue</x:v>
      </x:c>
      <x:c r="D1640" s="35" t="str">
        <x:v>lookup_profile</x:v>
      </x:c>
      <x:c r="E1640" s="38" t="str">
        <x:v>string</x:v>
      </x:c>
      <x:c r="F1640" s="56" t="str">
        <x:f>'Effects'!S12</x:f>
        <x:v>1000|750|500|250</x:v>
      </x:c>
      <x:c r="G1640" s="38" t="str"/>
      <x:c r="H1640" s="35" t="str">
        <x:v>Effects</x:v>
      </x:c>
      <x:c r="I1640" s="35" t="str">
        <x:v>S12</x:v>
      </x:c>
      <x:c r="J1640" s="85" t="b">
        <x:v>0</x:v>
      </x:c>
      <x:c r="K1640" s="85" t="b">
        <x:v>1</x:v>
      </x:c>
      <x:c r="L1640" s="56" t="str">
        <x:f>'Effects'!U12</x:f>
        <x:v>OK</x:v>
      </x:c>
      <x:c r="M1640" s="44" t="str">
        <x:v>Источник Effects.Lookup Profile</x:v>
      </x:c>
    </x:row>
    <x:row r="1641" ht="36" customHeight="1">
      <x:c r="A1641" s="118" t="n">
        <x:v>1636</x:v>
      </x:c>
      <x:c r="B1641" s="35" t="str">
        <x:v>effect</x:v>
      </x:c>
      <x:c r="C1641" s="35" t="str">
        <x:v>effect_control_immunity</x:v>
      </x:c>
      <x:c r="D1641" s="35" t="str">
        <x:v>effect_id</x:v>
      </x:c>
      <x:c r="E1641" s="38" t="str">
        <x:v>string</x:v>
      </x:c>
      <x:c r="F1641" s="56" t="str">
        <x:f>'Effects'!A13</x:f>
        <x:v>effect_control_immunity</x:v>
      </x:c>
      <x:c r="G1641" s="38" t="str"/>
      <x:c r="H1641" s="35" t="str">
        <x:v>Effects</x:v>
      </x:c>
      <x:c r="I1641" s="35" t="str">
        <x:v>A13</x:v>
      </x:c>
      <x:c r="J1641" s="85" t="b">
        <x:v>1</x:v>
      </x:c>
      <x:c r="K1641" s="85" t="b">
        <x:v>1</x:v>
      </x:c>
      <x:c r="L1641" s="56" t="str">
        <x:f>'Effects'!U13</x:f>
        <x:v>OK</x:v>
      </x:c>
      <x:c r="M1641" s="44" t="str">
        <x:v>Источник Effects.Effect ID</x:v>
      </x:c>
    </x:row>
    <x:row r="1642" ht="36" customHeight="1">
      <x:c r="A1642" s="118" t="n">
        <x:v>1637</x:v>
      </x:c>
      <x:c r="B1642" s="35" t="str">
        <x:v>effect</x:v>
      </x:c>
      <x:c r="C1642" s="35" t="str">
        <x:v>effect_control_immunity</x:v>
      </x:c>
      <x:c r="D1642" s="35" t="str">
        <x:v>duration_ticks</x:v>
      </x:c>
      <x:c r="E1642" s="38" t="str">
        <x:v>int</x:v>
      </x:c>
      <x:c r="F1642" s="56" t="n">
        <x:f>'Effects'!C13</x:f>
        <x:v>25</x:v>
      </x:c>
      <x:c r="G1642" s="38" t="str"/>
      <x:c r="H1642" s="35" t="str">
        <x:v>Effects</x:v>
      </x:c>
      <x:c r="I1642" s="35" t="str">
        <x:v>C13</x:v>
      </x:c>
      <x:c r="J1642" s="85" t="b">
        <x:v>1</x:v>
      </x:c>
      <x:c r="K1642" s="85" t="b">
        <x:v>1</x:v>
      </x:c>
      <x:c r="L1642" s="56" t="str">
        <x:f>'Effects'!U13</x:f>
        <x:v>OK</x:v>
      </x:c>
      <x:c r="M1642" s="44" t="str">
        <x:v>Источник Effects.Duration Ticks</x:v>
      </x:c>
    </x:row>
    <x:row r="1643" ht="36" customHeight="1">
      <x:c r="A1643" s="118" t="n">
        <x:v>1638</x:v>
      </x:c>
      <x:c r="B1643" s="35" t="str">
        <x:v>effect</x:v>
      </x:c>
      <x:c r="C1643" s="35" t="str">
        <x:v>effect_control_immunity</x:v>
      </x:c>
      <x:c r="D1643" s="35" t="str">
        <x:v>expiry_boundary</x:v>
      </x:c>
      <x:c r="E1643" s="38" t="str">
        <x:v>string</x:v>
      </x:c>
      <x:c r="F1643" s="56" t="str">
        <x:f>'Effects'!D13</x:f>
        <x:v>ExpireAfterTick</x:v>
      </x:c>
      <x:c r="G1643" s="38" t="str"/>
      <x:c r="H1643" s="35" t="str">
        <x:v>Effects</x:v>
      </x:c>
      <x:c r="I1643" s="35" t="str">
        <x:v>D13</x:v>
      </x:c>
      <x:c r="J1643" s="85" t="b">
        <x:v>1</x:v>
      </x:c>
      <x:c r="K1643" s="85" t="b">
        <x:v>1</x:v>
      </x:c>
      <x:c r="L1643" s="56" t="str">
        <x:f>'Effects'!U13</x:f>
        <x:v>OK</x:v>
      </x:c>
      <x:c r="M1643" s="44" t="str">
        <x:v>Источник Effects.Expiry Boundary</x:v>
      </x:c>
    </x:row>
    <x:row r="1644" ht="36" customHeight="1">
      <x:c r="A1644" s="118" t="n">
        <x:v>1639</x:v>
      </x:c>
      <x:c r="B1644" s="35" t="str">
        <x:v>effect</x:v>
      </x:c>
      <x:c r="C1644" s="35" t="str">
        <x:v>effect_control_immunity</x:v>
      </x:c>
      <x:c r="D1644" s="35" t="str">
        <x:v>stack_group</x:v>
      </x:c>
      <x:c r="E1644" s="38" t="str">
        <x:v>string</x:v>
      </x:c>
      <x:c r="F1644" s="56" t="str">
        <x:f>'Effects'!E13</x:f>
        <x:v>control_immunity</x:v>
      </x:c>
      <x:c r="G1644" s="38" t="str"/>
      <x:c r="H1644" s="35" t="str">
        <x:v>Effects</x:v>
      </x:c>
      <x:c r="I1644" s="35" t="str">
        <x:v>E13</x:v>
      </x:c>
      <x:c r="J1644" s="85" t="b">
        <x:v>1</x:v>
      </x:c>
      <x:c r="K1644" s="85" t="b">
        <x:v>1</x:v>
      </x:c>
      <x:c r="L1644" s="56" t="str">
        <x:f>'Effects'!U13</x:f>
        <x:v>OK</x:v>
      </x:c>
      <x:c r="M1644" s="44" t="str">
        <x:v>Источник Effects.Stack Group</x:v>
      </x:c>
    </x:row>
    <x:row r="1645" ht="36" customHeight="1">
      <x:c r="A1645" s="118" t="n">
        <x:v>1640</x:v>
      </x:c>
      <x:c r="B1645" s="35" t="str">
        <x:v>effect</x:v>
      </x:c>
      <x:c r="C1645" s="35" t="str">
        <x:v>effect_control_immunity</x:v>
      </x:c>
      <x:c r="D1645" s="35" t="str">
        <x:v>stack_policy</x:v>
      </x:c>
      <x:c r="E1645" s="38" t="str">
        <x:v>string</x:v>
      </x:c>
      <x:c r="F1645" s="56" t="str">
        <x:f>'Effects'!F13</x:f>
        <x:v>Reject</x:v>
      </x:c>
      <x:c r="G1645" s="38" t="str"/>
      <x:c r="H1645" s="35" t="str">
        <x:v>Effects</x:v>
      </x:c>
      <x:c r="I1645" s="35" t="str">
        <x:v>F13</x:v>
      </x:c>
      <x:c r="J1645" s="85" t="b">
        <x:v>1</x:v>
      </x:c>
      <x:c r="K1645" s="85" t="b">
        <x:v>1</x:v>
      </x:c>
      <x:c r="L1645" s="56" t="str">
        <x:f>'Effects'!U13</x:f>
        <x:v>OK</x:v>
      </x:c>
      <x:c r="M1645" s="44" t="str">
        <x:v>Источник Effects.Stack Policy</x:v>
      </x:c>
    </x:row>
    <x:row r="1646" ht="36" customHeight="1">
      <x:c r="A1646" s="118" t="n">
        <x:v>1641</x:v>
      </x:c>
      <x:c r="B1646" s="35" t="str">
        <x:v>effect</x:v>
      </x:c>
      <x:c r="C1646" s="35" t="str">
        <x:v>effect_control_immunity</x:v>
      </x:c>
      <x:c r="D1646" s="35" t="str">
        <x:v>stack_cap</x:v>
      </x:c>
      <x:c r="E1646" s="38" t="str">
        <x:v>int</x:v>
      </x:c>
      <x:c r="F1646" s="56" t="n">
        <x:f>'Effects'!G13</x:f>
        <x:v>1</x:v>
      </x:c>
      <x:c r="G1646" s="38" t="str"/>
      <x:c r="H1646" s="35" t="str">
        <x:v>Effects</x:v>
      </x:c>
      <x:c r="I1646" s="35" t="str">
        <x:v>G13</x:v>
      </x:c>
      <x:c r="J1646" s="85" t="b">
        <x:v>1</x:v>
      </x:c>
      <x:c r="K1646" s="85" t="b">
        <x:v>1</x:v>
      </x:c>
      <x:c r="L1646" s="56" t="str">
        <x:f>'Effects'!U13</x:f>
        <x:v>OK</x:v>
      </x:c>
      <x:c r="M1646" s="44" t="str">
        <x:v>Источник Effects.Stack Cap</x:v>
      </x:c>
    </x:row>
    <x:row r="1647" ht="36" customHeight="1">
      <x:c r="A1647" s="118" t="n">
        <x:v>1642</x:v>
      </x:c>
      <x:c r="B1647" s="35" t="str">
        <x:v>effect</x:v>
      </x:c>
      <x:c r="C1647" s="35" t="str">
        <x:v>effect_control_immunity</x:v>
      </x:c>
      <x:c r="D1647" s="35" t="str">
        <x:v>compare_key</x:v>
      </x:c>
      <x:c r="E1647" s="38" t="str">
        <x:v>string</x:v>
      </x:c>
      <x:c r="F1647" s="56" t="str">
        <x:f>'Effects'!H13</x:f>
        <x:v>DurationTicks</x:v>
      </x:c>
      <x:c r="G1647" s="38" t="str"/>
      <x:c r="H1647" s="35" t="str">
        <x:v>Effects</x:v>
      </x:c>
      <x:c r="I1647" s="35" t="str">
        <x:v>H13</x:v>
      </x:c>
      <x:c r="J1647" s="85" t="b">
        <x:v>1</x:v>
      </x:c>
      <x:c r="K1647" s="85" t="b">
        <x:v>1</x:v>
      </x:c>
      <x:c r="L1647" s="56" t="str">
        <x:f>'Effects'!U13</x:f>
        <x:v>OK</x:v>
      </x:c>
      <x:c r="M1647" s="44" t="str">
        <x:v>Источник Effects.Compare Key</x:v>
      </x:c>
    </x:row>
    <x:row r="1648" ht="36" customHeight="1">
      <x:c r="A1648" s="118" t="n">
        <x:v>1643</x:v>
      </x:c>
      <x:c r="B1648" s="35" t="str">
        <x:v>effect</x:v>
      </x:c>
      <x:c r="C1648" s="35" t="str">
        <x:v>effect_control_immunity</x:v>
      </x:c>
      <x:c r="D1648" s="35" t="str">
        <x:v>modifier_stat1</x:v>
      </x:c>
      <x:c r="E1648" s="38" t="str">
        <x:v>string</x:v>
      </x:c>
      <x:c r="F1648" s="56" t="str">
        <x:f>'Effects'!I13</x:f>
        <x:v>HardControlAllowed</x:v>
      </x:c>
      <x:c r="G1648" s="38" t="str"/>
      <x:c r="H1648" s="35" t="str">
        <x:v>Effects</x:v>
      </x:c>
      <x:c r="I1648" s="35" t="str">
        <x:v>I13</x:v>
      </x:c>
      <x:c r="J1648" s="85" t="b">
        <x:v>1</x:v>
      </x:c>
      <x:c r="K1648" s="85" t="b">
        <x:v>1</x:v>
      </x:c>
      <x:c r="L1648" s="56" t="str">
        <x:f>'Effects'!U13</x:f>
        <x:v>OK</x:v>
      </x:c>
      <x:c r="M1648" s="44" t="str">
        <x:v>Источник Effects.Modifier Stat 1</x:v>
      </x:c>
    </x:row>
    <x:row r="1649" ht="36" customHeight="1">
      <x:c r="A1649" s="118" t="n">
        <x:v>1644</x:v>
      </x:c>
      <x:c r="B1649" s="35" t="str">
        <x:v>effect</x:v>
      </x:c>
      <x:c r="C1649" s="35" t="str">
        <x:v>effect_control_immunity</x:v>
      </x:c>
      <x:c r="D1649" s="35" t="str">
        <x:v>operation1</x:v>
      </x:c>
      <x:c r="E1649" s="38" t="str">
        <x:v>string</x:v>
      </x:c>
      <x:c r="F1649" s="56" t="str">
        <x:f>'Effects'!J13</x:f>
        <x:v>Override</x:v>
      </x:c>
      <x:c r="G1649" s="38" t="str"/>
      <x:c r="H1649" s="35" t="str">
        <x:v>Effects</x:v>
      </x:c>
      <x:c r="I1649" s="35" t="str">
        <x:v>J13</x:v>
      </x:c>
      <x:c r="J1649" s="85" t="b">
        <x:v>1</x:v>
      </x:c>
      <x:c r="K1649" s="85" t="b">
        <x:v>1</x:v>
      </x:c>
      <x:c r="L1649" s="56" t="str">
        <x:f>'Effects'!U13</x:f>
        <x:v>OK</x:v>
      </x:c>
      <x:c r="M1649" s="44" t="str">
        <x:v>Источник Effects.Operation 1</x:v>
      </x:c>
    </x:row>
    <x:row r="1650" ht="36" customHeight="1">
      <x:c r="A1650" s="118" t="n">
        <x:v>1645</x:v>
      </x:c>
      <x:c r="B1650" s="35" t="str">
        <x:v>effect</x:v>
      </x:c>
      <x:c r="C1650" s="35" t="str">
        <x:v>effect_control_immunity</x:v>
      </x:c>
      <x:c r="D1650" s="35" t="str">
        <x:v>value1</x:v>
      </x:c>
      <x:c r="E1650" s="38" t="str">
        <x:v>int</x:v>
      </x:c>
      <x:c r="F1650" s="56" t="n">
        <x:f>'Effects'!K13</x:f>
        <x:v>0</x:v>
      </x:c>
      <x:c r="G1650" s="38" t="str"/>
      <x:c r="H1650" s="35" t="str">
        <x:v>Effects</x:v>
      </x:c>
      <x:c r="I1650" s="35" t="str">
        <x:v>K13</x:v>
      </x:c>
      <x:c r="J1650" s="85" t="b">
        <x:v>1</x:v>
      </x:c>
      <x:c r="K1650" s="85" t="b">
        <x:v>1</x:v>
      </x:c>
      <x:c r="L1650" s="56" t="str">
        <x:f>'Effects'!U13</x:f>
        <x:v>OK</x:v>
      </x:c>
      <x:c r="M1650" s="44" t="str">
        <x:v>Источник Effects.Value 1</x:v>
      </x:c>
    </x:row>
    <x:row r="1651" ht="36" customHeight="1">
      <x:c r="A1651" s="118" t="n">
        <x:v>1646</x:v>
      </x:c>
      <x:c r="B1651" s="35" t="str">
        <x:v>effect</x:v>
      </x:c>
      <x:c r="C1651" s="35" t="str">
        <x:v>effect_control_immunity</x:v>
      </x:c>
      <x:c r="D1651" s="35" t="str">
        <x:v>modifier_stat2</x:v>
      </x:c>
      <x:c r="E1651" s="38" t="str">
        <x:v>string</x:v>
      </x:c>
      <x:c r="F1651" s="56" t="str">
        <x:f>'Effects'!L13</x:f>
      </x:c>
      <x:c r="G1651" s="38" t="str"/>
      <x:c r="H1651" s="35" t="str">
        <x:v>Effects</x:v>
      </x:c>
      <x:c r="I1651" s="35" t="str">
        <x:v>L13</x:v>
      </x:c>
      <x:c r="J1651" s="85" t="b">
        <x:v>0</x:v>
      </x:c>
      <x:c r="K1651" s="85" t="b">
        <x:v>1</x:v>
      </x:c>
      <x:c r="L1651" s="56" t="str">
        <x:f>'Effects'!U13</x:f>
        <x:v>OK</x:v>
      </x:c>
      <x:c r="M1651" s="44" t="str">
        <x:v>Источник Effects.Modifier Stat 2</x:v>
      </x:c>
    </x:row>
    <x:row r="1652" ht="36" customHeight="1">
      <x:c r="A1652" s="118" t="n">
        <x:v>1647</x:v>
      </x:c>
      <x:c r="B1652" s="35" t="str">
        <x:v>effect</x:v>
      </x:c>
      <x:c r="C1652" s="35" t="str">
        <x:v>effect_control_immunity</x:v>
      </x:c>
      <x:c r="D1652" s="35" t="str">
        <x:v>operation2</x:v>
      </x:c>
      <x:c r="E1652" s="38" t="str">
        <x:v>string</x:v>
      </x:c>
      <x:c r="F1652" s="56" t="str">
        <x:f>'Effects'!M13</x:f>
        <x:v>Override</x:v>
      </x:c>
      <x:c r="G1652" s="38" t="str"/>
      <x:c r="H1652" s="35" t="str">
        <x:v>Effects</x:v>
      </x:c>
      <x:c r="I1652" s="35" t="str">
        <x:v>M13</x:v>
      </x:c>
      <x:c r="J1652" s="85" t="b">
        <x:v>0</x:v>
      </x:c>
      <x:c r="K1652" s="85" t="b">
        <x:v>1</x:v>
      </x:c>
      <x:c r="L1652" s="56" t="str">
        <x:f>'Effects'!U13</x:f>
        <x:v>OK</x:v>
      </x:c>
      <x:c r="M1652" s="44" t="str">
        <x:v>Источник Effects.Operation 2</x:v>
      </x:c>
    </x:row>
    <x:row r="1653" ht="36" customHeight="1">
      <x:c r="A1653" s="118" t="n">
        <x:v>1648</x:v>
      </x:c>
      <x:c r="B1653" s="35" t="str">
        <x:v>effect</x:v>
      </x:c>
      <x:c r="C1653" s="35" t="str">
        <x:v>effect_control_immunity</x:v>
      </x:c>
      <x:c r="D1653" s="35" t="str">
        <x:v>value2</x:v>
      </x:c>
      <x:c r="E1653" s="38" t="str">
        <x:v>int</x:v>
      </x:c>
      <x:c r="F1653" s="56" t="n">
        <x:f>'Effects'!N13</x:f>
        <x:v>0</x:v>
      </x:c>
      <x:c r="G1653" s="38" t="str"/>
      <x:c r="H1653" s="35" t="str">
        <x:v>Effects</x:v>
      </x:c>
      <x:c r="I1653" s="35" t="str">
        <x:v>N13</x:v>
      </x:c>
      <x:c r="J1653" s="85" t="b">
        <x:v>0</x:v>
      </x:c>
      <x:c r="K1653" s="85" t="b">
        <x:v>1</x:v>
      </x:c>
      <x:c r="L1653" s="56" t="str">
        <x:f>'Effects'!U13</x:f>
        <x:v>OK</x:v>
      </x:c>
      <x:c r="M1653" s="44" t="str">
        <x:v>Источник Effects.Value 2</x:v>
      </x:c>
    </x:row>
    <x:row r="1654" ht="36" customHeight="1">
      <x:c r="A1654" s="118" t="n">
        <x:v>1649</x:v>
      </x:c>
      <x:c r="B1654" s="35" t="str">
        <x:v>effect</x:v>
      </x:c>
      <x:c r="C1654" s="35" t="str">
        <x:v>effect_control_immunity</x:v>
      </x:c>
      <x:c r="D1654" s="35" t="str">
        <x:v>tags</x:v>
      </x:c>
      <x:c r="E1654" s="38" t="str">
        <x:v>string</x:v>
      </x:c>
      <x:c r="F1654" s="56" t="str">
        <x:f>'Effects'!O13</x:f>
        <x:v>buff|immunity|anti_loop</x:v>
      </x:c>
      <x:c r="G1654" s="38" t="str"/>
      <x:c r="H1654" s="35" t="str">
        <x:v>Effects</x:v>
      </x:c>
      <x:c r="I1654" s="35" t="str">
        <x:v>O13</x:v>
      </x:c>
      <x:c r="J1654" s="85" t="b">
        <x:v>1</x:v>
      </x:c>
      <x:c r="K1654" s="85" t="b">
        <x:v>1</x:v>
      </x:c>
      <x:c r="L1654" s="56" t="str">
        <x:f>'Effects'!U13</x:f>
        <x:v>OK</x:v>
      </x:c>
      <x:c r="M1654" s="44" t="str">
        <x:v>Источник Effects.Tags</x:v>
      </x:c>
    </x:row>
    <x:row r="1655" ht="36" customHeight="1">
      <x:c r="A1655" s="118" t="n">
        <x:v>1650</x:v>
      </x:c>
      <x:c r="B1655" s="35" t="str">
        <x:v>effect</x:v>
      </x:c>
      <x:c r="C1655" s="35" t="str">
        <x:v>effect_control_immunity</x:v>
      </x:c>
      <x:c r="D1655" s="35" t="str">
        <x:v>max_activations_per_tick</x:v>
      </x:c>
      <x:c r="E1655" s="38" t="str">
        <x:v>int</x:v>
      </x:c>
      <x:c r="F1655" s="56" t="n">
        <x:f>'Effects'!P13</x:f>
        <x:v>1</x:v>
      </x:c>
      <x:c r="G1655" s="38" t="str"/>
      <x:c r="H1655" s="35" t="str">
        <x:v>Effects</x:v>
      </x:c>
      <x:c r="I1655" s="35" t="str">
        <x:v>P13</x:v>
      </x:c>
      <x:c r="J1655" s="85" t="b">
        <x:v>1</x:v>
      </x:c>
      <x:c r="K1655" s="85" t="b">
        <x:v>1</x:v>
      </x:c>
      <x:c r="L1655" s="56" t="str">
        <x:f>'Effects'!U13</x:f>
        <x:v>OK</x:v>
      </x:c>
      <x:c r="M1655" s="44" t="str">
        <x:v>Источник Effects.Max Activations / Tick</x:v>
      </x:c>
    </x:row>
    <x:row r="1656" ht="36" customHeight="1">
      <x:c r="A1656" s="118" t="n">
        <x:v>1651</x:v>
      </x:c>
      <x:c r="B1656" s="35" t="str">
        <x:v>effect</x:v>
      </x:c>
      <x:c r="C1656" s="35" t="str">
        <x:v>effect_control_immunity</x:v>
      </x:c>
      <x:c r="D1656" s="35" t="str">
        <x:v>max_activations_per_battle</x:v>
      </x:c>
      <x:c r="E1656" s="38" t="str">
        <x:v>int</x:v>
      </x:c>
      <x:c r="F1656" s="56" t="n">
        <x:f>'Effects'!Q13</x:f>
        <x:v>999</x:v>
      </x:c>
      <x:c r="G1656" s="38" t="str"/>
      <x:c r="H1656" s="35" t="str">
        <x:v>Effects</x:v>
      </x:c>
      <x:c r="I1656" s="35" t="str">
        <x:v>Q13</x:v>
      </x:c>
      <x:c r="J1656" s="85" t="b">
        <x:v>1</x:v>
      </x:c>
      <x:c r="K1656" s="85" t="b">
        <x:v>1</x:v>
      </x:c>
      <x:c r="L1656" s="56" t="str">
        <x:f>'Effects'!U13</x:f>
        <x:v>OK</x:v>
      </x:c>
      <x:c r="M1656" s="44" t="str">
        <x:v>Источник Effects.Max Activations / Battle</x:v>
      </x:c>
    </x:row>
    <x:row r="1657" ht="36" customHeight="1">
      <x:c r="A1657" s="118" t="n">
        <x:v>1652</x:v>
      </x:c>
      <x:c r="B1657" s="35" t="str">
        <x:v>effect</x:v>
      </x:c>
      <x:c r="C1657" s="35" t="str">
        <x:v>effect_control_immunity</x:v>
      </x:c>
      <x:c r="D1657" s="35" t="str">
        <x:v>internal_cooldown_ticks</x:v>
      </x:c>
      <x:c r="E1657" s="38" t="str">
        <x:v>int</x:v>
      </x:c>
      <x:c r="F1657" s="56" t="n">
        <x:f>'Effects'!R13</x:f>
        <x:v>0</x:v>
      </x:c>
      <x:c r="G1657" s="38" t="str"/>
      <x:c r="H1657" s="35" t="str">
        <x:v>Effects</x:v>
      </x:c>
      <x:c r="I1657" s="35" t="str">
        <x:v>R13</x:v>
      </x:c>
      <x:c r="J1657" s="85" t="b">
        <x:v>1</x:v>
      </x:c>
      <x:c r="K1657" s="85" t="b">
        <x:v>1</x:v>
      </x:c>
      <x:c r="L1657" s="56" t="str">
        <x:f>'Effects'!U13</x:f>
        <x:v>OK</x:v>
      </x:c>
      <x:c r="M1657" s="44" t="str">
        <x:v>Источник Effects.Internal Cooldown Ticks</x:v>
      </x:c>
    </x:row>
    <x:row r="1658" ht="36" customHeight="1">
      <x:c r="A1658" s="118" t="n">
        <x:v>1653</x:v>
      </x:c>
      <x:c r="B1658" s="35" t="str">
        <x:v>effect</x:v>
      </x:c>
      <x:c r="C1658" s="35" t="str">
        <x:v>effect_control_immunity</x:v>
      </x:c>
      <x:c r="D1658" s="35" t="str">
        <x:v>lookup_profile</x:v>
      </x:c>
      <x:c r="E1658" s="38" t="str">
        <x:v>string</x:v>
      </x:c>
      <x:c r="F1658" s="56" t="str">
        <x:f>'Effects'!S13</x:f>
      </x:c>
      <x:c r="G1658" s="38" t="str"/>
      <x:c r="H1658" s="35" t="str">
        <x:v>Effects</x:v>
      </x:c>
      <x:c r="I1658" s="35" t="str">
        <x:v>S13</x:v>
      </x:c>
      <x:c r="J1658" s="85" t="b">
        <x:v>0</x:v>
      </x:c>
      <x:c r="K1658" s="85" t="b">
        <x:v>1</x:v>
      </x:c>
      <x:c r="L1658" s="56" t="str">
        <x:f>'Effects'!U13</x:f>
        <x:v>OK</x:v>
      </x:c>
      <x:c r="M1658" s="44" t="str">
        <x:v>Источник Effects.Lookup Profile</x:v>
      </x:c>
    </x:row>
    <x:row r="1659" ht="36" customHeight="1">
      <x:c r="A1659" s="118" t="n">
        <x:v>1654</x:v>
      </x:c>
      <x:c r="B1659" s="35" t="str">
        <x:v>effect</x:v>
      </x:c>
      <x:c r="C1659" s="35" t="str">
        <x:v>effect_grab_lockout</x:v>
      </x:c>
      <x:c r="D1659" s="35" t="str">
        <x:v>effect_id</x:v>
      </x:c>
      <x:c r="E1659" s="38" t="str">
        <x:v>string</x:v>
      </x:c>
      <x:c r="F1659" s="56" t="str">
        <x:f>'Effects'!A14</x:f>
        <x:v>effect_grab_lockout</x:v>
      </x:c>
      <x:c r="G1659" s="38" t="str"/>
      <x:c r="H1659" s="35" t="str">
        <x:v>Effects</x:v>
      </x:c>
      <x:c r="I1659" s="35" t="str">
        <x:v>A14</x:v>
      </x:c>
      <x:c r="J1659" s="85" t="b">
        <x:v>1</x:v>
      </x:c>
      <x:c r="K1659" s="85" t="b">
        <x:v>1</x:v>
      </x:c>
      <x:c r="L1659" s="56" t="str">
        <x:f>'Effects'!U14</x:f>
        <x:v>OK</x:v>
      </x:c>
      <x:c r="M1659" s="44" t="str">
        <x:v>Источник Effects.Effect ID</x:v>
      </x:c>
    </x:row>
    <x:row r="1660" ht="36" customHeight="1">
      <x:c r="A1660" s="118" t="n">
        <x:v>1655</x:v>
      </x:c>
      <x:c r="B1660" s="35" t="str">
        <x:v>effect</x:v>
      </x:c>
      <x:c r="C1660" s="35" t="str">
        <x:v>effect_grab_lockout</x:v>
      </x:c>
      <x:c r="D1660" s="35" t="str">
        <x:v>duration_ticks</x:v>
      </x:c>
      <x:c r="E1660" s="38" t="str">
        <x:v>int</x:v>
      </x:c>
      <x:c r="F1660" s="56" t="n">
        <x:f>'Effects'!C14</x:f>
        <x:v>20</x:v>
      </x:c>
      <x:c r="G1660" s="38" t="str"/>
      <x:c r="H1660" s="35" t="str">
        <x:v>Effects</x:v>
      </x:c>
      <x:c r="I1660" s="35" t="str">
        <x:v>C14</x:v>
      </x:c>
      <x:c r="J1660" s="85" t="b">
        <x:v>1</x:v>
      </x:c>
      <x:c r="K1660" s="85" t="b">
        <x:v>1</x:v>
      </x:c>
      <x:c r="L1660" s="56" t="str">
        <x:f>'Effects'!U14</x:f>
        <x:v>OK</x:v>
      </x:c>
      <x:c r="M1660" s="44" t="str">
        <x:v>Источник Effects.Duration Ticks</x:v>
      </x:c>
    </x:row>
    <x:row r="1661" ht="36" customHeight="1">
      <x:c r="A1661" s="118" t="n">
        <x:v>1656</x:v>
      </x:c>
      <x:c r="B1661" s="35" t="str">
        <x:v>effect</x:v>
      </x:c>
      <x:c r="C1661" s="35" t="str">
        <x:v>effect_grab_lockout</x:v>
      </x:c>
      <x:c r="D1661" s="35" t="str">
        <x:v>expiry_boundary</x:v>
      </x:c>
      <x:c r="E1661" s="38" t="str">
        <x:v>string</x:v>
      </x:c>
      <x:c r="F1661" s="56" t="str">
        <x:f>'Effects'!D14</x:f>
        <x:v>ExpireAfterTick</x:v>
      </x:c>
      <x:c r="G1661" s="38" t="str"/>
      <x:c r="H1661" s="35" t="str">
        <x:v>Effects</x:v>
      </x:c>
      <x:c r="I1661" s="35" t="str">
        <x:v>D14</x:v>
      </x:c>
      <x:c r="J1661" s="85" t="b">
        <x:v>1</x:v>
      </x:c>
      <x:c r="K1661" s="85" t="b">
        <x:v>1</x:v>
      </x:c>
      <x:c r="L1661" s="56" t="str">
        <x:f>'Effects'!U14</x:f>
        <x:v>OK</x:v>
      </x:c>
      <x:c r="M1661" s="44" t="str">
        <x:v>Источник Effects.Expiry Boundary</x:v>
      </x:c>
    </x:row>
    <x:row r="1662" ht="36" customHeight="1">
      <x:c r="A1662" s="118" t="n">
        <x:v>1657</x:v>
      </x:c>
      <x:c r="B1662" s="35" t="str">
        <x:v>effect</x:v>
      </x:c>
      <x:c r="C1662" s="35" t="str">
        <x:v>effect_grab_lockout</x:v>
      </x:c>
      <x:c r="D1662" s="35" t="str">
        <x:v>stack_group</x:v>
      </x:c>
      <x:c r="E1662" s="38" t="str">
        <x:v>string</x:v>
      </x:c>
      <x:c r="F1662" s="56" t="str">
        <x:f>'Effects'!E14</x:f>
        <x:v>grab_lockout</x:v>
      </x:c>
      <x:c r="G1662" s="38" t="str"/>
      <x:c r="H1662" s="35" t="str">
        <x:v>Effects</x:v>
      </x:c>
      <x:c r="I1662" s="35" t="str">
        <x:v>E14</x:v>
      </x:c>
      <x:c r="J1662" s="85" t="b">
        <x:v>1</x:v>
      </x:c>
      <x:c r="K1662" s="85" t="b">
        <x:v>1</x:v>
      </x:c>
      <x:c r="L1662" s="56" t="str">
        <x:f>'Effects'!U14</x:f>
        <x:v>OK</x:v>
      </x:c>
      <x:c r="M1662" s="44" t="str">
        <x:v>Источник Effects.Stack Group</x:v>
      </x:c>
    </x:row>
    <x:row r="1663" ht="36" customHeight="1">
      <x:c r="A1663" s="118" t="n">
        <x:v>1658</x:v>
      </x:c>
      <x:c r="B1663" s="35" t="str">
        <x:v>effect</x:v>
      </x:c>
      <x:c r="C1663" s="35" t="str">
        <x:v>effect_grab_lockout</x:v>
      </x:c>
      <x:c r="D1663" s="35" t="str">
        <x:v>stack_policy</x:v>
      </x:c>
      <x:c r="E1663" s="38" t="str">
        <x:v>string</x:v>
      </x:c>
      <x:c r="F1663" s="56" t="str">
        <x:f>'Effects'!F14</x:f>
        <x:v>Reject</x:v>
      </x:c>
      <x:c r="G1663" s="38" t="str"/>
      <x:c r="H1663" s="35" t="str">
        <x:v>Effects</x:v>
      </x:c>
      <x:c r="I1663" s="35" t="str">
        <x:v>F14</x:v>
      </x:c>
      <x:c r="J1663" s="85" t="b">
        <x:v>1</x:v>
      </x:c>
      <x:c r="K1663" s="85" t="b">
        <x:v>1</x:v>
      </x:c>
      <x:c r="L1663" s="56" t="str">
        <x:f>'Effects'!U14</x:f>
        <x:v>OK</x:v>
      </x:c>
      <x:c r="M1663" s="44" t="str">
        <x:v>Источник Effects.Stack Policy</x:v>
      </x:c>
    </x:row>
    <x:row r="1664" ht="36" customHeight="1">
      <x:c r="A1664" s="118" t="n">
        <x:v>1659</x:v>
      </x:c>
      <x:c r="B1664" s="35" t="str">
        <x:v>effect</x:v>
      </x:c>
      <x:c r="C1664" s="35" t="str">
        <x:v>effect_grab_lockout</x:v>
      </x:c>
      <x:c r="D1664" s="35" t="str">
        <x:v>stack_cap</x:v>
      </x:c>
      <x:c r="E1664" s="38" t="str">
        <x:v>int</x:v>
      </x:c>
      <x:c r="F1664" s="56" t="n">
        <x:f>'Effects'!G14</x:f>
        <x:v>1</x:v>
      </x:c>
      <x:c r="G1664" s="38" t="str"/>
      <x:c r="H1664" s="35" t="str">
        <x:v>Effects</x:v>
      </x:c>
      <x:c r="I1664" s="35" t="str">
        <x:v>G14</x:v>
      </x:c>
      <x:c r="J1664" s="85" t="b">
        <x:v>1</x:v>
      </x:c>
      <x:c r="K1664" s="85" t="b">
        <x:v>1</x:v>
      </x:c>
      <x:c r="L1664" s="56" t="str">
        <x:f>'Effects'!U14</x:f>
        <x:v>OK</x:v>
      </x:c>
      <x:c r="M1664" s="44" t="str">
        <x:v>Источник Effects.Stack Cap</x:v>
      </x:c>
    </x:row>
    <x:row r="1665" ht="36" customHeight="1">
      <x:c r="A1665" s="118" t="n">
        <x:v>1660</x:v>
      </x:c>
      <x:c r="B1665" s="35" t="str">
        <x:v>effect</x:v>
      </x:c>
      <x:c r="C1665" s="35" t="str">
        <x:v>effect_grab_lockout</x:v>
      </x:c>
      <x:c r="D1665" s="35" t="str">
        <x:v>compare_key</x:v>
      </x:c>
      <x:c r="E1665" s="38" t="str">
        <x:v>string</x:v>
      </x:c>
      <x:c r="F1665" s="56" t="str">
        <x:f>'Effects'!H14</x:f>
        <x:v>DurationTicks</x:v>
      </x:c>
      <x:c r="G1665" s="38" t="str"/>
      <x:c r="H1665" s="35" t="str">
        <x:v>Effects</x:v>
      </x:c>
      <x:c r="I1665" s="35" t="str">
        <x:v>H14</x:v>
      </x:c>
      <x:c r="J1665" s="85" t="b">
        <x:v>1</x:v>
      </x:c>
      <x:c r="K1665" s="85" t="b">
        <x:v>1</x:v>
      </x:c>
      <x:c r="L1665" s="56" t="str">
        <x:f>'Effects'!U14</x:f>
        <x:v>OK</x:v>
      </x:c>
      <x:c r="M1665" s="44" t="str">
        <x:v>Источник Effects.Compare Key</x:v>
      </x:c>
    </x:row>
    <x:row r="1666" ht="36" customHeight="1">
      <x:c r="A1666" s="118" t="n">
        <x:v>1661</x:v>
      </x:c>
      <x:c r="B1666" s="35" t="str">
        <x:v>effect</x:v>
      </x:c>
      <x:c r="C1666" s="35" t="str">
        <x:v>effect_grab_lockout</x:v>
      </x:c>
      <x:c r="D1666" s="35" t="str">
        <x:v>modifier_stat1</x:v>
      </x:c>
      <x:c r="E1666" s="38" t="str">
        <x:v>string</x:v>
      </x:c>
      <x:c r="F1666" s="56" t="str">
        <x:f>'Effects'!I14</x:f>
        <x:v>GrabAllowed</x:v>
      </x:c>
      <x:c r="G1666" s="38" t="str"/>
      <x:c r="H1666" s="35" t="str">
        <x:v>Effects</x:v>
      </x:c>
      <x:c r="I1666" s="35" t="str">
        <x:v>I14</x:v>
      </x:c>
      <x:c r="J1666" s="85" t="b">
        <x:v>1</x:v>
      </x:c>
      <x:c r="K1666" s="85" t="b">
        <x:v>1</x:v>
      </x:c>
      <x:c r="L1666" s="56" t="str">
        <x:f>'Effects'!U14</x:f>
        <x:v>OK</x:v>
      </x:c>
      <x:c r="M1666" s="44" t="str">
        <x:v>Источник Effects.Modifier Stat 1</x:v>
      </x:c>
    </x:row>
    <x:row r="1667" ht="36" customHeight="1">
      <x:c r="A1667" s="118" t="n">
        <x:v>1662</x:v>
      </x:c>
      <x:c r="B1667" s="35" t="str">
        <x:v>effect</x:v>
      </x:c>
      <x:c r="C1667" s="35" t="str">
        <x:v>effect_grab_lockout</x:v>
      </x:c>
      <x:c r="D1667" s="35" t="str">
        <x:v>operation1</x:v>
      </x:c>
      <x:c r="E1667" s="38" t="str">
        <x:v>string</x:v>
      </x:c>
      <x:c r="F1667" s="56" t="str">
        <x:f>'Effects'!J14</x:f>
        <x:v>Override</x:v>
      </x:c>
      <x:c r="G1667" s="38" t="str"/>
      <x:c r="H1667" s="35" t="str">
        <x:v>Effects</x:v>
      </x:c>
      <x:c r="I1667" s="35" t="str">
        <x:v>J14</x:v>
      </x:c>
      <x:c r="J1667" s="85" t="b">
        <x:v>1</x:v>
      </x:c>
      <x:c r="K1667" s="85" t="b">
        <x:v>1</x:v>
      </x:c>
      <x:c r="L1667" s="56" t="str">
        <x:f>'Effects'!U14</x:f>
        <x:v>OK</x:v>
      </x:c>
      <x:c r="M1667" s="44" t="str">
        <x:v>Источник Effects.Operation 1</x:v>
      </x:c>
    </x:row>
    <x:row r="1668" ht="36" customHeight="1">
      <x:c r="A1668" s="118" t="n">
        <x:v>1663</x:v>
      </x:c>
      <x:c r="B1668" s="35" t="str">
        <x:v>effect</x:v>
      </x:c>
      <x:c r="C1668" s="35" t="str">
        <x:v>effect_grab_lockout</x:v>
      </x:c>
      <x:c r="D1668" s="35" t="str">
        <x:v>value1</x:v>
      </x:c>
      <x:c r="E1668" s="38" t="str">
        <x:v>int</x:v>
      </x:c>
      <x:c r="F1668" s="56" t="n">
        <x:f>'Effects'!K14</x:f>
        <x:v>0</x:v>
      </x:c>
      <x:c r="G1668" s="38" t="str"/>
      <x:c r="H1668" s="35" t="str">
        <x:v>Effects</x:v>
      </x:c>
      <x:c r="I1668" s="35" t="str">
        <x:v>K14</x:v>
      </x:c>
      <x:c r="J1668" s="85" t="b">
        <x:v>1</x:v>
      </x:c>
      <x:c r="K1668" s="85" t="b">
        <x:v>1</x:v>
      </x:c>
      <x:c r="L1668" s="56" t="str">
        <x:f>'Effects'!U14</x:f>
        <x:v>OK</x:v>
      </x:c>
      <x:c r="M1668" s="44" t="str">
        <x:v>Источник Effects.Value 1</x:v>
      </x:c>
    </x:row>
    <x:row r="1669" ht="36" customHeight="1">
      <x:c r="A1669" s="118" t="n">
        <x:v>1664</x:v>
      </x:c>
      <x:c r="B1669" s="35" t="str">
        <x:v>effect</x:v>
      </x:c>
      <x:c r="C1669" s="35" t="str">
        <x:v>effect_grab_lockout</x:v>
      </x:c>
      <x:c r="D1669" s="35" t="str">
        <x:v>modifier_stat2</x:v>
      </x:c>
      <x:c r="E1669" s="38" t="str">
        <x:v>string</x:v>
      </x:c>
      <x:c r="F1669" s="56" t="str">
        <x:f>'Effects'!L14</x:f>
      </x:c>
      <x:c r="G1669" s="38" t="str"/>
      <x:c r="H1669" s="35" t="str">
        <x:v>Effects</x:v>
      </x:c>
      <x:c r="I1669" s="35" t="str">
        <x:v>L14</x:v>
      </x:c>
      <x:c r="J1669" s="85" t="b">
        <x:v>0</x:v>
      </x:c>
      <x:c r="K1669" s="85" t="b">
        <x:v>1</x:v>
      </x:c>
      <x:c r="L1669" s="56" t="str">
        <x:f>'Effects'!U14</x:f>
        <x:v>OK</x:v>
      </x:c>
      <x:c r="M1669" s="44" t="str">
        <x:v>Источник Effects.Modifier Stat 2</x:v>
      </x:c>
    </x:row>
    <x:row r="1670" ht="36" customHeight="1">
      <x:c r="A1670" s="118" t="n">
        <x:v>1665</x:v>
      </x:c>
      <x:c r="B1670" s="35" t="str">
        <x:v>effect</x:v>
      </x:c>
      <x:c r="C1670" s="35" t="str">
        <x:v>effect_grab_lockout</x:v>
      </x:c>
      <x:c r="D1670" s="35" t="str">
        <x:v>operation2</x:v>
      </x:c>
      <x:c r="E1670" s="38" t="str">
        <x:v>string</x:v>
      </x:c>
      <x:c r="F1670" s="56" t="str">
        <x:f>'Effects'!M14</x:f>
        <x:v>Override</x:v>
      </x:c>
      <x:c r="G1670" s="38" t="str"/>
      <x:c r="H1670" s="35" t="str">
        <x:v>Effects</x:v>
      </x:c>
      <x:c r="I1670" s="35" t="str">
        <x:v>M14</x:v>
      </x:c>
      <x:c r="J1670" s="85" t="b">
        <x:v>0</x:v>
      </x:c>
      <x:c r="K1670" s="85" t="b">
        <x:v>1</x:v>
      </x:c>
      <x:c r="L1670" s="56" t="str">
        <x:f>'Effects'!U14</x:f>
        <x:v>OK</x:v>
      </x:c>
      <x:c r="M1670" s="44" t="str">
        <x:v>Источник Effects.Operation 2</x:v>
      </x:c>
    </x:row>
    <x:row r="1671" ht="36" customHeight="1">
      <x:c r="A1671" s="118" t="n">
        <x:v>1666</x:v>
      </x:c>
      <x:c r="B1671" s="35" t="str">
        <x:v>effect</x:v>
      </x:c>
      <x:c r="C1671" s="35" t="str">
        <x:v>effect_grab_lockout</x:v>
      </x:c>
      <x:c r="D1671" s="35" t="str">
        <x:v>value2</x:v>
      </x:c>
      <x:c r="E1671" s="38" t="str">
        <x:v>int</x:v>
      </x:c>
      <x:c r="F1671" s="56" t="n">
        <x:f>'Effects'!N14</x:f>
        <x:v>0</x:v>
      </x:c>
      <x:c r="G1671" s="38" t="str"/>
      <x:c r="H1671" s="35" t="str">
        <x:v>Effects</x:v>
      </x:c>
      <x:c r="I1671" s="35" t="str">
        <x:v>N14</x:v>
      </x:c>
      <x:c r="J1671" s="85" t="b">
        <x:v>0</x:v>
      </x:c>
      <x:c r="K1671" s="85" t="b">
        <x:v>1</x:v>
      </x:c>
      <x:c r="L1671" s="56" t="str">
        <x:f>'Effects'!U14</x:f>
        <x:v>OK</x:v>
      </x:c>
      <x:c r="M1671" s="44" t="str">
        <x:v>Источник Effects.Value 2</x:v>
      </x:c>
    </x:row>
    <x:row r="1672" ht="36" customHeight="1">
      <x:c r="A1672" s="118" t="n">
        <x:v>1667</x:v>
      </x:c>
      <x:c r="B1672" s="35" t="str">
        <x:v>effect</x:v>
      </x:c>
      <x:c r="C1672" s="35" t="str">
        <x:v>effect_grab_lockout</x:v>
      </x:c>
      <x:c r="D1672" s="35" t="str">
        <x:v>tags</x:v>
      </x:c>
      <x:c r="E1672" s="38" t="str">
        <x:v>string</x:v>
      </x:c>
      <x:c r="F1672" s="56" t="str">
        <x:f>'Effects'!O14</x:f>
        <x:v>debuff|grab|anti_loop</x:v>
      </x:c>
      <x:c r="G1672" s="38" t="str"/>
      <x:c r="H1672" s="35" t="str">
        <x:v>Effects</x:v>
      </x:c>
      <x:c r="I1672" s="35" t="str">
        <x:v>O14</x:v>
      </x:c>
      <x:c r="J1672" s="85" t="b">
        <x:v>1</x:v>
      </x:c>
      <x:c r="K1672" s="85" t="b">
        <x:v>1</x:v>
      </x:c>
      <x:c r="L1672" s="56" t="str">
        <x:f>'Effects'!U14</x:f>
        <x:v>OK</x:v>
      </x:c>
      <x:c r="M1672" s="44" t="str">
        <x:v>Источник Effects.Tags</x:v>
      </x:c>
    </x:row>
    <x:row r="1673" ht="36" customHeight="1">
      <x:c r="A1673" s="118" t="n">
        <x:v>1668</x:v>
      </x:c>
      <x:c r="B1673" s="35" t="str">
        <x:v>effect</x:v>
      </x:c>
      <x:c r="C1673" s="35" t="str">
        <x:v>effect_grab_lockout</x:v>
      </x:c>
      <x:c r="D1673" s="35" t="str">
        <x:v>max_activations_per_tick</x:v>
      </x:c>
      <x:c r="E1673" s="38" t="str">
        <x:v>int</x:v>
      </x:c>
      <x:c r="F1673" s="56" t="n">
        <x:f>'Effects'!P14</x:f>
        <x:v>1</x:v>
      </x:c>
      <x:c r="G1673" s="38" t="str"/>
      <x:c r="H1673" s="35" t="str">
        <x:v>Effects</x:v>
      </x:c>
      <x:c r="I1673" s="35" t="str">
        <x:v>P14</x:v>
      </x:c>
      <x:c r="J1673" s="85" t="b">
        <x:v>1</x:v>
      </x:c>
      <x:c r="K1673" s="85" t="b">
        <x:v>1</x:v>
      </x:c>
      <x:c r="L1673" s="56" t="str">
        <x:f>'Effects'!U14</x:f>
        <x:v>OK</x:v>
      </x:c>
      <x:c r="M1673" s="44" t="str">
        <x:v>Источник Effects.Max Activations / Tick</x:v>
      </x:c>
    </x:row>
    <x:row r="1674" ht="36" customHeight="1">
      <x:c r="A1674" s="118" t="n">
        <x:v>1669</x:v>
      </x:c>
      <x:c r="B1674" s="35" t="str">
        <x:v>effect</x:v>
      </x:c>
      <x:c r="C1674" s="35" t="str">
        <x:v>effect_grab_lockout</x:v>
      </x:c>
      <x:c r="D1674" s="35" t="str">
        <x:v>max_activations_per_battle</x:v>
      </x:c>
      <x:c r="E1674" s="38" t="str">
        <x:v>int</x:v>
      </x:c>
      <x:c r="F1674" s="56" t="n">
        <x:f>'Effects'!Q14</x:f>
        <x:v>999</x:v>
      </x:c>
      <x:c r="G1674" s="38" t="str"/>
      <x:c r="H1674" s="35" t="str">
        <x:v>Effects</x:v>
      </x:c>
      <x:c r="I1674" s="35" t="str">
        <x:v>Q14</x:v>
      </x:c>
      <x:c r="J1674" s="85" t="b">
        <x:v>1</x:v>
      </x:c>
      <x:c r="K1674" s="85" t="b">
        <x:v>1</x:v>
      </x:c>
      <x:c r="L1674" s="56" t="str">
        <x:f>'Effects'!U14</x:f>
        <x:v>OK</x:v>
      </x:c>
      <x:c r="M1674" s="44" t="str">
        <x:v>Источник Effects.Max Activations / Battle</x:v>
      </x:c>
    </x:row>
    <x:row r="1675" ht="36" customHeight="1">
      <x:c r="A1675" s="118" t="n">
        <x:v>1670</x:v>
      </x:c>
      <x:c r="B1675" s="35" t="str">
        <x:v>effect</x:v>
      </x:c>
      <x:c r="C1675" s="35" t="str">
        <x:v>effect_grab_lockout</x:v>
      </x:c>
      <x:c r="D1675" s="35" t="str">
        <x:v>internal_cooldown_ticks</x:v>
      </x:c>
      <x:c r="E1675" s="38" t="str">
        <x:v>int</x:v>
      </x:c>
      <x:c r="F1675" s="56" t="n">
        <x:f>'Effects'!R14</x:f>
        <x:v>0</x:v>
      </x:c>
      <x:c r="G1675" s="38" t="str"/>
      <x:c r="H1675" s="35" t="str">
        <x:v>Effects</x:v>
      </x:c>
      <x:c r="I1675" s="35" t="str">
        <x:v>R14</x:v>
      </x:c>
      <x:c r="J1675" s="85" t="b">
        <x:v>1</x:v>
      </x:c>
      <x:c r="K1675" s="85" t="b">
        <x:v>1</x:v>
      </x:c>
      <x:c r="L1675" s="56" t="str">
        <x:f>'Effects'!U14</x:f>
        <x:v>OK</x:v>
      </x:c>
      <x:c r="M1675" s="44" t="str">
        <x:v>Источник Effects.Internal Cooldown Ticks</x:v>
      </x:c>
    </x:row>
    <x:row r="1676" ht="36" customHeight="1">
      <x:c r="A1676" s="118" t="n">
        <x:v>1671</x:v>
      </x:c>
      <x:c r="B1676" s="35" t="str">
        <x:v>effect</x:v>
      </x:c>
      <x:c r="C1676" s="35" t="str">
        <x:v>effect_grab_lockout</x:v>
      </x:c>
      <x:c r="D1676" s="35" t="str">
        <x:v>lookup_profile</x:v>
      </x:c>
      <x:c r="E1676" s="38" t="str">
        <x:v>string</x:v>
      </x:c>
      <x:c r="F1676" s="56" t="str">
        <x:f>'Effects'!S14</x:f>
      </x:c>
      <x:c r="G1676" s="38" t="str"/>
      <x:c r="H1676" s="35" t="str">
        <x:v>Effects</x:v>
      </x:c>
      <x:c r="I1676" s="35" t="str">
        <x:v>S14</x:v>
      </x:c>
      <x:c r="J1676" s="85" t="b">
        <x:v>0</x:v>
      </x:c>
      <x:c r="K1676" s="85" t="b">
        <x:v>1</x:v>
      </x:c>
      <x:c r="L1676" s="56" t="str">
        <x:f>'Effects'!U14</x:f>
        <x:v>OK</x:v>
      </x:c>
      <x:c r="M1676" s="44" t="str">
        <x:v>Источник Effects.Lookup Profile</x:v>
      </x:c>
    </x:row>
    <x:row r="1677" ht="36" customHeight="1">
      <x:c r="A1677" s="118" t="n">
        <x:v>1672</x:v>
      </x:c>
      <x:c r="B1677" s="35" t="str">
        <x:v>effect</x:v>
      </x:c>
      <x:c r="C1677" s="35" t="str">
        <x:v>effect_wakeup_immunity</x:v>
      </x:c>
      <x:c r="D1677" s="35" t="str">
        <x:v>effect_id</x:v>
      </x:c>
      <x:c r="E1677" s="38" t="str">
        <x:v>string</x:v>
      </x:c>
      <x:c r="F1677" s="56" t="str">
        <x:f>'Effects'!A15</x:f>
        <x:v>effect_wakeup_immunity</x:v>
      </x:c>
      <x:c r="G1677" s="38" t="str"/>
      <x:c r="H1677" s="35" t="str">
        <x:v>Effects</x:v>
      </x:c>
      <x:c r="I1677" s="35" t="str">
        <x:v>A15</x:v>
      </x:c>
      <x:c r="J1677" s="85" t="b">
        <x:v>1</x:v>
      </x:c>
      <x:c r="K1677" s="85" t="b">
        <x:v>1</x:v>
      </x:c>
      <x:c r="L1677" s="56" t="str">
        <x:f>'Effects'!U15</x:f>
        <x:v>OK</x:v>
      </x:c>
      <x:c r="M1677" s="44" t="str">
        <x:v>Источник Effects.Effect ID</x:v>
      </x:c>
    </x:row>
    <x:row r="1678" ht="36" customHeight="1">
      <x:c r="A1678" s="118" t="n">
        <x:v>1673</x:v>
      </x:c>
      <x:c r="B1678" s="35" t="str">
        <x:v>effect</x:v>
      </x:c>
      <x:c r="C1678" s="35" t="str">
        <x:v>effect_wakeup_immunity</x:v>
      </x:c>
      <x:c r="D1678" s="35" t="str">
        <x:v>duration_ticks</x:v>
      </x:c>
      <x:c r="E1678" s="38" t="str">
        <x:v>int</x:v>
      </x:c>
      <x:c r="F1678" s="56" t="n">
        <x:f>'Effects'!C15</x:f>
        <x:v>25</x:v>
      </x:c>
      <x:c r="G1678" s="38" t="str"/>
      <x:c r="H1678" s="35" t="str">
        <x:v>Effects</x:v>
      </x:c>
      <x:c r="I1678" s="35" t="str">
        <x:v>C15</x:v>
      </x:c>
      <x:c r="J1678" s="85" t="b">
        <x:v>1</x:v>
      </x:c>
      <x:c r="K1678" s="85" t="b">
        <x:v>1</x:v>
      </x:c>
      <x:c r="L1678" s="56" t="str">
        <x:f>'Effects'!U15</x:f>
        <x:v>OK</x:v>
      </x:c>
      <x:c r="M1678" s="44" t="str">
        <x:v>Источник Effects.Duration Ticks</x:v>
      </x:c>
    </x:row>
    <x:row r="1679" ht="36" customHeight="1">
      <x:c r="A1679" s="118" t="n">
        <x:v>1674</x:v>
      </x:c>
      <x:c r="B1679" s="35" t="str">
        <x:v>effect</x:v>
      </x:c>
      <x:c r="C1679" s="35" t="str">
        <x:v>effect_wakeup_immunity</x:v>
      </x:c>
      <x:c r="D1679" s="35" t="str">
        <x:v>expiry_boundary</x:v>
      </x:c>
      <x:c r="E1679" s="38" t="str">
        <x:v>string</x:v>
      </x:c>
      <x:c r="F1679" s="56" t="str">
        <x:f>'Effects'!D15</x:f>
        <x:v>ExpireAfterTick</x:v>
      </x:c>
      <x:c r="G1679" s="38" t="str"/>
      <x:c r="H1679" s="35" t="str">
        <x:v>Effects</x:v>
      </x:c>
      <x:c r="I1679" s="35" t="str">
        <x:v>D15</x:v>
      </x:c>
      <x:c r="J1679" s="85" t="b">
        <x:v>1</x:v>
      </x:c>
      <x:c r="K1679" s="85" t="b">
        <x:v>1</x:v>
      </x:c>
      <x:c r="L1679" s="56" t="str">
        <x:f>'Effects'!U15</x:f>
        <x:v>OK</x:v>
      </x:c>
      <x:c r="M1679" s="44" t="str">
        <x:v>Источник Effects.Expiry Boundary</x:v>
      </x:c>
    </x:row>
    <x:row r="1680" ht="36" customHeight="1">
      <x:c r="A1680" s="118" t="n">
        <x:v>1675</x:v>
      </x:c>
      <x:c r="B1680" s="35" t="str">
        <x:v>effect</x:v>
      </x:c>
      <x:c r="C1680" s="35" t="str">
        <x:v>effect_wakeup_immunity</x:v>
      </x:c>
      <x:c r="D1680" s="35" t="str">
        <x:v>stack_group</x:v>
      </x:c>
      <x:c r="E1680" s="38" t="str">
        <x:v>string</x:v>
      </x:c>
      <x:c r="F1680" s="56" t="str">
        <x:f>'Effects'!E15</x:f>
        <x:v>wakeup_immunity</x:v>
      </x:c>
      <x:c r="G1680" s="38" t="str"/>
      <x:c r="H1680" s="35" t="str">
        <x:v>Effects</x:v>
      </x:c>
      <x:c r="I1680" s="35" t="str">
        <x:v>E15</x:v>
      </x:c>
      <x:c r="J1680" s="85" t="b">
        <x:v>1</x:v>
      </x:c>
      <x:c r="K1680" s="85" t="b">
        <x:v>1</x:v>
      </x:c>
      <x:c r="L1680" s="56" t="str">
        <x:f>'Effects'!U15</x:f>
        <x:v>OK</x:v>
      </x:c>
      <x:c r="M1680" s="44" t="str">
        <x:v>Источник Effects.Stack Group</x:v>
      </x:c>
    </x:row>
    <x:row r="1681" ht="36" customHeight="1">
      <x:c r="A1681" s="118" t="n">
        <x:v>1676</x:v>
      </x:c>
      <x:c r="B1681" s="35" t="str">
        <x:v>effect</x:v>
      </x:c>
      <x:c r="C1681" s="35" t="str">
        <x:v>effect_wakeup_immunity</x:v>
      </x:c>
      <x:c r="D1681" s="35" t="str">
        <x:v>stack_policy</x:v>
      </x:c>
      <x:c r="E1681" s="38" t="str">
        <x:v>string</x:v>
      </x:c>
      <x:c r="F1681" s="56" t="str">
        <x:f>'Effects'!F15</x:f>
        <x:v>Reject</x:v>
      </x:c>
      <x:c r="G1681" s="38" t="str"/>
      <x:c r="H1681" s="35" t="str">
        <x:v>Effects</x:v>
      </x:c>
      <x:c r="I1681" s="35" t="str">
        <x:v>F15</x:v>
      </x:c>
      <x:c r="J1681" s="85" t="b">
        <x:v>1</x:v>
      </x:c>
      <x:c r="K1681" s="85" t="b">
        <x:v>1</x:v>
      </x:c>
      <x:c r="L1681" s="56" t="str">
        <x:f>'Effects'!U15</x:f>
        <x:v>OK</x:v>
      </x:c>
      <x:c r="M1681" s="44" t="str">
        <x:v>Источник Effects.Stack Policy</x:v>
      </x:c>
    </x:row>
    <x:row r="1682" ht="36" customHeight="1">
      <x:c r="A1682" s="118" t="n">
        <x:v>1677</x:v>
      </x:c>
      <x:c r="B1682" s="35" t="str">
        <x:v>effect</x:v>
      </x:c>
      <x:c r="C1682" s="35" t="str">
        <x:v>effect_wakeup_immunity</x:v>
      </x:c>
      <x:c r="D1682" s="35" t="str">
        <x:v>stack_cap</x:v>
      </x:c>
      <x:c r="E1682" s="38" t="str">
        <x:v>int</x:v>
      </x:c>
      <x:c r="F1682" s="56" t="n">
        <x:f>'Effects'!G15</x:f>
        <x:v>1</x:v>
      </x:c>
      <x:c r="G1682" s="38" t="str"/>
      <x:c r="H1682" s="35" t="str">
        <x:v>Effects</x:v>
      </x:c>
      <x:c r="I1682" s="35" t="str">
        <x:v>G15</x:v>
      </x:c>
      <x:c r="J1682" s="85" t="b">
        <x:v>1</x:v>
      </x:c>
      <x:c r="K1682" s="85" t="b">
        <x:v>1</x:v>
      </x:c>
      <x:c r="L1682" s="56" t="str">
        <x:f>'Effects'!U15</x:f>
        <x:v>OK</x:v>
      </x:c>
      <x:c r="M1682" s="44" t="str">
        <x:v>Источник Effects.Stack Cap</x:v>
      </x:c>
    </x:row>
    <x:row r="1683" ht="36" customHeight="1">
      <x:c r="A1683" s="118" t="n">
        <x:v>1678</x:v>
      </x:c>
      <x:c r="B1683" s="35" t="str">
        <x:v>effect</x:v>
      </x:c>
      <x:c r="C1683" s="35" t="str">
        <x:v>effect_wakeup_immunity</x:v>
      </x:c>
      <x:c r="D1683" s="35" t="str">
        <x:v>compare_key</x:v>
      </x:c>
      <x:c r="E1683" s="38" t="str">
        <x:v>string</x:v>
      </x:c>
      <x:c r="F1683" s="56" t="str">
        <x:f>'Effects'!H15</x:f>
        <x:v>DurationTicks</x:v>
      </x:c>
      <x:c r="G1683" s="38" t="str"/>
      <x:c r="H1683" s="35" t="str">
        <x:v>Effects</x:v>
      </x:c>
      <x:c r="I1683" s="35" t="str">
        <x:v>H15</x:v>
      </x:c>
      <x:c r="J1683" s="85" t="b">
        <x:v>1</x:v>
      </x:c>
      <x:c r="K1683" s="85" t="b">
        <x:v>1</x:v>
      </x:c>
      <x:c r="L1683" s="56" t="str">
        <x:f>'Effects'!U15</x:f>
        <x:v>OK</x:v>
      </x:c>
      <x:c r="M1683" s="44" t="str">
        <x:v>Источник Effects.Compare Key</x:v>
      </x:c>
    </x:row>
    <x:row r="1684" ht="36" customHeight="1">
      <x:c r="A1684" s="118" t="n">
        <x:v>1679</x:v>
      </x:c>
      <x:c r="B1684" s="35" t="str">
        <x:v>effect</x:v>
      </x:c>
      <x:c r="C1684" s="35" t="str">
        <x:v>effect_wakeup_immunity</x:v>
      </x:c>
      <x:c r="D1684" s="35" t="str">
        <x:v>modifier_stat1</x:v>
      </x:c>
      <x:c r="E1684" s="38" t="str">
        <x:v>string</x:v>
      </x:c>
      <x:c r="F1684" s="56" t="str">
        <x:f>'Effects'!I15</x:f>
        <x:v>KnockdownAllowed</x:v>
      </x:c>
      <x:c r="G1684" s="38" t="str"/>
      <x:c r="H1684" s="35" t="str">
        <x:v>Effects</x:v>
      </x:c>
      <x:c r="I1684" s="35" t="str">
        <x:v>I15</x:v>
      </x:c>
      <x:c r="J1684" s="85" t="b">
        <x:v>1</x:v>
      </x:c>
      <x:c r="K1684" s="85" t="b">
        <x:v>1</x:v>
      </x:c>
      <x:c r="L1684" s="56" t="str">
        <x:f>'Effects'!U15</x:f>
        <x:v>OK</x:v>
      </x:c>
      <x:c r="M1684" s="44" t="str">
        <x:v>Источник Effects.Modifier Stat 1</x:v>
      </x:c>
    </x:row>
    <x:row r="1685" ht="36" customHeight="1">
      <x:c r="A1685" s="118" t="n">
        <x:v>1680</x:v>
      </x:c>
      <x:c r="B1685" s="35" t="str">
        <x:v>effect</x:v>
      </x:c>
      <x:c r="C1685" s="35" t="str">
        <x:v>effect_wakeup_immunity</x:v>
      </x:c>
      <x:c r="D1685" s="35" t="str">
        <x:v>operation1</x:v>
      </x:c>
      <x:c r="E1685" s="38" t="str">
        <x:v>string</x:v>
      </x:c>
      <x:c r="F1685" s="56" t="str">
        <x:f>'Effects'!J15</x:f>
        <x:v>Override</x:v>
      </x:c>
      <x:c r="G1685" s="38" t="str"/>
      <x:c r="H1685" s="35" t="str">
        <x:v>Effects</x:v>
      </x:c>
      <x:c r="I1685" s="35" t="str">
        <x:v>J15</x:v>
      </x:c>
      <x:c r="J1685" s="85" t="b">
        <x:v>1</x:v>
      </x:c>
      <x:c r="K1685" s="85" t="b">
        <x:v>1</x:v>
      </x:c>
      <x:c r="L1685" s="56" t="str">
        <x:f>'Effects'!U15</x:f>
        <x:v>OK</x:v>
      </x:c>
      <x:c r="M1685" s="44" t="str">
        <x:v>Источник Effects.Operation 1</x:v>
      </x:c>
    </x:row>
    <x:row r="1686" ht="36" customHeight="1">
      <x:c r="A1686" s="118" t="n">
        <x:v>1681</x:v>
      </x:c>
      <x:c r="B1686" s="35" t="str">
        <x:v>effect</x:v>
      </x:c>
      <x:c r="C1686" s="35" t="str">
        <x:v>effect_wakeup_immunity</x:v>
      </x:c>
      <x:c r="D1686" s="35" t="str">
        <x:v>value1</x:v>
      </x:c>
      <x:c r="E1686" s="38" t="str">
        <x:v>int</x:v>
      </x:c>
      <x:c r="F1686" s="56" t="n">
        <x:f>'Effects'!K15</x:f>
        <x:v>0</x:v>
      </x:c>
      <x:c r="G1686" s="38" t="str"/>
      <x:c r="H1686" s="35" t="str">
        <x:v>Effects</x:v>
      </x:c>
      <x:c r="I1686" s="35" t="str">
        <x:v>K15</x:v>
      </x:c>
      <x:c r="J1686" s="85" t="b">
        <x:v>1</x:v>
      </x:c>
      <x:c r="K1686" s="85" t="b">
        <x:v>1</x:v>
      </x:c>
      <x:c r="L1686" s="56" t="str">
        <x:f>'Effects'!U15</x:f>
        <x:v>OK</x:v>
      </x:c>
      <x:c r="M1686" s="44" t="str">
        <x:v>Источник Effects.Value 1</x:v>
      </x:c>
    </x:row>
    <x:row r="1687" ht="36" customHeight="1">
      <x:c r="A1687" s="118" t="n">
        <x:v>1682</x:v>
      </x:c>
      <x:c r="B1687" s="35" t="str">
        <x:v>effect</x:v>
      </x:c>
      <x:c r="C1687" s="35" t="str">
        <x:v>effect_wakeup_immunity</x:v>
      </x:c>
      <x:c r="D1687" s="35" t="str">
        <x:v>modifier_stat2</x:v>
      </x:c>
      <x:c r="E1687" s="38" t="str">
        <x:v>string</x:v>
      </x:c>
      <x:c r="F1687" s="56" t="n">
        <x:f>'Effects'!L15</x:f>
        <x:v>0</x:v>
      </x:c>
      <x:c r="G1687" s="38" t="str"/>
      <x:c r="H1687" s="35" t="str">
        <x:v>Effects</x:v>
      </x:c>
      <x:c r="I1687" s="35" t="str">
        <x:v>L15</x:v>
      </x:c>
      <x:c r="J1687" s="85" t="b">
        <x:v>0</x:v>
      </x:c>
      <x:c r="K1687" s="85" t="b">
        <x:v>1</x:v>
      </x:c>
      <x:c r="L1687" s="56" t="str">
        <x:f>'Effects'!U15</x:f>
        <x:v>OK</x:v>
      </x:c>
      <x:c r="M1687" s="44" t="str">
        <x:v>Источник Effects.Modifier Stat 2</x:v>
      </x:c>
    </x:row>
    <x:row r="1688" ht="36" customHeight="1">
      <x:c r="A1688" s="118" t="n">
        <x:v>1683</x:v>
      </x:c>
      <x:c r="B1688" s="35" t="str">
        <x:v>effect</x:v>
      </x:c>
      <x:c r="C1688" s="35" t="str">
        <x:v>effect_wakeup_immunity</x:v>
      </x:c>
      <x:c r="D1688" s="35" t="str">
        <x:v>operation2</x:v>
      </x:c>
      <x:c r="E1688" s="38" t="str">
        <x:v>string</x:v>
      </x:c>
      <x:c r="F1688" s="56" t="str">
        <x:f>'Effects'!M15</x:f>
        <x:v>Override</x:v>
      </x:c>
      <x:c r="G1688" s="38" t="str"/>
      <x:c r="H1688" s="35" t="str">
        <x:v>Effects</x:v>
      </x:c>
      <x:c r="I1688" s="35" t="str">
        <x:v>M15</x:v>
      </x:c>
      <x:c r="J1688" s="85" t="b">
        <x:v>0</x:v>
      </x:c>
      <x:c r="K1688" s="85" t="b">
        <x:v>1</x:v>
      </x:c>
      <x:c r="L1688" s="56" t="str">
        <x:f>'Effects'!U15</x:f>
        <x:v>OK</x:v>
      </x:c>
      <x:c r="M1688" s="44" t="str">
        <x:v>Источник Effects.Operation 2</x:v>
      </x:c>
    </x:row>
    <x:row r="1689" ht="36" customHeight="1">
      <x:c r="A1689" s="118" t="n">
        <x:v>1684</x:v>
      </x:c>
      <x:c r="B1689" s="35" t="str">
        <x:v>effect</x:v>
      </x:c>
      <x:c r="C1689" s="35" t="str">
        <x:v>effect_wakeup_immunity</x:v>
      </x:c>
      <x:c r="D1689" s="35" t="str">
        <x:v>value2</x:v>
      </x:c>
      <x:c r="E1689" s="38" t="str">
        <x:v>int</x:v>
      </x:c>
      <x:c r="F1689" s="56" t="n">
        <x:f>'Effects'!N15</x:f>
        <x:v>0</x:v>
      </x:c>
      <x:c r="G1689" s="38" t="str"/>
      <x:c r="H1689" s="35" t="str">
        <x:v>Effects</x:v>
      </x:c>
      <x:c r="I1689" s="35" t="str">
        <x:v>N15</x:v>
      </x:c>
      <x:c r="J1689" s="85" t="b">
        <x:v>0</x:v>
      </x:c>
      <x:c r="K1689" s="85" t="b">
        <x:v>1</x:v>
      </x:c>
      <x:c r="L1689" s="56" t="str">
        <x:f>'Effects'!U15</x:f>
        <x:v>OK</x:v>
      </x:c>
      <x:c r="M1689" s="44" t="str">
        <x:v>Источник Effects.Value 2</x:v>
      </x:c>
    </x:row>
    <x:row r="1690" ht="36" customHeight="1">
      <x:c r="A1690" s="118" t="n">
        <x:v>1685</x:v>
      </x:c>
      <x:c r="B1690" s="35" t="str">
        <x:v>effect</x:v>
      </x:c>
      <x:c r="C1690" s="35" t="str">
        <x:v>effect_wakeup_immunity</x:v>
      </x:c>
      <x:c r="D1690" s="35" t="str">
        <x:v>tags</x:v>
      </x:c>
      <x:c r="E1690" s="38" t="str">
        <x:v>string</x:v>
      </x:c>
      <x:c r="F1690" s="56" t="str">
        <x:f>'Effects'!O15</x:f>
        <x:v>buff|knockdown|anti_loop</x:v>
      </x:c>
      <x:c r="G1690" s="38" t="str"/>
      <x:c r="H1690" s="35" t="str">
        <x:v>Effects</x:v>
      </x:c>
      <x:c r="I1690" s="35" t="str">
        <x:v>O15</x:v>
      </x:c>
      <x:c r="J1690" s="85" t="b">
        <x:v>1</x:v>
      </x:c>
      <x:c r="K1690" s="85" t="b">
        <x:v>1</x:v>
      </x:c>
      <x:c r="L1690" s="56" t="str">
        <x:f>'Effects'!U15</x:f>
        <x:v>OK</x:v>
      </x:c>
      <x:c r="M1690" s="44" t="str">
        <x:v>Источник Effects.Tags</x:v>
      </x:c>
    </x:row>
    <x:row r="1691" ht="36" customHeight="1">
      <x:c r="A1691" s="118" t="n">
        <x:v>1686</x:v>
      </x:c>
      <x:c r="B1691" s="35" t="str">
        <x:v>effect</x:v>
      </x:c>
      <x:c r="C1691" s="35" t="str">
        <x:v>effect_wakeup_immunity</x:v>
      </x:c>
      <x:c r="D1691" s="35" t="str">
        <x:v>max_activations_per_tick</x:v>
      </x:c>
      <x:c r="E1691" s="38" t="str">
        <x:v>int</x:v>
      </x:c>
      <x:c r="F1691" s="56" t="n">
        <x:f>'Effects'!P15</x:f>
        <x:v>1</x:v>
      </x:c>
      <x:c r="G1691" s="38" t="str"/>
      <x:c r="H1691" s="35" t="str">
        <x:v>Effects</x:v>
      </x:c>
      <x:c r="I1691" s="35" t="str">
        <x:v>P15</x:v>
      </x:c>
      <x:c r="J1691" s="85" t="b">
        <x:v>1</x:v>
      </x:c>
      <x:c r="K1691" s="85" t="b">
        <x:v>1</x:v>
      </x:c>
      <x:c r="L1691" s="56" t="str">
        <x:f>'Effects'!U15</x:f>
        <x:v>OK</x:v>
      </x:c>
      <x:c r="M1691" s="44" t="str">
        <x:v>Источник Effects.Max Activations / Tick</x:v>
      </x:c>
    </x:row>
    <x:row r="1692" ht="36" customHeight="1">
      <x:c r="A1692" s="118" t="n">
        <x:v>1687</x:v>
      </x:c>
      <x:c r="B1692" s="35" t="str">
        <x:v>effect</x:v>
      </x:c>
      <x:c r="C1692" s="35" t="str">
        <x:v>effect_wakeup_immunity</x:v>
      </x:c>
      <x:c r="D1692" s="35" t="str">
        <x:v>max_activations_per_battle</x:v>
      </x:c>
      <x:c r="E1692" s="38" t="str">
        <x:v>int</x:v>
      </x:c>
      <x:c r="F1692" s="56" t="n">
        <x:f>'Effects'!Q15</x:f>
        <x:v>999</x:v>
      </x:c>
      <x:c r="G1692" s="38" t="str"/>
      <x:c r="H1692" s="35" t="str">
        <x:v>Effects</x:v>
      </x:c>
      <x:c r="I1692" s="35" t="str">
        <x:v>Q15</x:v>
      </x:c>
      <x:c r="J1692" s="85" t="b">
        <x:v>1</x:v>
      </x:c>
      <x:c r="K1692" s="85" t="b">
        <x:v>1</x:v>
      </x:c>
      <x:c r="L1692" s="56" t="str">
        <x:f>'Effects'!U15</x:f>
        <x:v>OK</x:v>
      </x:c>
      <x:c r="M1692" s="44" t="str">
        <x:v>Источник Effects.Max Activations / Battle</x:v>
      </x:c>
    </x:row>
    <x:row r="1693" ht="36" customHeight="1">
      <x:c r="A1693" s="118" t="n">
        <x:v>1688</x:v>
      </x:c>
      <x:c r="B1693" s="35" t="str">
        <x:v>effect</x:v>
      </x:c>
      <x:c r="C1693" s="35" t="str">
        <x:v>effect_wakeup_immunity</x:v>
      </x:c>
      <x:c r="D1693" s="35" t="str">
        <x:v>internal_cooldown_ticks</x:v>
      </x:c>
      <x:c r="E1693" s="38" t="str">
        <x:v>int</x:v>
      </x:c>
      <x:c r="F1693" s="56" t="n">
        <x:f>'Effects'!R15</x:f>
        <x:v>0</x:v>
      </x:c>
      <x:c r="G1693" s="38" t="str"/>
      <x:c r="H1693" s="35" t="str">
        <x:v>Effects</x:v>
      </x:c>
      <x:c r="I1693" s="35" t="str">
        <x:v>R15</x:v>
      </x:c>
      <x:c r="J1693" s="85" t="b">
        <x:v>1</x:v>
      </x:c>
      <x:c r="K1693" s="85" t="b">
        <x:v>1</x:v>
      </x:c>
      <x:c r="L1693" s="56" t="str">
        <x:f>'Effects'!U15</x:f>
        <x:v>OK</x:v>
      </x:c>
      <x:c r="M1693" s="44" t="str">
        <x:v>Источник Effects.Internal Cooldown Ticks</x:v>
      </x:c>
    </x:row>
    <x:row r="1694" ht="36" customHeight="1">
      <x:c r="A1694" s="118" t="n">
        <x:v>1689</x:v>
      </x:c>
      <x:c r="B1694" s="35" t="str">
        <x:v>effect</x:v>
      </x:c>
      <x:c r="C1694" s="35" t="str">
        <x:v>effect_wakeup_immunity</x:v>
      </x:c>
      <x:c r="D1694" s="35" t="str">
        <x:v>lookup_profile</x:v>
      </x:c>
      <x:c r="E1694" s="38" t="str">
        <x:v>string</x:v>
      </x:c>
      <x:c r="F1694" s="56" t="n">
        <x:f>'Effects'!S15</x:f>
        <x:v>0</x:v>
      </x:c>
      <x:c r="G1694" s="38" t="str"/>
      <x:c r="H1694" s="35" t="str">
        <x:v>Effects</x:v>
      </x:c>
      <x:c r="I1694" s="35" t="str">
        <x:v>S15</x:v>
      </x:c>
      <x:c r="J1694" s="85" t="b">
        <x:v>0</x:v>
      </x:c>
      <x:c r="K1694" s="85" t="b">
        <x:v>1</x:v>
      </x:c>
      <x:c r="L1694" s="56" t="str">
        <x:f>'Effects'!U15</x:f>
        <x:v>OK</x:v>
      </x:c>
      <x:c r="M1694" s="44" t="str">
        <x:v>Источник Effects.Lookup Profile</x:v>
      </x:c>
    </x:row>
    <x:row r="1695" ht="36" customHeight="1">
      <x:c r="A1695" s="118" t="n">
        <x:v>1690</x:v>
      </x:c>
      <x:c r="B1695" s="35" t="str">
        <x:v>tactic</x:v>
      </x:c>
      <x:c r="C1695" s="35" t="str">
        <x:v>tactic_pressure</x:v>
      </x:c>
      <x:c r="D1695" s="35" t="str">
        <x:v>tactic_id</x:v>
      </x:c>
      <x:c r="E1695" s="38" t="str">
        <x:v>string</x:v>
      </x:c>
      <x:c r="F1695" s="56" t="str">
        <x:f>'Tactics'!A6</x:f>
        <x:v>tactic_pressure</x:v>
      </x:c>
      <x:c r="G1695" s="38" t="str"/>
      <x:c r="H1695" s="35" t="str">
        <x:v>Tactics</x:v>
      </x:c>
      <x:c r="I1695" s="35" t="str">
        <x:v>A6</x:v>
      </x:c>
      <x:c r="J1695" s="85" t="b">
        <x:v>1</x:v>
      </x:c>
      <x:c r="K1695" s="85" t="b">
        <x:v>1</x:v>
      </x:c>
      <x:c r="L1695" s="56" t="str">
        <x:f>'Tactics'!V6</x:f>
        <x:v>OK</x:v>
      </x:c>
      <x:c r="M1695" s="44" t="str">
        <x:v>Источник Tactics.Tactic ID</x:v>
      </x:c>
    </x:row>
    <x:row r="1696" ht="36" customHeight="1">
      <x:c r="A1696" s="118" t="n">
        <x:v>1691</x:v>
      </x:c>
      <x:c r="B1696" s="35" t="str">
        <x:v>tactic</x:v>
      </x:c>
      <x:c r="C1696" s="35" t="str">
        <x:v>tactic_pressure</x:v>
      </x:c>
      <x:c r="D1696" s="35" t="str">
        <x:v>approach_fp</x:v>
      </x:c>
      <x:c r="E1696" s="38" t="str">
        <x:v>int</x:v>
      </x:c>
      <x:c r="F1696" s="56" t="n">
        <x:f>'Tactics'!C6</x:f>
        <x:v>1250</x:v>
      </x:c>
      <x:c r="G1696" s="38" t="str"/>
      <x:c r="H1696" s="35" t="str">
        <x:v>Tactics</x:v>
      </x:c>
      <x:c r="I1696" s="35" t="str">
        <x:v>C6</x:v>
      </x:c>
      <x:c r="J1696" s="85" t="b">
        <x:v>1</x:v>
      </x:c>
      <x:c r="K1696" s="85" t="b">
        <x:v>1</x:v>
      </x:c>
      <x:c r="L1696" s="56" t="str">
        <x:f>'Tactics'!V6</x:f>
        <x:v>OK</x:v>
      </x:c>
      <x:c r="M1696" s="44" t="str">
        <x:v>Источник Tactics.Approach FP</x:v>
      </x:c>
    </x:row>
    <x:row r="1697" ht="36" customHeight="1">
      <x:c r="A1697" s="118" t="n">
        <x:v>1692</x:v>
      </x:c>
      <x:c r="B1697" s="35" t="str">
        <x:v>tactic</x:v>
      </x:c>
      <x:c r="C1697" s="35" t="str">
        <x:v>tactic_pressure</x:v>
      </x:c>
      <x:c r="D1697" s="35" t="str">
        <x:v>retreat_fp</x:v>
      </x:c>
      <x:c r="E1697" s="38" t="str">
        <x:v>int</x:v>
      </x:c>
      <x:c r="F1697" s="56" t="n">
        <x:f>'Tactics'!D6</x:f>
        <x:v>750</x:v>
      </x:c>
      <x:c r="G1697" s="38" t="str"/>
      <x:c r="H1697" s="35" t="str">
        <x:v>Tactics</x:v>
      </x:c>
      <x:c r="I1697" s="35" t="str">
        <x:v>D6</x:v>
      </x:c>
      <x:c r="J1697" s="85" t="b">
        <x:v>1</x:v>
      </x:c>
      <x:c r="K1697" s="85" t="b">
        <x:v>1</x:v>
      </x:c>
      <x:c r="L1697" s="56" t="str">
        <x:f>'Tactics'!V6</x:f>
        <x:v>OK</x:v>
      </x:c>
      <x:c r="M1697" s="44" t="str">
        <x:v>Источник Tactics.Retreat FP</x:v>
      </x:c>
    </x:row>
    <x:row r="1698" ht="36" customHeight="1">
      <x:c r="A1698" s="118" t="n">
        <x:v>1693</x:v>
      </x:c>
      <x:c r="B1698" s="35" t="str">
        <x:v>tactic</x:v>
      </x:c>
      <x:c r="C1698" s="35" t="str">
        <x:v>tactic_pressure</x:v>
      </x:c>
      <x:c r="D1698" s="35" t="str">
        <x:v>light_fp</x:v>
      </x:c>
      <x:c r="E1698" s="38" t="str">
        <x:v>int</x:v>
      </x:c>
      <x:c r="F1698" s="56" t="n">
        <x:f>'Tactics'!E6</x:f>
        <x:v>1150</x:v>
      </x:c>
      <x:c r="G1698" s="38" t="str"/>
      <x:c r="H1698" s="35" t="str">
        <x:v>Tactics</x:v>
      </x:c>
      <x:c r="I1698" s="35" t="str">
        <x:v>E6</x:v>
      </x:c>
      <x:c r="J1698" s="85" t="b">
        <x:v>1</x:v>
      </x:c>
      <x:c r="K1698" s="85" t="b">
        <x:v>1</x:v>
      </x:c>
      <x:c r="L1698" s="56" t="str">
        <x:f>'Tactics'!V6</x:f>
        <x:v>OK</x:v>
      </x:c>
      <x:c r="M1698" s="44" t="str">
        <x:v>Источник Tactics.Light FP</x:v>
      </x:c>
    </x:row>
    <x:row r="1699" ht="36" customHeight="1">
      <x:c r="A1699" s="118" t="n">
        <x:v>1694</x:v>
      </x:c>
      <x:c r="B1699" s="35" t="str">
        <x:v>tactic</x:v>
      </x:c>
      <x:c r="C1699" s="35" t="str">
        <x:v>tactic_pressure</x:v>
      </x:c>
      <x:c r="D1699" s="35" t="str">
        <x:v>heavy_fp</x:v>
      </x:c>
      <x:c r="E1699" s="38" t="str">
        <x:v>int</x:v>
      </x:c>
      <x:c r="F1699" s="56" t="n">
        <x:f>'Tactics'!F6</x:f>
        <x:v>1100</x:v>
      </x:c>
      <x:c r="G1699" s="38" t="str"/>
      <x:c r="H1699" s="35" t="str">
        <x:v>Tactics</x:v>
      </x:c>
      <x:c r="I1699" s="35" t="str">
        <x:v>F6</x:v>
      </x:c>
      <x:c r="J1699" s="85" t="b">
        <x:v>1</x:v>
      </x:c>
      <x:c r="K1699" s="85" t="b">
        <x:v>1</x:v>
      </x:c>
      <x:c r="L1699" s="56" t="str">
        <x:f>'Tactics'!V6</x:f>
        <x:v>OK</x:v>
      </x:c>
      <x:c r="M1699" s="44" t="str">
        <x:v>Источник Tactics.Heavy FP</x:v>
      </x:c>
    </x:row>
    <x:row r="1700" ht="36" customHeight="1">
      <x:c r="A1700" s="118" t="n">
        <x:v>1695</x:v>
      </x:c>
      <x:c r="B1700" s="35" t="str">
        <x:v>tactic</x:v>
      </x:c>
      <x:c r="C1700" s="35" t="str">
        <x:v>tactic_pressure</x:v>
      </x:c>
      <x:c r="D1700" s="35" t="str">
        <x:v>block_fp</x:v>
      </x:c>
      <x:c r="E1700" s="38" t="str">
        <x:v>int</x:v>
      </x:c>
      <x:c r="F1700" s="56" t="n">
        <x:f>'Tactics'!G6</x:f>
        <x:v>850</x:v>
      </x:c>
      <x:c r="G1700" s="38" t="str"/>
      <x:c r="H1700" s="35" t="str">
        <x:v>Tactics</x:v>
      </x:c>
      <x:c r="I1700" s="35" t="str">
        <x:v>G6</x:v>
      </x:c>
      <x:c r="J1700" s="85" t="b">
        <x:v>1</x:v>
      </x:c>
      <x:c r="K1700" s="85" t="b">
        <x:v>1</x:v>
      </x:c>
      <x:c r="L1700" s="56" t="str">
        <x:f>'Tactics'!V6</x:f>
        <x:v>OK</x:v>
      </x:c>
      <x:c r="M1700" s="44" t="str">
        <x:v>Источник Tactics.Block FP</x:v>
      </x:c>
    </x:row>
    <x:row r="1701" ht="36" customHeight="1">
      <x:c r="A1701" s="118" t="n">
        <x:v>1696</x:v>
      </x:c>
      <x:c r="B1701" s="35" t="str">
        <x:v>tactic</x:v>
      </x:c>
      <x:c r="C1701" s="35" t="str">
        <x:v>tactic_pressure</x:v>
      </x:c>
      <x:c r="D1701" s="35" t="str">
        <x:v>dodge_fp</x:v>
      </x:c>
      <x:c r="E1701" s="38" t="str">
        <x:v>int</x:v>
      </x:c>
      <x:c r="F1701" s="56" t="n">
        <x:f>'Tactics'!H6</x:f>
        <x:v>850</x:v>
      </x:c>
      <x:c r="G1701" s="38" t="str"/>
      <x:c r="H1701" s="35" t="str">
        <x:v>Tactics</x:v>
      </x:c>
      <x:c r="I1701" s="35" t="str">
        <x:v>H6</x:v>
      </x:c>
      <x:c r="J1701" s="85" t="b">
        <x:v>1</x:v>
      </x:c>
      <x:c r="K1701" s="85" t="b">
        <x:v>1</x:v>
      </x:c>
      <x:c r="L1701" s="56" t="str">
        <x:f>'Tactics'!V6</x:f>
        <x:v>OK</x:v>
      </x:c>
      <x:c r="M1701" s="44" t="str">
        <x:v>Источник Tactics.Dodge FP</x:v>
      </x:c>
    </x:row>
    <x:row r="1702" ht="36" customHeight="1">
      <x:c r="A1702" s="118" t="n">
        <x:v>1697</x:v>
      </x:c>
      <x:c r="B1702" s="35" t="str">
        <x:v>tactic</x:v>
      </x:c>
      <x:c r="C1702" s="35" t="str">
        <x:v>tactic_pressure</x:v>
      </x:c>
      <x:c r="D1702" s="35" t="str">
        <x:v>counter_fp</x:v>
      </x:c>
      <x:c r="E1702" s="38" t="str">
        <x:v>int</x:v>
      </x:c>
      <x:c r="F1702" s="56" t="n">
        <x:f>'Tactics'!I6</x:f>
        <x:v>800</x:v>
      </x:c>
      <x:c r="G1702" s="38" t="str"/>
      <x:c r="H1702" s="35" t="str">
        <x:v>Tactics</x:v>
      </x:c>
      <x:c r="I1702" s="35" t="str">
        <x:v>I6</x:v>
      </x:c>
      <x:c r="J1702" s="85" t="b">
        <x:v>1</x:v>
      </x:c>
      <x:c r="K1702" s="85" t="b">
        <x:v>1</x:v>
      </x:c>
      <x:c r="L1702" s="56" t="str">
        <x:f>'Tactics'!V6</x:f>
        <x:v>OK</x:v>
      </x:c>
      <x:c r="M1702" s="44" t="str">
        <x:v>Источник Tactics.Counter FP</x:v>
      </x:c>
    </x:row>
    <x:row r="1703" ht="36" customHeight="1">
      <x:c r="A1703" s="118" t="n">
        <x:v>1698</x:v>
      </x:c>
      <x:c r="B1703" s="35" t="str">
        <x:v>tactic</x:v>
      </x:c>
      <x:c r="C1703" s="35" t="str">
        <x:v>tactic_pressure</x:v>
      </x:c>
      <x:c r="D1703" s="35" t="str">
        <x:v>grab_fp</x:v>
      </x:c>
      <x:c r="E1703" s="38" t="str">
        <x:v>int</x:v>
      </x:c>
      <x:c r="F1703" s="56" t="n">
        <x:f>'Tactics'!J6</x:f>
        <x:v>1100</x:v>
      </x:c>
      <x:c r="G1703" s="38" t="str"/>
      <x:c r="H1703" s="35" t="str">
        <x:v>Tactics</x:v>
      </x:c>
      <x:c r="I1703" s="35" t="str">
        <x:v>J6</x:v>
      </x:c>
      <x:c r="J1703" s="85" t="b">
        <x:v>1</x:v>
      </x:c>
      <x:c r="K1703" s="85" t="b">
        <x:v>1</x:v>
      </x:c>
      <x:c r="L1703" s="56" t="str">
        <x:f>'Tactics'!V6</x:f>
        <x:v>OK</x:v>
      </x:c>
      <x:c r="M1703" s="44" t="str">
        <x:v>Источник Tactics.Grab FP</x:v>
      </x:c>
    </x:row>
    <x:row r="1704" ht="36" customHeight="1">
      <x:c r="A1704" s="118" t="n">
        <x:v>1699</x:v>
      </x:c>
      <x:c r="B1704" s="35" t="str">
        <x:v>tactic</x:v>
      </x:c>
      <x:c r="C1704" s="35" t="str">
        <x:v>tactic_pressure</x:v>
      </x:c>
      <x:c r="D1704" s="35" t="str">
        <x:v>signature_fp</x:v>
      </x:c>
      <x:c r="E1704" s="38" t="str">
        <x:v>int</x:v>
      </x:c>
      <x:c r="F1704" s="56" t="n">
        <x:f>'Tactics'!K6</x:f>
        <x:v>1050</x:v>
      </x:c>
      <x:c r="G1704" s="38" t="str"/>
      <x:c r="H1704" s="35" t="str">
        <x:v>Tactics</x:v>
      </x:c>
      <x:c r="I1704" s="35" t="str">
        <x:v>K6</x:v>
      </x:c>
      <x:c r="J1704" s="85" t="b">
        <x:v>1</x:v>
      </x:c>
      <x:c r="K1704" s="85" t="b">
        <x:v>1</x:v>
      </x:c>
      <x:c r="L1704" s="56" t="str">
        <x:f>'Tactics'!V6</x:f>
        <x:v>OK</x:v>
      </x:c>
      <x:c r="M1704" s="44" t="str">
        <x:v>Источник Tactics.Signature FP</x:v>
      </x:c>
    </x:row>
    <x:row r="1705" ht="36" customHeight="1">
      <x:c r="A1705" s="118" t="n">
        <x:v>1700</x:v>
      </x:c>
      <x:c r="B1705" s="35" t="str">
        <x:v>tactic</x:v>
      </x:c>
      <x:c r="C1705" s="35" t="str">
        <x:v>tactic_pressure</x:v>
      </x:c>
      <x:c r="D1705" s="35" t="str">
        <x:v>resource_generator_fp</x:v>
      </x:c>
      <x:c r="E1705" s="38" t="str">
        <x:v>int</x:v>
      </x:c>
      <x:c r="F1705" s="56" t="n">
        <x:f>'Tactics'!L6</x:f>
        <x:v>1000</x:v>
      </x:c>
      <x:c r="G1705" s="38" t="str"/>
      <x:c r="H1705" s="35" t="str">
        <x:v>Tactics</x:v>
      </x:c>
      <x:c r="I1705" s="35" t="str">
        <x:v>L6</x:v>
      </x:c>
      <x:c r="J1705" s="85" t="b">
        <x:v>1</x:v>
      </x:c>
      <x:c r="K1705" s="85" t="b">
        <x:v>1</x:v>
      </x:c>
      <x:c r="L1705" s="56" t="str">
        <x:f>'Tactics'!V6</x:f>
        <x:v>OK</x:v>
      </x:c>
      <x:c r="M1705" s="44" t="str">
        <x:v>Источник Tactics.Resource Generator FP</x:v>
      </x:c>
    </x:row>
    <x:row r="1706" ht="36" customHeight="1">
      <x:c r="A1706" s="118" t="n">
        <x:v>1701</x:v>
      </x:c>
      <x:c r="B1706" s="35" t="str">
        <x:v>tactic</x:v>
      </x:c>
      <x:c r="C1706" s="35" t="str">
        <x:v>tactic_pressure</x:v>
      </x:c>
      <x:c r="D1706" s="35" t="str">
        <x:v>resource_spender_fp</x:v>
      </x:c>
      <x:c r="E1706" s="38" t="str">
        <x:v>int</x:v>
      </x:c>
      <x:c r="F1706" s="56" t="n">
        <x:f>'Tactics'!M6</x:f>
        <x:v>1150</x:v>
      </x:c>
      <x:c r="G1706" s="38" t="str"/>
      <x:c r="H1706" s="35" t="str">
        <x:v>Tactics</x:v>
      </x:c>
      <x:c r="I1706" s="35" t="str">
        <x:v>M6</x:v>
      </x:c>
      <x:c r="J1706" s="85" t="b">
        <x:v>1</x:v>
      </x:c>
      <x:c r="K1706" s="85" t="b">
        <x:v>1</x:v>
      </x:c>
      <x:c r="L1706" s="56" t="str">
        <x:f>'Tactics'!V6</x:f>
        <x:v>OK</x:v>
      </x:c>
      <x:c r="M1706" s="44" t="str">
        <x:v>Источник Tactics.Resource Spender FP</x:v>
      </x:c>
    </x:row>
    <x:row r="1707" ht="36" customHeight="1">
      <x:c r="A1707" s="118" t="n">
        <x:v>1702</x:v>
      </x:c>
      <x:c r="B1707" s="35" t="str">
        <x:v>tactic</x:v>
      </x:c>
      <x:c r="C1707" s="35" t="str">
        <x:v>tactic_pressure</x:v>
      </x:c>
      <x:c r="D1707" s="35" t="str">
        <x:v>target_recovery_fp</x:v>
      </x:c>
      <x:c r="E1707" s="38" t="str">
        <x:v>int</x:v>
      </x:c>
      <x:c r="F1707" s="56" t="n">
        <x:f>'Tactics'!N6</x:f>
        <x:v>1200</x:v>
      </x:c>
      <x:c r="G1707" s="38" t="str"/>
      <x:c r="H1707" s="35" t="str">
        <x:v>Tactics</x:v>
      </x:c>
      <x:c r="I1707" s="35" t="str">
        <x:v>N6</x:v>
      </x:c>
      <x:c r="J1707" s="85" t="b">
        <x:v>1</x:v>
      </x:c>
      <x:c r="K1707" s="85" t="b">
        <x:v>1</x:v>
      </x:c>
      <x:c r="L1707" s="56" t="str">
        <x:f>'Tactics'!V6</x:f>
        <x:v>OK</x:v>
      </x:c>
      <x:c r="M1707" s="44" t="str">
        <x:v>Источник Tactics.Target Recovery FP</x:v>
      </x:c>
    </x:row>
    <x:row r="1708" ht="36" customHeight="1">
      <x:c r="A1708" s="118" t="n">
        <x:v>1703</x:v>
      </x:c>
      <x:c r="B1708" s="35" t="str">
        <x:v>tactic</x:v>
      </x:c>
      <x:c r="C1708" s="35" t="str">
        <x:v>tactic_pressure</x:v>
      </x:c>
      <x:c r="D1708" s="35" t="str">
        <x:v>target_wall_fp</x:v>
      </x:c>
      <x:c r="E1708" s="38" t="str">
        <x:v>int</x:v>
      </x:c>
      <x:c r="F1708" s="56" t="n">
        <x:f>'Tactics'!O6</x:f>
        <x:v>1150</x:v>
      </x:c>
      <x:c r="G1708" s="38" t="str"/>
      <x:c r="H1708" s="35" t="str">
        <x:v>Tactics</x:v>
      </x:c>
      <x:c r="I1708" s="35" t="str">
        <x:v>O6</x:v>
      </x:c>
      <x:c r="J1708" s="85" t="b">
        <x:v>1</x:v>
      </x:c>
      <x:c r="K1708" s="85" t="b">
        <x:v>1</x:v>
      </x:c>
      <x:c r="L1708" s="56" t="str">
        <x:f>'Tactics'!V6</x:f>
        <x:v>OK</x:v>
      </x:c>
      <x:c r="M1708" s="44" t="str">
        <x:v>Источник Tactics.Target Wall FP</x:v>
      </x:c>
    </x:row>
    <x:row r="1709" ht="36" customHeight="1">
      <x:c r="A1709" s="118" t="n">
        <x:v>1704</x:v>
      </x:c>
      <x:c r="B1709" s="35" t="str">
        <x:v>tactic</x:v>
      </x:c>
      <x:c r="C1709" s="35" t="str">
        <x:v>tactic_pressure</x:v>
      </x:c>
      <x:c r="D1709" s="35" t="str">
        <x:v>self_wall_fp</x:v>
      </x:c>
      <x:c r="E1709" s="38" t="str">
        <x:v>int</x:v>
      </x:c>
      <x:c r="F1709" s="56" t="n">
        <x:f>'Tactics'!P6</x:f>
        <x:v>900</x:v>
      </x:c>
      <x:c r="G1709" s="38" t="str"/>
      <x:c r="H1709" s="35" t="str">
        <x:v>Tactics</x:v>
      </x:c>
      <x:c r="I1709" s="35" t="str">
        <x:v>P6</x:v>
      </x:c>
      <x:c r="J1709" s="85" t="b">
        <x:v>1</x:v>
      </x:c>
      <x:c r="K1709" s="85" t="b">
        <x:v>1</x:v>
      </x:c>
      <x:c r="L1709" s="56" t="str">
        <x:f>'Tactics'!V6</x:f>
        <x:v>OK</x:v>
      </x:c>
      <x:c r="M1709" s="44" t="str">
        <x:v>Источник Tactics.Self Wall FP</x:v>
      </x:c>
    </x:row>
    <x:row r="1710" ht="36" customHeight="1">
      <x:c r="A1710" s="118" t="n">
        <x:v>1705</x:v>
      </x:c>
      <x:c r="B1710" s="35" t="str">
        <x:v>tactic</x:v>
      </x:c>
      <x:c r="C1710" s="35" t="str">
        <x:v>tactic_pressure</x:v>
      </x:c>
      <x:c r="D1710" s="35" t="str">
        <x:v>low_hpfp</x:v>
      </x:c>
      <x:c r="E1710" s="38" t="str">
        <x:v>int</x:v>
      </x:c>
      <x:c r="F1710" s="56" t="n">
        <x:f>'Tactics'!Q6</x:f>
        <x:v>1000</x:v>
      </x:c>
      <x:c r="G1710" s="38" t="str"/>
      <x:c r="H1710" s="35" t="str">
        <x:v>Tactics</x:v>
      </x:c>
      <x:c r="I1710" s="35" t="str">
        <x:v>Q6</x:v>
      </x:c>
      <x:c r="J1710" s="85" t="b">
        <x:v>1</x:v>
      </x:c>
      <x:c r="K1710" s="85" t="b">
        <x:v>1</x:v>
      </x:c>
      <x:c r="L1710" s="56" t="str">
        <x:f>'Tactics'!V6</x:f>
        <x:v>OK</x:v>
      </x:c>
      <x:c r="M1710" s="44" t="str">
        <x:v>Источник Tactics.Low HP FP</x:v>
      </x:c>
    </x:row>
    <x:row r="1711" ht="36" customHeight="1">
      <x:c r="A1711" s="118" t="n">
        <x:v>1706</x:v>
      </x:c>
      <x:c r="B1711" s="35" t="str">
        <x:v>tactic</x:v>
      </x:c>
      <x:c r="C1711" s="35" t="str">
        <x:v>tactic_pressure</x:v>
      </x:c>
      <x:c r="D1711" s="35" t="str">
        <x:v>perception_delay_ticks</x:v>
      </x:c>
      <x:c r="E1711" s="38" t="str">
        <x:v>int</x:v>
      </x:c>
      <x:c r="F1711" s="56" t="n">
        <x:f>'Tactics'!R6</x:f>
        <x:v>5</x:v>
      </x:c>
      <x:c r="G1711" s="38" t="str"/>
      <x:c r="H1711" s="35" t="str">
        <x:v>Tactics</x:v>
      </x:c>
      <x:c r="I1711" s="35" t="str">
        <x:v>R6</x:v>
      </x:c>
      <x:c r="J1711" s="85" t="b">
        <x:v>1</x:v>
      </x:c>
      <x:c r="K1711" s="85" t="b">
        <x:v>1</x:v>
      </x:c>
      <x:c r="L1711" s="56" t="str">
        <x:f>'Tactics'!V6</x:f>
        <x:v>OK</x:v>
      </x:c>
      <x:c r="M1711" s="44" t="str">
        <x:v>Источник Tactics.Perception Delay Ticks</x:v>
      </x:c>
    </x:row>
    <x:row r="1712" ht="36" customHeight="1">
      <x:c r="A1712" s="118" t="n">
        <x:v>1707</x:v>
      </x:c>
      <x:c r="B1712" s="35" t="str">
        <x:v>tactic</x:v>
      </x:c>
      <x:c r="C1712" s="35" t="str">
        <x:v>tactic_pressure</x:v>
      </x:c>
      <x:c r="D1712" s="35" t="str">
        <x:v>repeat_penalty_fp</x:v>
      </x:c>
      <x:c r="E1712" s="38" t="str">
        <x:v>int</x:v>
      </x:c>
      <x:c r="F1712" s="56" t="n">
        <x:f>'Tactics'!S6</x:f>
        <x:v>850</x:v>
      </x:c>
      <x:c r="G1712" s="38" t="str"/>
      <x:c r="H1712" s="35" t="str">
        <x:v>Tactics</x:v>
      </x:c>
      <x:c r="I1712" s="35" t="str">
        <x:v>S6</x:v>
      </x:c>
      <x:c r="J1712" s="85" t="b">
        <x:v>1</x:v>
      </x:c>
      <x:c r="K1712" s="85" t="b">
        <x:v>1</x:v>
      </x:c>
      <x:c r="L1712" s="56" t="str">
        <x:f>'Tactics'!V6</x:f>
        <x:v>OK</x:v>
      </x:c>
      <x:c r="M1712" s="44" t="str">
        <x:v>Источник Tactics.Repeat Penalty FP</x:v>
      </x:c>
    </x:row>
    <x:row r="1713" ht="36" customHeight="1">
      <x:c r="A1713" s="118" t="n">
        <x:v>1708</x:v>
      </x:c>
      <x:c r="B1713" s="35" t="str">
        <x:v>tactic</x:v>
      </x:c>
      <x:c r="C1713" s="35" t="str">
        <x:v>tactic_counter</x:v>
      </x:c>
      <x:c r="D1713" s="35" t="str">
        <x:v>tactic_id</x:v>
      </x:c>
      <x:c r="E1713" s="38" t="str">
        <x:v>string</x:v>
      </x:c>
      <x:c r="F1713" s="56" t="str">
        <x:f>'Tactics'!A7</x:f>
        <x:v>tactic_counter</x:v>
      </x:c>
      <x:c r="G1713" s="38" t="str"/>
      <x:c r="H1713" s="35" t="str">
        <x:v>Tactics</x:v>
      </x:c>
      <x:c r="I1713" s="35" t="str">
        <x:v>A7</x:v>
      </x:c>
      <x:c r="J1713" s="85" t="b">
        <x:v>1</x:v>
      </x:c>
      <x:c r="K1713" s="85" t="b">
        <x:v>1</x:v>
      </x:c>
      <x:c r="L1713" s="56" t="str">
        <x:f>'Tactics'!V7</x:f>
        <x:v>OK</x:v>
      </x:c>
      <x:c r="M1713" s="44" t="str">
        <x:v>Источник Tactics.Tactic ID</x:v>
      </x:c>
    </x:row>
    <x:row r="1714" ht="36" customHeight="1">
      <x:c r="A1714" s="118" t="n">
        <x:v>1709</x:v>
      </x:c>
      <x:c r="B1714" s="35" t="str">
        <x:v>tactic</x:v>
      </x:c>
      <x:c r="C1714" s="35" t="str">
        <x:v>tactic_counter</x:v>
      </x:c>
      <x:c r="D1714" s="35" t="str">
        <x:v>approach_fp</x:v>
      </x:c>
      <x:c r="E1714" s="38" t="str">
        <x:v>int</x:v>
      </x:c>
      <x:c r="F1714" s="56" t="n">
        <x:f>'Tactics'!C7</x:f>
        <x:v>850</x:v>
      </x:c>
      <x:c r="G1714" s="38" t="str"/>
      <x:c r="H1714" s="35" t="str">
        <x:v>Tactics</x:v>
      </x:c>
      <x:c r="I1714" s="35" t="str">
        <x:v>C7</x:v>
      </x:c>
      <x:c r="J1714" s="85" t="b">
        <x:v>1</x:v>
      </x:c>
      <x:c r="K1714" s="85" t="b">
        <x:v>1</x:v>
      </x:c>
      <x:c r="L1714" s="56" t="str">
        <x:f>'Tactics'!V7</x:f>
        <x:v>OK</x:v>
      </x:c>
      <x:c r="M1714" s="44" t="str">
        <x:v>Источник Tactics.Approach FP</x:v>
      </x:c>
    </x:row>
    <x:row r="1715" ht="36" customHeight="1">
      <x:c r="A1715" s="118" t="n">
        <x:v>1710</x:v>
      </x:c>
      <x:c r="B1715" s="35" t="str">
        <x:v>tactic</x:v>
      </x:c>
      <x:c r="C1715" s="35" t="str">
        <x:v>tactic_counter</x:v>
      </x:c>
      <x:c r="D1715" s="35" t="str">
        <x:v>retreat_fp</x:v>
      </x:c>
      <x:c r="E1715" s="38" t="str">
        <x:v>int</x:v>
      </x:c>
      <x:c r="F1715" s="56" t="n">
        <x:f>'Tactics'!D7</x:f>
        <x:v>1100</x:v>
      </x:c>
      <x:c r="G1715" s="38" t="str"/>
      <x:c r="H1715" s="35" t="str">
        <x:v>Tactics</x:v>
      </x:c>
      <x:c r="I1715" s="35" t="str">
        <x:v>D7</x:v>
      </x:c>
      <x:c r="J1715" s="85" t="b">
        <x:v>1</x:v>
      </x:c>
      <x:c r="K1715" s="85" t="b">
        <x:v>1</x:v>
      </x:c>
      <x:c r="L1715" s="56" t="str">
        <x:f>'Tactics'!V7</x:f>
        <x:v>OK</x:v>
      </x:c>
      <x:c r="M1715" s="44" t="str">
        <x:v>Источник Tactics.Retreat FP</x:v>
      </x:c>
    </x:row>
    <x:row r="1716" ht="36" customHeight="1">
      <x:c r="A1716" s="118" t="n">
        <x:v>1711</x:v>
      </x:c>
      <x:c r="B1716" s="35" t="str">
        <x:v>tactic</x:v>
      </x:c>
      <x:c r="C1716" s="35" t="str">
        <x:v>tactic_counter</x:v>
      </x:c>
      <x:c r="D1716" s="35" t="str">
        <x:v>light_fp</x:v>
      </x:c>
      <x:c r="E1716" s="38" t="str">
        <x:v>int</x:v>
      </x:c>
      <x:c r="F1716" s="56" t="n">
        <x:f>'Tactics'!E7</x:f>
        <x:v>900</x:v>
      </x:c>
      <x:c r="G1716" s="38" t="str"/>
      <x:c r="H1716" s="35" t="str">
        <x:v>Tactics</x:v>
      </x:c>
      <x:c r="I1716" s="35" t="str">
        <x:v>E7</x:v>
      </x:c>
      <x:c r="J1716" s="85" t="b">
        <x:v>1</x:v>
      </x:c>
      <x:c r="K1716" s="85" t="b">
        <x:v>1</x:v>
      </x:c>
      <x:c r="L1716" s="56" t="str">
        <x:f>'Tactics'!V7</x:f>
        <x:v>OK</x:v>
      </x:c>
      <x:c r="M1716" s="44" t="str">
        <x:v>Источник Tactics.Light FP</x:v>
      </x:c>
    </x:row>
    <x:row r="1717" ht="36" customHeight="1">
      <x:c r="A1717" s="118" t="n">
        <x:v>1712</x:v>
      </x:c>
      <x:c r="B1717" s="35" t="str">
        <x:v>tactic</x:v>
      </x:c>
      <x:c r="C1717" s="35" t="str">
        <x:v>tactic_counter</x:v>
      </x:c>
      <x:c r="D1717" s="35" t="str">
        <x:v>heavy_fp</x:v>
      </x:c>
      <x:c r="E1717" s="38" t="str">
        <x:v>int</x:v>
      </x:c>
      <x:c r="F1717" s="56" t="n">
        <x:f>'Tactics'!F7</x:f>
        <x:v>900</x:v>
      </x:c>
      <x:c r="G1717" s="38" t="str"/>
      <x:c r="H1717" s="35" t="str">
        <x:v>Tactics</x:v>
      </x:c>
      <x:c r="I1717" s="35" t="str">
        <x:v>F7</x:v>
      </x:c>
      <x:c r="J1717" s="85" t="b">
        <x:v>1</x:v>
      </x:c>
      <x:c r="K1717" s="85" t="b">
        <x:v>1</x:v>
      </x:c>
      <x:c r="L1717" s="56" t="str">
        <x:f>'Tactics'!V7</x:f>
        <x:v>OK</x:v>
      </x:c>
      <x:c r="M1717" s="44" t="str">
        <x:v>Источник Tactics.Heavy FP</x:v>
      </x:c>
    </x:row>
    <x:row r="1718" ht="36" customHeight="1">
      <x:c r="A1718" s="118" t="n">
        <x:v>1713</x:v>
      </x:c>
      <x:c r="B1718" s="35" t="str">
        <x:v>tactic</x:v>
      </x:c>
      <x:c r="C1718" s="35" t="str">
        <x:v>tactic_counter</x:v>
      </x:c>
      <x:c r="D1718" s="35" t="str">
        <x:v>block_fp</x:v>
      </x:c>
      <x:c r="E1718" s="38" t="str">
        <x:v>int</x:v>
      </x:c>
      <x:c r="F1718" s="56" t="n">
        <x:f>'Tactics'!G7</x:f>
        <x:v>1350</x:v>
      </x:c>
      <x:c r="G1718" s="38" t="str"/>
      <x:c r="H1718" s="35" t="str">
        <x:v>Tactics</x:v>
      </x:c>
      <x:c r="I1718" s="35" t="str">
        <x:v>G7</x:v>
      </x:c>
      <x:c r="J1718" s="85" t="b">
        <x:v>1</x:v>
      </x:c>
      <x:c r="K1718" s="85" t="b">
        <x:v>1</x:v>
      </x:c>
      <x:c r="L1718" s="56" t="str">
        <x:f>'Tactics'!V7</x:f>
        <x:v>OK</x:v>
      </x:c>
      <x:c r="M1718" s="44" t="str">
        <x:v>Источник Tactics.Block FP</x:v>
      </x:c>
    </x:row>
    <x:row r="1719" ht="36" customHeight="1">
      <x:c r="A1719" s="118" t="n">
        <x:v>1714</x:v>
      </x:c>
      <x:c r="B1719" s="35" t="str">
        <x:v>tactic</x:v>
      </x:c>
      <x:c r="C1719" s="35" t="str">
        <x:v>tactic_counter</x:v>
      </x:c>
      <x:c r="D1719" s="35" t="str">
        <x:v>dodge_fp</x:v>
      </x:c>
      <x:c r="E1719" s="38" t="str">
        <x:v>int</x:v>
      </x:c>
      <x:c r="F1719" s="56" t="n">
        <x:f>'Tactics'!H7</x:f>
        <x:v>1300</x:v>
      </x:c>
      <x:c r="G1719" s="38" t="str"/>
      <x:c r="H1719" s="35" t="str">
        <x:v>Tactics</x:v>
      </x:c>
      <x:c r="I1719" s="35" t="str">
        <x:v>H7</x:v>
      </x:c>
      <x:c r="J1719" s="85" t="b">
        <x:v>1</x:v>
      </x:c>
      <x:c r="K1719" s="85" t="b">
        <x:v>1</x:v>
      </x:c>
      <x:c r="L1719" s="56" t="str">
        <x:f>'Tactics'!V7</x:f>
        <x:v>OK</x:v>
      </x:c>
      <x:c r="M1719" s="44" t="str">
        <x:v>Источник Tactics.Dodge FP</x:v>
      </x:c>
    </x:row>
    <x:row r="1720" ht="36" customHeight="1">
      <x:c r="A1720" s="118" t="n">
        <x:v>1715</x:v>
      </x:c>
      <x:c r="B1720" s="35" t="str">
        <x:v>tactic</x:v>
      </x:c>
      <x:c r="C1720" s="35" t="str">
        <x:v>tactic_counter</x:v>
      </x:c>
      <x:c r="D1720" s="35" t="str">
        <x:v>counter_fp</x:v>
      </x:c>
      <x:c r="E1720" s="38" t="str">
        <x:v>int</x:v>
      </x:c>
      <x:c r="F1720" s="56" t="n">
        <x:f>'Tactics'!I7</x:f>
        <x:v>1450</x:v>
      </x:c>
      <x:c r="G1720" s="38" t="str"/>
      <x:c r="H1720" s="35" t="str">
        <x:v>Tactics</x:v>
      </x:c>
      <x:c r="I1720" s="35" t="str">
        <x:v>I7</x:v>
      </x:c>
      <x:c r="J1720" s="85" t="b">
        <x:v>1</x:v>
      </x:c>
      <x:c r="K1720" s="85" t="b">
        <x:v>1</x:v>
      </x:c>
      <x:c r="L1720" s="56" t="str">
        <x:f>'Tactics'!V7</x:f>
        <x:v>OK</x:v>
      </x:c>
      <x:c r="M1720" s="44" t="str">
        <x:v>Источник Tactics.Counter FP</x:v>
      </x:c>
    </x:row>
    <x:row r="1721" ht="36" customHeight="1">
      <x:c r="A1721" s="118" t="n">
        <x:v>1716</x:v>
      </x:c>
      <x:c r="B1721" s="35" t="str">
        <x:v>tactic</x:v>
      </x:c>
      <x:c r="C1721" s="35" t="str">
        <x:v>tactic_counter</x:v>
      </x:c>
      <x:c r="D1721" s="35" t="str">
        <x:v>grab_fp</x:v>
      </x:c>
      <x:c r="E1721" s="38" t="str">
        <x:v>int</x:v>
      </x:c>
      <x:c r="F1721" s="56" t="n">
        <x:f>'Tactics'!J7</x:f>
        <x:v>1050</x:v>
      </x:c>
      <x:c r="G1721" s="38" t="str"/>
      <x:c r="H1721" s="35" t="str">
        <x:v>Tactics</x:v>
      </x:c>
      <x:c r="I1721" s="35" t="str">
        <x:v>J7</x:v>
      </x:c>
      <x:c r="J1721" s="85" t="b">
        <x:v>1</x:v>
      </x:c>
      <x:c r="K1721" s="85" t="b">
        <x:v>1</x:v>
      </x:c>
      <x:c r="L1721" s="56" t="str">
        <x:f>'Tactics'!V7</x:f>
        <x:v>OK</x:v>
      </x:c>
      <x:c r="M1721" s="44" t="str">
        <x:v>Источник Tactics.Grab FP</x:v>
      </x:c>
    </x:row>
    <x:row r="1722" ht="36" customHeight="1">
      <x:c r="A1722" s="118" t="n">
        <x:v>1717</x:v>
      </x:c>
      <x:c r="B1722" s="35" t="str">
        <x:v>tactic</x:v>
      </x:c>
      <x:c r="C1722" s="35" t="str">
        <x:v>tactic_counter</x:v>
      </x:c>
      <x:c r="D1722" s="35" t="str">
        <x:v>signature_fp</x:v>
      </x:c>
      <x:c r="E1722" s="38" t="str">
        <x:v>int</x:v>
      </x:c>
      <x:c r="F1722" s="56" t="n">
        <x:f>'Tactics'!K7</x:f>
        <x:v>950</x:v>
      </x:c>
      <x:c r="G1722" s="38" t="str"/>
      <x:c r="H1722" s="35" t="str">
        <x:v>Tactics</x:v>
      </x:c>
      <x:c r="I1722" s="35" t="str">
        <x:v>K7</x:v>
      </x:c>
      <x:c r="J1722" s="85" t="b">
        <x:v>1</x:v>
      </x:c>
      <x:c r="K1722" s="85" t="b">
        <x:v>1</x:v>
      </x:c>
      <x:c r="L1722" s="56" t="str">
        <x:f>'Tactics'!V7</x:f>
        <x:v>OK</x:v>
      </x:c>
      <x:c r="M1722" s="44" t="str">
        <x:v>Источник Tactics.Signature FP</x:v>
      </x:c>
    </x:row>
    <x:row r="1723" ht="36" customHeight="1">
      <x:c r="A1723" s="118" t="n">
        <x:v>1718</x:v>
      </x:c>
      <x:c r="B1723" s="35" t="str">
        <x:v>tactic</x:v>
      </x:c>
      <x:c r="C1723" s="35" t="str">
        <x:v>tactic_counter</x:v>
      </x:c>
      <x:c r="D1723" s="35" t="str">
        <x:v>resource_generator_fp</x:v>
      </x:c>
      <x:c r="E1723" s="38" t="str">
        <x:v>int</x:v>
      </x:c>
      <x:c r="F1723" s="56" t="n">
        <x:f>'Tactics'!L7</x:f>
        <x:v>1050</x:v>
      </x:c>
      <x:c r="G1723" s="38" t="str"/>
      <x:c r="H1723" s="35" t="str">
        <x:v>Tactics</x:v>
      </x:c>
      <x:c r="I1723" s="35" t="str">
        <x:v>L7</x:v>
      </x:c>
      <x:c r="J1723" s="85" t="b">
        <x:v>1</x:v>
      </x:c>
      <x:c r="K1723" s="85" t="b">
        <x:v>1</x:v>
      </x:c>
      <x:c r="L1723" s="56" t="str">
        <x:f>'Tactics'!V7</x:f>
        <x:v>OK</x:v>
      </x:c>
      <x:c r="M1723" s="44" t="str">
        <x:v>Источник Tactics.Resource Generator FP</x:v>
      </x:c>
    </x:row>
    <x:row r="1724" ht="36" customHeight="1">
      <x:c r="A1724" s="118" t="n">
        <x:v>1719</x:v>
      </x:c>
      <x:c r="B1724" s="35" t="str">
        <x:v>tactic</x:v>
      </x:c>
      <x:c r="C1724" s="35" t="str">
        <x:v>tactic_counter</x:v>
      </x:c>
      <x:c r="D1724" s="35" t="str">
        <x:v>resource_spender_fp</x:v>
      </x:c>
      <x:c r="E1724" s="38" t="str">
        <x:v>int</x:v>
      </x:c>
      <x:c r="F1724" s="56" t="n">
        <x:f>'Tactics'!M7</x:f>
        <x:v>850</x:v>
      </x:c>
      <x:c r="G1724" s="38" t="str"/>
      <x:c r="H1724" s="35" t="str">
        <x:v>Tactics</x:v>
      </x:c>
      <x:c r="I1724" s="35" t="str">
        <x:v>M7</x:v>
      </x:c>
      <x:c r="J1724" s="85" t="b">
        <x:v>1</x:v>
      </x:c>
      <x:c r="K1724" s="85" t="b">
        <x:v>1</x:v>
      </x:c>
      <x:c r="L1724" s="56" t="str">
        <x:f>'Tactics'!V7</x:f>
        <x:v>OK</x:v>
      </x:c>
      <x:c r="M1724" s="44" t="str">
        <x:v>Источник Tactics.Resource Spender FP</x:v>
      </x:c>
    </x:row>
    <x:row r="1725" ht="36" customHeight="1">
      <x:c r="A1725" s="118" t="n">
        <x:v>1720</x:v>
      </x:c>
      <x:c r="B1725" s="35" t="str">
        <x:v>tactic</x:v>
      </x:c>
      <x:c r="C1725" s="35" t="str">
        <x:v>tactic_counter</x:v>
      </x:c>
      <x:c r="D1725" s="35" t="str">
        <x:v>target_recovery_fp</x:v>
      </x:c>
      <x:c r="E1725" s="38" t="str">
        <x:v>int</x:v>
      </x:c>
      <x:c r="F1725" s="56" t="n">
        <x:f>'Tactics'!N7</x:f>
        <x:v>1400</x:v>
      </x:c>
      <x:c r="G1725" s="38" t="str"/>
      <x:c r="H1725" s="35" t="str">
        <x:v>Tactics</x:v>
      </x:c>
      <x:c r="I1725" s="35" t="str">
        <x:v>N7</x:v>
      </x:c>
      <x:c r="J1725" s="85" t="b">
        <x:v>1</x:v>
      </x:c>
      <x:c r="K1725" s="85" t="b">
        <x:v>1</x:v>
      </x:c>
      <x:c r="L1725" s="56" t="str">
        <x:f>'Tactics'!V7</x:f>
        <x:v>OK</x:v>
      </x:c>
      <x:c r="M1725" s="44" t="str">
        <x:v>Источник Tactics.Target Recovery FP</x:v>
      </x:c>
    </x:row>
    <x:row r="1726" ht="36" customHeight="1">
      <x:c r="A1726" s="118" t="n">
        <x:v>1721</x:v>
      </x:c>
      <x:c r="B1726" s="35" t="str">
        <x:v>tactic</x:v>
      </x:c>
      <x:c r="C1726" s="35" t="str">
        <x:v>tactic_counter</x:v>
      </x:c>
      <x:c r="D1726" s="35" t="str">
        <x:v>target_wall_fp</x:v>
      </x:c>
      <x:c r="E1726" s="38" t="str">
        <x:v>int</x:v>
      </x:c>
      <x:c r="F1726" s="56" t="n">
        <x:f>'Tactics'!O7</x:f>
        <x:v>900</x:v>
      </x:c>
      <x:c r="G1726" s="38" t="str"/>
      <x:c r="H1726" s="35" t="str">
        <x:v>Tactics</x:v>
      </x:c>
      <x:c r="I1726" s="35" t="str">
        <x:v>O7</x:v>
      </x:c>
      <x:c r="J1726" s="85" t="b">
        <x:v>1</x:v>
      </x:c>
      <x:c r="K1726" s="85" t="b">
        <x:v>1</x:v>
      </x:c>
      <x:c r="L1726" s="56" t="str">
        <x:f>'Tactics'!V7</x:f>
        <x:v>OK</x:v>
      </x:c>
      <x:c r="M1726" s="44" t="str">
        <x:v>Источник Tactics.Target Wall FP</x:v>
      </x:c>
    </x:row>
    <x:row r="1727" ht="36" customHeight="1">
      <x:c r="A1727" s="118" t="n">
        <x:v>1722</x:v>
      </x:c>
      <x:c r="B1727" s="35" t="str">
        <x:v>tactic</x:v>
      </x:c>
      <x:c r="C1727" s="35" t="str">
        <x:v>tactic_counter</x:v>
      </x:c>
      <x:c r="D1727" s="35" t="str">
        <x:v>self_wall_fp</x:v>
      </x:c>
      <x:c r="E1727" s="38" t="str">
        <x:v>int</x:v>
      </x:c>
      <x:c r="F1727" s="56" t="n">
        <x:f>'Tactics'!P7</x:f>
        <x:v>1050</x:v>
      </x:c>
      <x:c r="G1727" s="38" t="str"/>
      <x:c r="H1727" s="35" t="str">
        <x:v>Tactics</x:v>
      </x:c>
      <x:c r="I1727" s="35" t="str">
        <x:v>P7</x:v>
      </x:c>
      <x:c r="J1727" s="85" t="b">
        <x:v>1</x:v>
      </x:c>
      <x:c r="K1727" s="85" t="b">
        <x:v>1</x:v>
      </x:c>
      <x:c r="L1727" s="56" t="str">
        <x:f>'Tactics'!V7</x:f>
        <x:v>OK</x:v>
      </x:c>
      <x:c r="M1727" s="44" t="str">
        <x:v>Источник Tactics.Self Wall FP</x:v>
      </x:c>
    </x:row>
    <x:row r="1728" ht="36" customHeight="1">
      <x:c r="A1728" s="118" t="n">
        <x:v>1723</x:v>
      </x:c>
      <x:c r="B1728" s="35" t="str">
        <x:v>tactic</x:v>
      </x:c>
      <x:c r="C1728" s="35" t="str">
        <x:v>tactic_counter</x:v>
      </x:c>
      <x:c r="D1728" s="35" t="str">
        <x:v>low_hpfp</x:v>
      </x:c>
      <x:c r="E1728" s="38" t="str">
        <x:v>int</x:v>
      </x:c>
      <x:c r="F1728" s="56" t="n">
        <x:f>'Tactics'!Q7</x:f>
        <x:v>1150</x:v>
      </x:c>
      <x:c r="G1728" s="38" t="str"/>
      <x:c r="H1728" s="35" t="str">
        <x:v>Tactics</x:v>
      </x:c>
      <x:c r="I1728" s="35" t="str">
        <x:v>Q7</x:v>
      </x:c>
      <x:c r="J1728" s="85" t="b">
        <x:v>1</x:v>
      </x:c>
      <x:c r="K1728" s="85" t="b">
        <x:v>1</x:v>
      </x:c>
      <x:c r="L1728" s="56" t="str">
        <x:f>'Tactics'!V7</x:f>
        <x:v>OK</x:v>
      </x:c>
      <x:c r="M1728" s="44" t="str">
        <x:v>Источник Tactics.Low HP FP</x:v>
      </x:c>
    </x:row>
    <x:row r="1729" ht="36" customHeight="1">
      <x:c r="A1729" s="118" t="n">
        <x:v>1724</x:v>
      </x:c>
      <x:c r="B1729" s="35" t="str">
        <x:v>tactic</x:v>
      </x:c>
      <x:c r="C1729" s="35" t="str">
        <x:v>tactic_counter</x:v>
      </x:c>
      <x:c r="D1729" s="35" t="str">
        <x:v>perception_delay_ticks</x:v>
      </x:c>
      <x:c r="E1729" s="38" t="str">
        <x:v>int</x:v>
      </x:c>
      <x:c r="F1729" s="56" t="n">
        <x:f>'Tactics'!R7</x:f>
        <x:v>3</x:v>
      </x:c>
      <x:c r="G1729" s="38" t="str"/>
      <x:c r="H1729" s="35" t="str">
        <x:v>Tactics</x:v>
      </x:c>
      <x:c r="I1729" s="35" t="str">
        <x:v>R7</x:v>
      </x:c>
      <x:c r="J1729" s="85" t="b">
        <x:v>1</x:v>
      </x:c>
      <x:c r="K1729" s="85" t="b">
        <x:v>1</x:v>
      </x:c>
      <x:c r="L1729" s="56" t="str">
        <x:f>'Tactics'!V7</x:f>
        <x:v>OK</x:v>
      </x:c>
      <x:c r="M1729" s="44" t="str">
        <x:v>Источник Tactics.Perception Delay Ticks</x:v>
      </x:c>
    </x:row>
    <x:row r="1730" ht="36" customHeight="1">
      <x:c r="A1730" s="118" t="n">
        <x:v>1725</x:v>
      </x:c>
      <x:c r="B1730" s="35" t="str">
        <x:v>tactic</x:v>
      </x:c>
      <x:c r="C1730" s="35" t="str">
        <x:v>tactic_counter</x:v>
      </x:c>
      <x:c r="D1730" s="35" t="str">
        <x:v>repeat_penalty_fp</x:v>
      </x:c>
      <x:c r="E1730" s="38" t="str">
        <x:v>int</x:v>
      </x:c>
      <x:c r="F1730" s="56" t="n">
        <x:f>'Tactics'!S7</x:f>
        <x:v>750</x:v>
      </x:c>
      <x:c r="G1730" s="38" t="str"/>
      <x:c r="H1730" s="35" t="str">
        <x:v>Tactics</x:v>
      </x:c>
      <x:c r="I1730" s="35" t="str">
        <x:v>S7</x:v>
      </x:c>
      <x:c r="J1730" s="85" t="b">
        <x:v>1</x:v>
      </x:c>
      <x:c r="K1730" s="85" t="b">
        <x:v>1</x:v>
      </x:c>
      <x:c r="L1730" s="56" t="str">
        <x:f>'Tactics'!V7</x:f>
        <x:v>OK</x:v>
      </x:c>
      <x:c r="M1730" s="44" t="str">
        <x:v>Источник Tactics.Repeat Penalty FP</x:v>
      </x:c>
    </x:row>
    <x:row r="1731" ht="36" customHeight="1">
      <x:c r="A1731" s="118" t="n">
        <x:v>1726</x:v>
      </x:c>
      <x:c r="B1731" s="35" t="str">
        <x:v>tactic</x:v>
      </x:c>
      <x:c r="C1731" s="35" t="str">
        <x:v>tactic_position</x:v>
      </x:c>
      <x:c r="D1731" s="35" t="str">
        <x:v>tactic_id</x:v>
      </x:c>
      <x:c r="E1731" s="38" t="str">
        <x:v>string</x:v>
      </x:c>
      <x:c r="F1731" s="56" t="str">
        <x:f>'Tactics'!A8</x:f>
        <x:v>tactic_position</x:v>
      </x:c>
      <x:c r="G1731" s="38" t="str"/>
      <x:c r="H1731" s="35" t="str">
        <x:v>Tactics</x:v>
      </x:c>
      <x:c r="I1731" s="35" t="str">
        <x:v>A8</x:v>
      </x:c>
      <x:c r="J1731" s="85" t="b">
        <x:v>1</x:v>
      </x:c>
      <x:c r="K1731" s="85" t="b">
        <x:v>1</x:v>
      </x:c>
      <x:c r="L1731" s="56" t="str">
        <x:f>'Tactics'!V8</x:f>
        <x:v>OK</x:v>
      </x:c>
      <x:c r="M1731" s="44" t="str">
        <x:v>Источник Tactics.Tactic ID</x:v>
      </x:c>
    </x:row>
    <x:row r="1732" ht="36" customHeight="1">
      <x:c r="A1732" s="118" t="n">
        <x:v>1727</x:v>
      </x:c>
      <x:c r="B1732" s="35" t="str">
        <x:v>tactic</x:v>
      </x:c>
      <x:c r="C1732" s="35" t="str">
        <x:v>tactic_position</x:v>
      </x:c>
      <x:c r="D1732" s="35" t="str">
        <x:v>approach_fp</x:v>
      </x:c>
      <x:c r="E1732" s="38" t="str">
        <x:v>int</x:v>
      </x:c>
      <x:c r="F1732" s="56" t="n">
        <x:f>'Tactics'!C8</x:f>
        <x:v>1000</x:v>
      </x:c>
      <x:c r="G1732" s="38" t="str"/>
      <x:c r="H1732" s="35" t="str">
        <x:v>Tactics</x:v>
      </x:c>
      <x:c r="I1732" s="35" t="str">
        <x:v>C8</x:v>
      </x:c>
      <x:c r="J1732" s="85" t="b">
        <x:v>1</x:v>
      </x:c>
      <x:c r="K1732" s="85" t="b">
        <x:v>1</x:v>
      </x:c>
      <x:c r="L1732" s="56" t="str">
        <x:f>'Tactics'!V8</x:f>
        <x:v>OK</x:v>
      </x:c>
      <x:c r="M1732" s="44" t="str">
        <x:v>Источник Tactics.Approach FP</x:v>
      </x:c>
    </x:row>
    <x:row r="1733" ht="36" customHeight="1">
      <x:c r="A1733" s="118" t="n">
        <x:v>1728</x:v>
      </x:c>
      <x:c r="B1733" s="35" t="str">
        <x:v>tactic</x:v>
      </x:c>
      <x:c r="C1733" s="35" t="str">
        <x:v>tactic_position</x:v>
      </x:c>
      <x:c r="D1733" s="35" t="str">
        <x:v>retreat_fp</x:v>
      </x:c>
      <x:c r="E1733" s="38" t="str">
        <x:v>int</x:v>
      </x:c>
      <x:c r="F1733" s="56" t="n">
        <x:f>'Tactics'!D8</x:f>
        <x:v>1250</x:v>
      </x:c>
      <x:c r="G1733" s="38" t="str"/>
      <x:c r="H1733" s="35" t="str">
        <x:v>Tactics</x:v>
      </x:c>
      <x:c r="I1733" s="35" t="str">
        <x:v>D8</x:v>
      </x:c>
      <x:c r="J1733" s="85" t="b">
        <x:v>1</x:v>
      </x:c>
      <x:c r="K1733" s="85" t="b">
        <x:v>1</x:v>
      </x:c>
      <x:c r="L1733" s="56" t="str">
        <x:f>'Tactics'!V8</x:f>
        <x:v>OK</x:v>
      </x:c>
      <x:c r="M1733" s="44" t="str">
        <x:v>Источник Tactics.Retreat FP</x:v>
      </x:c>
    </x:row>
    <x:row r="1734" ht="36" customHeight="1">
      <x:c r="A1734" s="118" t="n">
        <x:v>1729</x:v>
      </x:c>
      <x:c r="B1734" s="35" t="str">
        <x:v>tactic</x:v>
      </x:c>
      <x:c r="C1734" s="35" t="str">
        <x:v>tactic_position</x:v>
      </x:c>
      <x:c r="D1734" s="35" t="str">
        <x:v>light_fp</x:v>
      </x:c>
      <x:c r="E1734" s="38" t="str">
        <x:v>int</x:v>
      </x:c>
      <x:c r="F1734" s="56" t="n">
        <x:f>'Tactics'!E8</x:f>
        <x:v>900</x:v>
      </x:c>
      <x:c r="G1734" s="38" t="str"/>
      <x:c r="H1734" s="35" t="str">
        <x:v>Tactics</x:v>
      </x:c>
      <x:c r="I1734" s="35" t="str">
        <x:v>E8</x:v>
      </x:c>
      <x:c r="J1734" s="85" t="b">
        <x:v>1</x:v>
      </x:c>
      <x:c r="K1734" s="85" t="b">
        <x:v>1</x:v>
      </x:c>
      <x:c r="L1734" s="56" t="str">
        <x:f>'Tactics'!V8</x:f>
        <x:v>OK</x:v>
      </x:c>
      <x:c r="M1734" s="44" t="str">
        <x:v>Источник Tactics.Light FP</x:v>
      </x:c>
    </x:row>
    <x:row r="1735" ht="36" customHeight="1">
      <x:c r="A1735" s="118" t="n">
        <x:v>1730</x:v>
      </x:c>
      <x:c r="B1735" s="35" t="str">
        <x:v>tactic</x:v>
      </x:c>
      <x:c r="C1735" s="35" t="str">
        <x:v>tactic_position</x:v>
      </x:c>
      <x:c r="D1735" s="35" t="str">
        <x:v>heavy_fp</x:v>
      </x:c>
      <x:c r="E1735" s="38" t="str">
        <x:v>int</x:v>
      </x:c>
      <x:c r="F1735" s="56" t="n">
        <x:f>'Tactics'!F8</x:f>
        <x:v>950</x:v>
      </x:c>
      <x:c r="G1735" s="38" t="str"/>
      <x:c r="H1735" s="35" t="str">
        <x:v>Tactics</x:v>
      </x:c>
      <x:c r="I1735" s="35" t="str">
        <x:v>F8</x:v>
      </x:c>
      <x:c r="J1735" s="85" t="b">
        <x:v>1</x:v>
      </x:c>
      <x:c r="K1735" s="85" t="b">
        <x:v>1</x:v>
      </x:c>
      <x:c r="L1735" s="56" t="str">
        <x:f>'Tactics'!V8</x:f>
        <x:v>OK</x:v>
      </x:c>
      <x:c r="M1735" s="44" t="str">
        <x:v>Источник Tactics.Heavy FP</x:v>
      </x:c>
    </x:row>
    <x:row r="1736" ht="36" customHeight="1">
      <x:c r="A1736" s="118" t="n">
        <x:v>1731</x:v>
      </x:c>
      <x:c r="B1736" s="35" t="str">
        <x:v>tactic</x:v>
      </x:c>
      <x:c r="C1736" s="35" t="str">
        <x:v>tactic_position</x:v>
      </x:c>
      <x:c r="D1736" s="35" t="str">
        <x:v>block_fp</x:v>
      </x:c>
      <x:c r="E1736" s="38" t="str">
        <x:v>int</x:v>
      </x:c>
      <x:c r="F1736" s="56" t="n">
        <x:f>'Tactics'!G8</x:f>
        <x:v>1000</x:v>
      </x:c>
      <x:c r="G1736" s="38" t="str"/>
      <x:c r="H1736" s="35" t="str">
        <x:v>Tactics</x:v>
      </x:c>
      <x:c r="I1736" s="35" t="str">
        <x:v>G8</x:v>
      </x:c>
      <x:c r="J1736" s="85" t="b">
        <x:v>1</x:v>
      </x:c>
      <x:c r="K1736" s="85" t="b">
        <x:v>1</x:v>
      </x:c>
      <x:c r="L1736" s="56" t="str">
        <x:f>'Tactics'!V8</x:f>
        <x:v>OK</x:v>
      </x:c>
      <x:c r="M1736" s="44" t="str">
        <x:v>Источник Tactics.Block FP</x:v>
      </x:c>
    </x:row>
    <x:row r="1737" ht="36" customHeight="1">
      <x:c r="A1737" s="118" t="n">
        <x:v>1732</x:v>
      </x:c>
      <x:c r="B1737" s="35" t="str">
        <x:v>tactic</x:v>
      </x:c>
      <x:c r="C1737" s="35" t="str">
        <x:v>tactic_position</x:v>
      </x:c>
      <x:c r="D1737" s="35" t="str">
        <x:v>dodge_fp</x:v>
      </x:c>
      <x:c r="E1737" s="38" t="str">
        <x:v>int</x:v>
      </x:c>
      <x:c r="F1737" s="56" t="n">
        <x:f>'Tactics'!H8</x:f>
        <x:v>1150</x:v>
      </x:c>
      <x:c r="G1737" s="38" t="str"/>
      <x:c r="H1737" s="35" t="str">
        <x:v>Tactics</x:v>
      </x:c>
      <x:c r="I1737" s="35" t="str">
        <x:v>H8</x:v>
      </x:c>
      <x:c r="J1737" s="85" t="b">
        <x:v>1</x:v>
      </x:c>
      <x:c r="K1737" s="85" t="b">
        <x:v>1</x:v>
      </x:c>
      <x:c r="L1737" s="56" t="str">
        <x:f>'Tactics'!V8</x:f>
        <x:v>OK</x:v>
      </x:c>
      <x:c r="M1737" s="44" t="str">
        <x:v>Источник Tactics.Dodge FP</x:v>
      </x:c>
    </x:row>
    <x:row r="1738" ht="36" customHeight="1">
      <x:c r="A1738" s="118" t="n">
        <x:v>1733</x:v>
      </x:c>
      <x:c r="B1738" s="35" t="str">
        <x:v>tactic</x:v>
      </x:c>
      <x:c r="C1738" s="35" t="str">
        <x:v>tactic_position</x:v>
      </x:c>
      <x:c r="D1738" s="35" t="str">
        <x:v>counter_fp</x:v>
      </x:c>
      <x:c r="E1738" s="38" t="str">
        <x:v>int</x:v>
      </x:c>
      <x:c r="F1738" s="56" t="n">
        <x:f>'Tactics'!I8</x:f>
        <x:v>1050</x:v>
      </x:c>
      <x:c r="G1738" s="38" t="str"/>
      <x:c r="H1738" s="35" t="str">
        <x:v>Tactics</x:v>
      </x:c>
      <x:c r="I1738" s="35" t="str">
        <x:v>I8</x:v>
      </x:c>
      <x:c r="J1738" s="85" t="b">
        <x:v>1</x:v>
      </x:c>
      <x:c r="K1738" s="85" t="b">
        <x:v>1</x:v>
      </x:c>
      <x:c r="L1738" s="56" t="str">
        <x:f>'Tactics'!V8</x:f>
        <x:v>OK</x:v>
      </x:c>
      <x:c r="M1738" s="44" t="str">
        <x:v>Источник Tactics.Counter FP</x:v>
      </x:c>
    </x:row>
    <x:row r="1739" ht="36" customHeight="1">
      <x:c r="A1739" s="118" t="n">
        <x:v>1734</x:v>
      </x:c>
      <x:c r="B1739" s="35" t="str">
        <x:v>tactic</x:v>
      </x:c>
      <x:c r="C1739" s="35" t="str">
        <x:v>tactic_position</x:v>
      </x:c>
      <x:c r="D1739" s="35" t="str">
        <x:v>grab_fp</x:v>
      </x:c>
      <x:c r="E1739" s="38" t="str">
        <x:v>int</x:v>
      </x:c>
      <x:c r="F1739" s="56" t="n">
        <x:f>'Tactics'!J8</x:f>
        <x:v>1100</x:v>
      </x:c>
      <x:c r="G1739" s="38" t="str"/>
      <x:c r="H1739" s="35" t="str">
        <x:v>Tactics</x:v>
      </x:c>
      <x:c r="I1739" s="35" t="str">
        <x:v>J8</x:v>
      </x:c>
      <x:c r="J1739" s="85" t="b">
        <x:v>1</x:v>
      </x:c>
      <x:c r="K1739" s="85" t="b">
        <x:v>1</x:v>
      </x:c>
      <x:c r="L1739" s="56" t="str">
        <x:f>'Tactics'!V8</x:f>
        <x:v>OK</x:v>
      </x:c>
      <x:c r="M1739" s="44" t="str">
        <x:v>Источник Tactics.Grab FP</x:v>
      </x:c>
    </x:row>
    <x:row r="1740" ht="36" customHeight="1">
      <x:c r="A1740" s="118" t="n">
        <x:v>1735</x:v>
      </x:c>
      <x:c r="B1740" s="35" t="str">
        <x:v>tactic</x:v>
      </x:c>
      <x:c r="C1740" s="35" t="str">
        <x:v>tactic_position</x:v>
      </x:c>
      <x:c r="D1740" s="35" t="str">
        <x:v>signature_fp</x:v>
      </x:c>
      <x:c r="E1740" s="38" t="str">
        <x:v>int</x:v>
      </x:c>
      <x:c r="F1740" s="56" t="n">
        <x:f>'Tactics'!K8</x:f>
        <x:v>1050</x:v>
      </x:c>
      <x:c r="G1740" s="38" t="str"/>
      <x:c r="H1740" s="35" t="str">
        <x:v>Tactics</x:v>
      </x:c>
      <x:c r="I1740" s="35" t="str">
        <x:v>K8</x:v>
      </x:c>
      <x:c r="J1740" s="85" t="b">
        <x:v>1</x:v>
      </x:c>
      <x:c r="K1740" s="85" t="b">
        <x:v>1</x:v>
      </x:c>
      <x:c r="L1740" s="56" t="str">
        <x:f>'Tactics'!V8</x:f>
        <x:v>OK</x:v>
      </x:c>
      <x:c r="M1740" s="44" t="str">
        <x:v>Источник Tactics.Signature FP</x:v>
      </x:c>
    </x:row>
    <x:row r="1741" ht="36" customHeight="1">
      <x:c r="A1741" s="118" t="n">
        <x:v>1736</x:v>
      </x:c>
      <x:c r="B1741" s="35" t="str">
        <x:v>tactic</x:v>
      </x:c>
      <x:c r="C1741" s="35" t="str">
        <x:v>tactic_position</x:v>
      </x:c>
      <x:c r="D1741" s="35" t="str">
        <x:v>resource_generator_fp</x:v>
      </x:c>
      <x:c r="E1741" s="38" t="str">
        <x:v>int</x:v>
      </x:c>
      <x:c r="F1741" s="56" t="n">
        <x:f>'Tactics'!L8</x:f>
        <x:v>1150</x:v>
      </x:c>
      <x:c r="G1741" s="38" t="str"/>
      <x:c r="H1741" s="35" t="str">
        <x:v>Tactics</x:v>
      </x:c>
      <x:c r="I1741" s="35" t="str">
        <x:v>L8</x:v>
      </x:c>
      <x:c r="J1741" s="85" t="b">
        <x:v>1</x:v>
      </x:c>
      <x:c r="K1741" s="85" t="b">
        <x:v>1</x:v>
      </x:c>
      <x:c r="L1741" s="56" t="str">
        <x:f>'Tactics'!V8</x:f>
        <x:v>OK</x:v>
      </x:c>
      <x:c r="M1741" s="44" t="str">
        <x:v>Источник Tactics.Resource Generator FP</x:v>
      </x:c>
    </x:row>
    <x:row r="1742" ht="36" customHeight="1">
      <x:c r="A1742" s="118" t="n">
        <x:v>1737</x:v>
      </x:c>
      <x:c r="B1742" s="35" t="str">
        <x:v>tactic</x:v>
      </x:c>
      <x:c r="C1742" s="35" t="str">
        <x:v>tactic_position</x:v>
      </x:c>
      <x:c r="D1742" s="35" t="str">
        <x:v>resource_spender_fp</x:v>
      </x:c>
      <x:c r="E1742" s="38" t="str">
        <x:v>int</x:v>
      </x:c>
      <x:c r="F1742" s="56" t="n">
        <x:f>'Tactics'!M8</x:f>
        <x:v>950</x:v>
      </x:c>
      <x:c r="G1742" s="38" t="str"/>
      <x:c r="H1742" s="35" t="str">
        <x:v>Tactics</x:v>
      </x:c>
      <x:c r="I1742" s="35" t="str">
        <x:v>M8</x:v>
      </x:c>
      <x:c r="J1742" s="85" t="b">
        <x:v>1</x:v>
      </x:c>
      <x:c r="K1742" s="85" t="b">
        <x:v>1</x:v>
      </x:c>
      <x:c r="L1742" s="56" t="str">
        <x:f>'Tactics'!V8</x:f>
        <x:v>OK</x:v>
      </x:c>
      <x:c r="M1742" s="44" t="str">
        <x:v>Источник Tactics.Resource Spender FP</x:v>
      </x:c>
    </x:row>
    <x:row r="1743" ht="36" customHeight="1">
      <x:c r="A1743" s="118" t="n">
        <x:v>1738</x:v>
      </x:c>
      <x:c r="B1743" s="35" t="str">
        <x:v>tactic</x:v>
      </x:c>
      <x:c r="C1743" s="35" t="str">
        <x:v>tactic_position</x:v>
      </x:c>
      <x:c r="D1743" s="35" t="str">
        <x:v>target_recovery_fp</x:v>
      </x:c>
      <x:c r="E1743" s="38" t="str">
        <x:v>int</x:v>
      </x:c>
      <x:c r="F1743" s="56" t="n">
        <x:f>'Tactics'!N8</x:f>
        <x:v>1050</x:v>
      </x:c>
      <x:c r="G1743" s="38" t="str"/>
      <x:c r="H1743" s="35" t="str">
        <x:v>Tactics</x:v>
      </x:c>
      <x:c r="I1743" s="35" t="str">
        <x:v>N8</x:v>
      </x:c>
      <x:c r="J1743" s="85" t="b">
        <x:v>1</x:v>
      </x:c>
      <x:c r="K1743" s="85" t="b">
        <x:v>1</x:v>
      </x:c>
      <x:c r="L1743" s="56" t="str">
        <x:f>'Tactics'!V8</x:f>
        <x:v>OK</x:v>
      </x:c>
      <x:c r="M1743" s="44" t="str">
        <x:v>Источник Tactics.Target Recovery FP</x:v>
      </x:c>
    </x:row>
    <x:row r="1744" ht="36" customHeight="1">
      <x:c r="A1744" s="118" t="n">
        <x:v>1739</x:v>
      </x:c>
      <x:c r="B1744" s="35" t="str">
        <x:v>tactic</x:v>
      </x:c>
      <x:c r="C1744" s="35" t="str">
        <x:v>tactic_position</x:v>
      </x:c>
      <x:c r="D1744" s="35" t="str">
        <x:v>target_wall_fp</x:v>
      </x:c>
      <x:c r="E1744" s="38" t="str">
        <x:v>int</x:v>
      </x:c>
      <x:c r="F1744" s="56" t="n">
        <x:f>'Tactics'!O8</x:f>
        <x:v>1400</x:v>
      </x:c>
      <x:c r="G1744" s="38" t="str"/>
      <x:c r="H1744" s="35" t="str">
        <x:v>Tactics</x:v>
      </x:c>
      <x:c r="I1744" s="35" t="str">
        <x:v>O8</x:v>
      </x:c>
      <x:c r="J1744" s="85" t="b">
        <x:v>1</x:v>
      </x:c>
      <x:c r="K1744" s="85" t="b">
        <x:v>1</x:v>
      </x:c>
      <x:c r="L1744" s="56" t="str">
        <x:f>'Tactics'!V8</x:f>
        <x:v>OK</x:v>
      </x:c>
      <x:c r="M1744" s="44" t="str">
        <x:v>Источник Tactics.Target Wall FP</x:v>
      </x:c>
    </x:row>
    <x:row r="1745" ht="36" customHeight="1">
      <x:c r="A1745" s="118" t="n">
        <x:v>1740</x:v>
      </x:c>
      <x:c r="B1745" s="35" t="str">
        <x:v>tactic</x:v>
      </x:c>
      <x:c r="C1745" s="35" t="str">
        <x:v>tactic_position</x:v>
      </x:c>
      <x:c r="D1745" s="35" t="str">
        <x:v>self_wall_fp</x:v>
      </x:c>
      <x:c r="E1745" s="38" t="str">
        <x:v>int</x:v>
      </x:c>
      <x:c r="F1745" s="56" t="n">
        <x:f>'Tactics'!P8</x:f>
        <x:v>1350</x:v>
      </x:c>
      <x:c r="G1745" s="38" t="str"/>
      <x:c r="H1745" s="35" t="str">
        <x:v>Tactics</x:v>
      </x:c>
      <x:c r="I1745" s="35" t="str">
        <x:v>P8</x:v>
      </x:c>
      <x:c r="J1745" s="85" t="b">
        <x:v>1</x:v>
      </x:c>
      <x:c r="K1745" s="85" t="b">
        <x:v>1</x:v>
      </x:c>
      <x:c r="L1745" s="56" t="str">
        <x:f>'Tactics'!V8</x:f>
        <x:v>OK</x:v>
      </x:c>
      <x:c r="M1745" s="44" t="str">
        <x:v>Источник Tactics.Self Wall FP</x:v>
      </x:c>
    </x:row>
    <x:row r="1746" ht="36" customHeight="1">
      <x:c r="A1746" s="118" t="n">
        <x:v>1741</x:v>
      </x:c>
      <x:c r="B1746" s="35" t="str">
        <x:v>tactic</x:v>
      </x:c>
      <x:c r="C1746" s="35" t="str">
        <x:v>tactic_position</x:v>
      </x:c>
      <x:c r="D1746" s="35" t="str">
        <x:v>low_hpfp</x:v>
      </x:c>
      <x:c r="E1746" s="38" t="str">
        <x:v>int</x:v>
      </x:c>
      <x:c r="F1746" s="56" t="n">
        <x:f>'Tactics'!Q8</x:f>
        <x:v>1000</x:v>
      </x:c>
      <x:c r="G1746" s="38" t="str"/>
      <x:c r="H1746" s="35" t="str">
        <x:v>Tactics</x:v>
      </x:c>
      <x:c r="I1746" s="35" t="str">
        <x:v>Q8</x:v>
      </x:c>
      <x:c r="J1746" s="85" t="b">
        <x:v>1</x:v>
      </x:c>
      <x:c r="K1746" s="85" t="b">
        <x:v>1</x:v>
      </x:c>
      <x:c r="L1746" s="56" t="str">
        <x:f>'Tactics'!V8</x:f>
        <x:v>OK</x:v>
      </x:c>
      <x:c r="M1746" s="44" t="str">
        <x:v>Источник Tactics.Low HP FP</x:v>
      </x:c>
    </x:row>
    <x:row r="1747" ht="36" customHeight="1">
      <x:c r="A1747" s="118" t="n">
        <x:v>1742</x:v>
      </x:c>
      <x:c r="B1747" s="35" t="str">
        <x:v>tactic</x:v>
      </x:c>
      <x:c r="C1747" s="35" t="str">
        <x:v>tactic_position</x:v>
      </x:c>
      <x:c r="D1747" s="35" t="str">
        <x:v>perception_delay_ticks</x:v>
      </x:c>
      <x:c r="E1747" s="38" t="str">
        <x:v>int</x:v>
      </x:c>
      <x:c r="F1747" s="56" t="n">
        <x:f>'Tactics'!R8</x:f>
        <x:v>5</x:v>
      </x:c>
      <x:c r="G1747" s="38" t="str"/>
      <x:c r="H1747" s="35" t="str">
        <x:v>Tactics</x:v>
      </x:c>
      <x:c r="I1747" s="35" t="str">
        <x:v>R8</x:v>
      </x:c>
      <x:c r="J1747" s="85" t="b">
        <x:v>1</x:v>
      </x:c>
      <x:c r="K1747" s="85" t="b">
        <x:v>1</x:v>
      </x:c>
      <x:c r="L1747" s="56" t="str">
        <x:f>'Tactics'!V8</x:f>
        <x:v>OK</x:v>
      </x:c>
      <x:c r="M1747" s="44" t="str">
        <x:v>Источник Tactics.Perception Delay Ticks</x:v>
      </x:c>
    </x:row>
    <x:row r="1748" ht="36" customHeight="1">
      <x:c r="A1748" s="118" t="n">
        <x:v>1743</x:v>
      </x:c>
      <x:c r="B1748" s="35" t="str">
        <x:v>tactic</x:v>
      </x:c>
      <x:c r="C1748" s="35" t="str">
        <x:v>tactic_position</x:v>
      </x:c>
      <x:c r="D1748" s="35" t="str">
        <x:v>repeat_penalty_fp</x:v>
      </x:c>
      <x:c r="E1748" s="38" t="str">
        <x:v>int</x:v>
      </x:c>
      <x:c r="F1748" s="56" t="n">
        <x:f>'Tactics'!S8</x:f>
        <x:v>800</x:v>
      </x:c>
      <x:c r="G1748" s="38" t="str"/>
      <x:c r="H1748" s="35" t="str">
        <x:v>Tactics</x:v>
      </x:c>
      <x:c r="I1748" s="35" t="str">
        <x:v>S8</x:v>
      </x:c>
      <x:c r="J1748" s="85" t="b">
        <x:v>1</x:v>
      </x:c>
      <x:c r="K1748" s="85" t="b">
        <x:v>1</x:v>
      </x:c>
      <x:c r="L1748" s="56" t="str">
        <x:f>'Tactics'!V8</x:f>
        <x:v>OK</x:v>
      </x:c>
      <x:c r="M1748" s="44" t="str">
        <x:v>Источник Tactics.Repeat Penalty FP</x:v>
      </x:c>
    </x:row>
    <x:row r="1749" ht="36" customHeight="1">
      <x:c r="A1749" s="118" t="n">
        <x:v>1744</x:v>
      </x:c>
      <x:c r="B1749" s="35" t="str">
        <x:v>tactic</x:v>
      </x:c>
      <x:c r="C1749" s="35" t="str">
        <x:v>tactic_signature</x:v>
      </x:c>
      <x:c r="D1749" s="35" t="str">
        <x:v>tactic_id</x:v>
      </x:c>
      <x:c r="E1749" s="38" t="str">
        <x:v>string</x:v>
      </x:c>
      <x:c r="F1749" s="56" t="str">
        <x:f>'Tactics'!A9</x:f>
        <x:v>tactic_signature</x:v>
      </x:c>
      <x:c r="G1749" s="38" t="str"/>
      <x:c r="H1749" s="35" t="str">
        <x:v>Tactics</x:v>
      </x:c>
      <x:c r="I1749" s="35" t="str">
        <x:v>A9</x:v>
      </x:c>
      <x:c r="J1749" s="85" t="b">
        <x:v>1</x:v>
      </x:c>
      <x:c r="K1749" s="85" t="b">
        <x:v>1</x:v>
      </x:c>
      <x:c r="L1749" s="56" t="str">
        <x:f>'Tactics'!V9</x:f>
        <x:v>OK</x:v>
      </x:c>
      <x:c r="M1749" s="44" t="str">
        <x:v>Источник Tactics.Tactic ID</x:v>
      </x:c>
    </x:row>
    <x:row r="1750" ht="36" customHeight="1">
      <x:c r="A1750" s="118" t="n">
        <x:v>1745</x:v>
      </x:c>
      <x:c r="B1750" s="35" t="str">
        <x:v>tactic</x:v>
      </x:c>
      <x:c r="C1750" s="35" t="str">
        <x:v>tactic_signature</x:v>
      </x:c>
      <x:c r="D1750" s="35" t="str">
        <x:v>approach_fp</x:v>
      </x:c>
      <x:c r="E1750" s="38" t="str">
        <x:v>int</x:v>
      </x:c>
      <x:c r="F1750" s="56" t="n">
        <x:f>'Tactics'!C9</x:f>
        <x:v>1050</x:v>
      </x:c>
      <x:c r="G1750" s="38" t="str"/>
      <x:c r="H1750" s="35" t="str">
        <x:v>Tactics</x:v>
      </x:c>
      <x:c r="I1750" s="35" t="str">
        <x:v>C9</x:v>
      </x:c>
      <x:c r="J1750" s="85" t="b">
        <x:v>1</x:v>
      </x:c>
      <x:c r="K1750" s="85" t="b">
        <x:v>1</x:v>
      </x:c>
      <x:c r="L1750" s="56" t="str">
        <x:f>'Tactics'!V9</x:f>
        <x:v>OK</x:v>
      </x:c>
      <x:c r="M1750" s="44" t="str">
        <x:v>Источник Tactics.Approach FP</x:v>
      </x:c>
    </x:row>
    <x:row r="1751" ht="36" customHeight="1">
      <x:c r="A1751" s="118" t="n">
        <x:v>1746</x:v>
      </x:c>
      <x:c r="B1751" s="35" t="str">
        <x:v>tactic</x:v>
      </x:c>
      <x:c r="C1751" s="35" t="str">
        <x:v>tactic_signature</x:v>
      </x:c>
      <x:c r="D1751" s="35" t="str">
        <x:v>retreat_fp</x:v>
      </x:c>
      <x:c r="E1751" s="38" t="str">
        <x:v>int</x:v>
      </x:c>
      <x:c r="F1751" s="56" t="n">
        <x:f>'Tactics'!D9</x:f>
        <x:v>900</x:v>
      </x:c>
      <x:c r="G1751" s="38" t="str"/>
      <x:c r="H1751" s="35" t="str">
        <x:v>Tactics</x:v>
      </x:c>
      <x:c r="I1751" s="35" t="str">
        <x:v>D9</x:v>
      </x:c>
      <x:c r="J1751" s="85" t="b">
        <x:v>1</x:v>
      </x:c>
      <x:c r="K1751" s="85" t="b">
        <x:v>1</x:v>
      </x:c>
      <x:c r="L1751" s="56" t="str">
        <x:f>'Tactics'!V9</x:f>
        <x:v>OK</x:v>
      </x:c>
      <x:c r="M1751" s="44" t="str">
        <x:v>Источник Tactics.Retreat FP</x:v>
      </x:c>
    </x:row>
    <x:row r="1752" ht="36" customHeight="1">
      <x:c r="A1752" s="118" t="n">
        <x:v>1747</x:v>
      </x:c>
      <x:c r="B1752" s="35" t="str">
        <x:v>tactic</x:v>
      </x:c>
      <x:c r="C1752" s="35" t="str">
        <x:v>tactic_signature</x:v>
      </x:c>
      <x:c r="D1752" s="35" t="str">
        <x:v>light_fp</x:v>
      </x:c>
      <x:c r="E1752" s="38" t="str">
        <x:v>int</x:v>
      </x:c>
      <x:c r="F1752" s="56" t="n">
        <x:f>'Tactics'!E9</x:f>
        <x:v>850</x:v>
      </x:c>
      <x:c r="G1752" s="38" t="str"/>
      <x:c r="H1752" s="35" t="str">
        <x:v>Tactics</x:v>
      </x:c>
      <x:c r="I1752" s="35" t="str">
        <x:v>E9</x:v>
      </x:c>
      <x:c r="J1752" s="85" t="b">
        <x:v>1</x:v>
      </x:c>
      <x:c r="K1752" s="85" t="b">
        <x:v>1</x:v>
      </x:c>
      <x:c r="L1752" s="56" t="str">
        <x:f>'Tactics'!V9</x:f>
        <x:v>OK</x:v>
      </x:c>
      <x:c r="M1752" s="44" t="str">
        <x:v>Источник Tactics.Light FP</x:v>
      </x:c>
    </x:row>
    <x:row r="1753" ht="36" customHeight="1">
      <x:c r="A1753" s="118" t="n">
        <x:v>1748</x:v>
      </x:c>
      <x:c r="B1753" s="35" t="str">
        <x:v>tactic</x:v>
      </x:c>
      <x:c r="C1753" s="35" t="str">
        <x:v>tactic_signature</x:v>
      </x:c>
      <x:c r="D1753" s="35" t="str">
        <x:v>heavy_fp</x:v>
      </x:c>
      <x:c r="E1753" s="38" t="str">
        <x:v>int</x:v>
      </x:c>
      <x:c r="F1753" s="56" t="n">
        <x:f>'Tactics'!F9</x:f>
        <x:v>1000</x:v>
      </x:c>
      <x:c r="G1753" s="38" t="str"/>
      <x:c r="H1753" s="35" t="str">
        <x:v>Tactics</x:v>
      </x:c>
      <x:c r="I1753" s="35" t="str">
        <x:v>F9</x:v>
      </x:c>
      <x:c r="J1753" s="85" t="b">
        <x:v>1</x:v>
      </x:c>
      <x:c r="K1753" s="85" t="b">
        <x:v>1</x:v>
      </x:c>
      <x:c r="L1753" s="56" t="str">
        <x:f>'Tactics'!V9</x:f>
        <x:v>OK</x:v>
      </x:c>
      <x:c r="M1753" s="44" t="str">
        <x:v>Источник Tactics.Heavy FP</x:v>
      </x:c>
    </x:row>
    <x:row r="1754" ht="36" customHeight="1">
      <x:c r="A1754" s="118" t="n">
        <x:v>1749</x:v>
      </x:c>
      <x:c r="B1754" s="35" t="str">
        <x:v>tactic</x:v>
      </x:c>
      <x:c r="C1754" s="35" t="str">
        <x:v>tactic_signature</x:v>
      </x:c>
      <x:c r="D1754" s="35" t="str">
        <x:v>block_fp</x:v>
      </x:c>
      <x:c r="E1754" s="38" t="str">
        <x:v>int</x:v>
      </x:c>
      <x:c r="F1754" s="56" t="n">
        <x:f>'Tactics'!G9</x:f>
        <x:v>950</x:v>
      </x:c>
      <x:c r="G1754" s="38" t="str"/>
      <x:c r="H1754" s="35" t="str">
        <x:v>Tactics</x:v>
      </x:c>
      <x:c r="I1754" s="35" t="str">
        <x:v>G9</x:v>
      </x:c>
      <x:c r="J1754" s="85" t="b">
        <x:v>1</x:v>
      </x:c>
      <x:c r="K1754" s="85" t="b">
        <x:v>1</x:v>
      </x:c>
      <x:c r="L1754" s="56" t="str">
        <x:f>'Tactics'!V9</x:f>
        <x:v>OK</x:v>
      </x:c>
      <x:c r="M1754" s="44" t="str">
        <x:v>Источник Tactics.Block FP</x:v>
      </x:c>
    </x:row>
    <x:row r="1755" ht="36" customHeight="1">
      <x:c r="A1755" s="118" t="n">
        <x:v>1750</x:v>
      </x:c>
      <x:c r="B1755" s="35" t="str">
        <x:v>tactic</x:v>
      </x:c>
      <x:c r="C1755" s="35" t="str">
        <x:v>tactic_signature</x:v>
      </x:c>
      <x:c r="D1755" s="35" t="str">
        <x:v>dodge_fp</x:v>
      </x:c>
      <x:c r="E1755" s="38" t="str">
        <x:v>int</x:v>
      </x:c>
      <x:c r="F1755" s="56" t="n">
        <x:f>'Tactics'!H9</x:f>
        <x:v>950</x:v>
      </x:c>
      <x:c r="G1755" s="38" t="str"/>
      <x:c r="H1755" s="35" t="str">
        <x:v>Tactics</x:v>
      </x:c>
      <x:c r="I1755" s="35" t="str">
        <x:v>H9</x:v>
      </x:c>
      <x:c r="J1755" s="85" t="b">
        <x:v>1</x:v>
      </x:c>
      <x:c r="K1755" s="85" t="b">
        <x:v>1</x:v>
      </x:c>
      <x:c r="L1755" s="56" t="str">
        <x:f>'Tactics'!V9</x:f>
        <x:v>OK</x:v>
      </x:c>
      <x:c r="M1755" s="44" t="str">
        <x:v>Источник Tactics.Dodge FP</x:v>
      </x:c>
    </x:row>
    <x:row r="1756" ht="36" customHeight="1">
      <x:c r="A1756" s="118" t="n">
        <x:v>1751</x:v>
      </x:c>
      <x:c r="B1756" s="35" t="str">
        <x:v>tactic</x:v>
      </x:c>
      <x:c r="C1756" s="35" t="str">
        <x:v>tactic_signature</x:v>
      </x:c>
      <x:c r="D1756" s="35" t="str">
        <x:v>counter_fp</x:v>
      </x:c>
      <x:c r="E1756" s="38" t="str">
        <x:v>int</x:v>
      </x:c>
      <x:c r="F1756" s="56" t="n">
        <x:f>'Tactics'!I9</x:f>
        <x:v>1000</x:v>
      </x:c>
      <x:c r="G1756" s="38" t="str"/>
      <x:c r="H1756" s="35" t="str">
        <x:v>Tactics</x:v>
      </x:c>
      <x:c r="I1756" s="35" t="str">
        <x:v>I9</x:v>
      </x:c>
      <x:c r="J1756" s="85" t="b">
        <x:v>1</x:v>
      </x:c>
      <x:c r="K1756" s="85" t="b">
        <x:v>1</x:v>
      </x:c>
      <x:c r="L1756" s="56" t="str">
        <x:f>'Tactics'!V9</x:f>
        <x:v>OK</x:v>
      </x:c>
      <x:c r="M1756" s="44" t="str">
        <x:v>Источник Tactics.Counter FP</x:v>
      </x:c>
    </x:row>
    <x:row r="1757" ht="36" customHeight="1">
      <x:c r="A1757" s="118" t="n">
        <x:v>1752</x:v>
      </x:c>
      <x:c r="B1757" s="35" t="str">
        <x:v>tactic</x:v>
      </x:c>
      <x:c r="C1757" s="35" t="str">
        <x:v>tactic_signature</x:v>
      </x:c>
      <x:c r="D1757" s="35" t="str">
        <x:v>grab_fp</x:v>
      </x:c>
      <x:c r="E1757" s="38" t="str">
        <x:v>int</x:v>
      </x:c>
      <x:c r="F1757" s="56" t="n">
        <x:f>'Tactics'!J9</x:f>
        <x:v>1050</x:v>
      </x:c>
      <x:c r="G1757" s="38" t="str"/>
      <x:c r="H1757" s="35" t="str">
        <x:v>Tactics</x:v>
      </x:c>
      <x:c r="I1757" s="35" t="str">
        <x:v>J9</x:v>
      </x:c>
      <x:c r="J1757" s="85" t="b">
        <x:v>1</x:v>
      </x:c>
      <x:c r="K1757" s="85" t="b">
        <x:v>1</x:v>
      </x:c>
      <x:c r="L1757" s="56" t="str">
        <x:f>'Tactics'!V9</x:f>
        <x:v>OK</x:v>
      </x:c>
      <x:c r="M1757" s="44" t="str">
        <x:v>Источник Tactics.Grab FP</x:v>
      </x:c>
    </x:row>
    <x:row r="1758" ht="36" customHeight="1">
      <x:c r="A1758" s="118" t="n">
        <x:v>1753</x:v>
      </x:c>
      <x:c r="B1758" s="35" t="str">
        <x:v>tactic</x:v>
      </x:c>
      <x:c r="C1758" s="35" t="str">
        <x:v>tactic_signature</x:v>
      </x:c>
      <x:c r="D1758" s="35" t="str">
        <x:v>signature_fp</x:v>
      </x:c>
      <x:c r="E1758" s="38" t="str">
        <x:v>int</x:v>
      </x:c>
      <x:c r="F1758" s="56" t="n">
        <x:f>'Tactics'!K9</x:f>
        <x:v>1450</x:v>
      </x:c>
      <x:c r="G1758" s="38" t="str"/>
      <x:c r="H1758" s="35" t="str">
        <x:v>Tactics</x:v>
      </x:c>
      <x:c r="I1758" s="35" t="str">
        <x:v>K9</x:v>
      </x:c>
      <x:c r="J1758" s="85" t="b">
        <x:v>1</x:v>
      </x:c>
      <x:c r="K1758" s="85" t="b">
        <x:v>1</x:v>
      </x:c>
      <x:c r="L1758" s="56" t="str">
        <x:f>'Tactics'!V9</x:f>
        <x:v>OK</x:v>
      </x:c>
      <x:c r="M1758" s="44" t="str">
        <x:v>Источник Tactics.Signature FP</x:v>
      </x:c>
    </x:row>
    <x:row r="1759" ht="36" customHeight="1">
      <x:c r="A1759" s="118" t="n">
        <x:v>1754</x:v>
      </x:c>
      <x:c r="B1759" s="35" t="str">
        <x:v>tactic</x:v>
      </x:c>
      <x:c r="C1759" s="35" t="str">
        <x:v>tactic_signature</x:v>
      </x:c>
      <x:c r="D1759" s="35" t="str">
        <x:v>resource_generator_fp</x:v>
      </x:c>
      <x:c r="E1759" s="38" t="str">
        <x:v>int</x:v>
      </x:c>
      <x:c r="F1759" s="56" t="n">
        <x:f>'Tactics'!L9</x:f>
        <x:v>1350</x:v>
      </x:c>
      <x:c r="G1759" s="38" t="str"/>
      <x:c r="H1759" s="35" t="str">
        <x:v>Tactics</x:v>
      </x:c>
      <x:c r="I1759" s="35" t="str">
        <x:v>L9</x:v>
      </x:c>
      <x:c r="J1759" s="85" t="b">
        <x:v>1</x:v>
      </x:c>
      <x:c r="K1759" s="85" t="b">
        <x:v>1</x:v>
      </x:c>
      <x:c r="L1759" s="56" t="str">
        <x:f>'Tactics'!V9</x:f>
        <x:v>OK</x:v>
      </x:c>
      <x:c r="M1759" s="44" t="str">
        <x:v>Источник Tactics.Resource Generator FP</x:v>
      </x:c>
    </x:row>
    <x:row r="1760" ht="36" customHeight="1">
      <x:c r="A1760" s="118" t="n">
        <x:v>1755</x:v>
      </x:c>
      <x:c r="B1760" s="35" t="str">
        <x:v>tactic</x:v>
      </x:c>
      <x:c r="C1760" s="35" t="str">
        <x:v>tactic_signature</x:v>
      </x:c>
      <x:c r="D1760" s="35" t="str">
        <x:v>resource_spender_fp</x:v>
      </x:c>
      <x:c r="E1760" s="38" t="str">
        <x:v>int</x:v>
      </x:c>
      <x:c r="F1760" s="56" t="n">
        <x:f>'Tactics'!M9</x:f>
        <x:v>1250</x:v>
      </x:c>
      <x:c r="G1760" s="38" t="str"/>
      <x:c r="H1760" s="35" t="str">
        <x:v>Tactics</x:v>
      </x:c>
      <x:c r="I1760" s="35" t="str">
        <x:v>M9</x:v>
      </x:c>
      <x:c r="J1760" s="85" t="b">
        <x:v>1</x:v>
      </x:c>
      <x:c r="K1760" s="85" t="b">
        <x:v>1</x:v>
      </x:c>
      <x:c r="L1760" s="56" t="str">
        <x:f>'Tactics'!V9</x:f>
        <x:v>OK</x:v>
      </x:c>
      <x:c r="M1760" s="44" t="str">
        <x:v>Источник Tactics.Resource Spender FP</x:v>
      </x:c>
    </x:row>
    <x:row r="1761" ht="36" customHeight="1">
      <x:c r="A1761" s="118" t="n">
        <x:v>1756</x:v>
      </x:c>
      <x:c r="B1761" s="35" t="str">
        <x:v>tactic</x:v>
      </x:c>
      <x:c r="C1761" s="35" t="str">
        <x:v>tactic_signature</x:v>
      </x:c>
      <x:c r="D1761" s="35" t="str">
        <x:v>target_recovery_fp</x:v>
      </x:c>
      <x:c r="E1761" s="38" t="str">
        <x:v>int</x:v>
      </x:c>
      <x:c r="F1761" s="56" t="n">
        <x:f>'Tactics'!N9</x:f>
        <x:v>1150</x:v>
      </x:c>
      <x:c r="G1761" s="38" t="str"/>
      <x:c r="H1761" s="35" t="str">
        <x:v>Tactics</x:v>
      </x:c>
      <x:c r="I1761" s="35" t="str">
        <x:v>N9</x:v>
      </x:c>
      <x:c r="J1761" s="85" t="b">
        <x:v>1</x:v>
      </x:c>
      <x:c r="K1761" s="85" t="b">
        <x:v>1</x:v>
      </x:c>
      <x:c r="L1761" s="56" t="str">
        <x:f>'Tactics'!V9</x:f>
        <x:v>OK</x:v>
      </x:c>
      <x:c r="M1761" s="44" t="str">
        <x:v>Источник Tactics.Target Recovery FP</x:v>
      </x:c>
    </x:row>
    <x:row r="1762" ht="36" customHeight="1">
      <x:c r="A1762" s="118" t="n">
        <x:v>1757</x:v>
      </x:c>
      <x:c r="B1762" s="35" t="str">
        <x:v>tactic</x:v>
      </x:c>
      <x:c r="C1762" s="35" t="str">
        <x:v>tactic_signature</x:v>
      </x:c>
      <x:c r="D1762" s="35" t="str">
        <x:v>target_wall_fp</x:v>
      </x:c>
      <x:c r="E1762" s="38" t="str">
        <x:v>int</x:v>
      </x:c>
      <x:c r="F1762" s="56" t="n">
        <x:f>'Tactics'!O9</x:f>
        <x:v>1200</x:v>
      </x:c>
      <x:c r="G1762" s="38" t="str"/>
      <x:c r="H1762" s="35" t="str">
        <x:v>Tactics</x:v>
      </x:c>
      <x:c r="I1762" s="35" t="str">
        <x:v>O9</x:v>
      </x:c>
      <x:c r="J1762" s="85" t="b">
        <x:v>1</x:v>
      </x:c>
      <x:c r="K1762" s="85" t="b">
        <x:v>1</x:v>
      </x:c>
      <x:c r="L1762" s="56" t="str">
        <x:f>'Tactics'!V9</x:f>
        <x:v>OK</x:v>
      </x:c>
      <x:c r="M1762" s="44" t="str">
        <x:v>Источник Tactics.Target Wall FP</x:v>
      </x:c>
    </x:row>
    <x:row r="1763" ht="36" customHeight="1">
      <x:c r="A1763" s="118" t="n">
        <x:v>1758</x:v>
      </x:c>
      <x:c r="B1763" s="35" t="str">
        <x:v>tactic</x:v>
      </x:c>
      <x:c r="C1763" s="35" t="str">
        <x:v>tactic_signature</x:v>
      </x:c>
      <x:c r="D1763" s="35" t="str">
        <x:v>self_wall_fp</x:v>
      </x:c>
      <x:c r="E1763" s="38" t="str">
        <x:v>int</x:v>
      </x:c>
      <x:c r="F1763" s="56" t="n">
        <x:f>'Tactics'!P9</x:f>
        <x:v>1000</x:v>
      </x:c>
      <x:c r="G1763" s="38" t="str"/>
      <x:c r="H1763" s="35" t="str">
        <x:v>Tactics</x:v>
      </x:c>
      <x:c r="I1763" s="35" t="str">
        <x:v>P9</x:v>
      </x:c>
      <x:c r="J1763" s="85" t="b">
        <x:v>1</x:v>
      </x:c>
      <x:c r="K1763" s="85" t="b">
        <x:v>1</x:v>
      </x:c>
      <x:c r="L1763" s="56" t="str">
        <x:f>'Tactics'!V9</x:f>
        <x:v>OK</x:v>
      </x:c>
      <x:c r="M1763" s="44" t="str">
        <x:v>Источник Tactics.Self Wall FP</x:v>
      </x:c>
    </x:row>
    <x:row r="1764" ht="36" customHeight="1">
      <x:c r="A1764" s="118" t="n">
        <x:v>1759</x:v>
      </x:c>
      <x:c r="B1764" s="35" t="str">
        <x:v>tactic</x:v>
      </x:c>
      <x:c r="C1764" s="35" t="str">
        <x:v>tactic_signature</x:v>
      </x:c>
      <x:c r="D1764" s="35" t="str">
        <x:v>low_hpfp</x:v>
      </x:c>
      <x:c r="E1764" s="38" t="str">
        <x:v>int</x:v>
      </x:c>
      <x:c r="F1764" s="56" t="n">
        <x:f>'Tactics'!Q9</x:f>
        <x:v>1200</x:v>
      </x:c>
      <x:c r="G1764" s="38" t="str"/>
      <x:c r="H1764" s="35" t="str">
        <x:v>Tactics</x:v>
      </x:c>
      <x:c r="I1764" s="35" t="str">
        <x:v>Q9</x:v>
      </x:c>
      <x:c r="J1764" s="85" t="b">
        <x:v>1</x:v>
      </x:c>
      <x:c r="K1764" s="85" t="b">
        <x:v>1</x:v>
      </x:c>
      <x:c r="L1764" s="56" t="str">
        <x:f>'Tactics'!V9</x:f>
        <x:v>OK</x:v>
      </x:c>
      <x:c r="M1764" s="44" t="str">
        <x:v>Источник Tactics.Low HP FP</x:v>
      </x:c>
    </x:row>
    <x:row r="1765" ht="36" customHeight="1">
      <x:c r="A1765" s="118" t="n">
        <x:v>1760</x:v>
      </x:c>
      <x:c r="B1765" s="35" t="str">
        <x:v>tactic</x:v>
      </x:c>
      <x:c r="C1765" s="35" t="str">
        <x:v>tactic_signature</x:v>
      </x:c>
      <x:c r="D1765" s="35" t="str">
        <x:v>perception_delay_ticks</x:v>
      </x:c>
      <x:c r="E1765" s="38" t="str">
        <x:v>int</x:v>
      </x:c>
      <x:c r="F1765" s="56" t="n">
        <x:f>'Tactics'!R9</x:f>
        <x:v>5</x:v>
      </x:c>
      <x:c r="G1765" s="38" t="str"/>
      <x:c r="H1765" s="35" t="str">
        <x:v>Tactics</x:v>
      </x:c>
      <x:c r="I1765" s="35" t="str">
        <x:v>R9</x:v>
      </x:c>
      <x:c r="J1765" s="85" t="b">
        <x:v>1</x:v>
      </x:c>
      <x:c r="K1765" s="85" t="b">
        <x:v>1</x:v>
      </x:c>
      <x:c r="L1765" s="56" t="str">
        <x:f>'Tactics'!V9</x:f>
        <x:v>OK</x:v>
      </x:c>
      <x:c r="M1765" s="44" t="str">
        <x:v>Источник Tactics.Perception Delay Ticks</x:v>
      </x:c>
    </x:row>
    <x:row r="1766" ht="36" customHeight="1">
      <x:c r="A1766" s="118" t="n">
        <x:v>1761</x:v>
      </x:c>
      <x:c r="B1766" s="35" t="str">
        <x:v>tactic</x:v>
      </x:c>
      <x:c r="C1766" s="35" t="str">
        <x:v>tactic_signature</x:v>
      </x:c>
      <x:c r="D1766" s="35" t="str">
        <x:v>repeat_penalty_fp</x:v>
      </x:c>
      <x:c r="E1766" s="38" t="str">
        <x:v>int</x:v>
      </x:c>
      <x:c r="F1766" s="56" t="n">
        <x:f>'Tactics'!S9</x:f>
        <x:v>800</x:v>
      </x:c>
      <x:c r="G1766" s="38" t="str"/>
      <x:c r="H1766" s="35" t="str">
        <x:v>Tactics</x:v>
      </x:c>
      <x:c r="I1766" s="35" t="str">
        <x:v>S9</x:v>
      </x:c>
      <x:c r="J1766" s="85" t="b">
        <x:v>1</x:v>
      </x:c>
      <x:c r="K1766" s="85" t="b">
        <x:v>1</x:v>
      </x:c>
      <x:c r="L1766" s="56" t="str">
        <x:f>'Tactics'!V9</x:f>
        <x:v>OK</x:v>
      </x:c>
      <x:c r="M1766" s="44" t="str">
        <x:v>Источник Tactics.Repeat Penalty FP</x:v>
      </x:c>
    </x:row>
    <x:row r="1767" ht="36" customHeight="1">
      <x:c r="A1767" s="118" t="n">
        <x:v>1762</x:v>
      </x:c>
      <x:c r="B1767" s="35" t="str">
        <x:v>gear</x:v>
      </x:c>
      <x:c r="C1767" s="35" t="str">
        <x:v>gear_offense_power_wraps</x:v>
      </x:c>
      <x:c r="D1767" s="35" t="str">
        <x:v>gear_id</x:v>
      </x:c>
      <x:c r="E1767" s="38" t="str">
        <x:v>string</x:v>
      </x:c>
      <x:c r="F1767" s="56" t="str">
        <x:f>'Gear'!A6</x:f>
        <x:v>gear_offense_power_wraps</x:v>
      </x:c>
      <x:c r="G1767" s="38" t="str"/>
      <x:c r="H1767" s="35" t="str">
        <x:v>Gear</x:v>
      </x:c>
      <x:c r="I1767" s="35" t="str">
        <x:v>A6</x:v>
      </x:c>
      <x:c r="J1767" s="85" t="b">
        <x:v>1</x:v>
      </x:c>
      <x:c r="K1767" s="85" t="b">
        <x:v>1</x:v>
      </x:c>
      <x:c r="L1767" s="56" t="str">
        <x:f>'Gear'!M6</x:f>
        <x:v>OK</x:v>
      </x:c>
      <x:c r="M1767" s="44" t="str">
        <x:v>Источник Gear.Gear ID</x:v>
      </x:c>
    </x:row>
    <x:row r="1768" ht="36" customHeight="1">
      <x:c r="A1768" s="118" t="n">
        <x:v>1763</x:v>
      </x:c>
      <x:c r="B1768" s="35" t="str">
        <x:v>gear</x:v>
      </x:c>
      <x:c r="C1768" s="35" t="str">
        <x:v>gear_offense_power_wraps</x:v>
      </x:c>
      <x:c r="D1768" s="35" t="str">
        <x:v>slot</x:v>
      </x:c>
      <x:c r="E1768" s="38" t="str">
        <x:v>string</x:v>
      </x:c>
      <x:c r="F1768" s="56" t="str">
        <x:f>'Gear'!C6</x:f>
        <x:v>Offense</x:v>
      </x:c>
      <x:c r="G1768" s="38" t="str"/>
      <x:c r="H1768" s="35" t="str">
        <x:v>Gear</x:v>
      </x:c>
      <x:c r="I1768" s="35" t="str">
        <x:v>C6</x:v>
      </x:c>
      <x:c r="J1768" s="85" t="b">
        <x:v>1</x:v>
      </x:c>
      <x:c r="K1768" s="85" t="b">
        <x:v>1</x:v>
      </x:c>
      <x:c r="L1768" s="56" t="str">
        <x:f>'Gear'!M6</x:f>
        <x:v>OK</x:v>
      </x:c>
      <x:c r="M1768" s="44" t="str">
        <x:v>Источник Gear.Slot</x:v>
      </x:c>
    </x:row>
    <x:row r="1769" ht="36" customHeight="1">
      <x:c r="A1769" s="118" t="n">
        <x:v>1764</x:v>
      </x:c>
      <x:c r="B1769" s="35" t="str">
        <x:v>gear</x:v>
      </x:c>
      <x:c r="C1769" s="35" t="str">
        <x:v>gear_offense_power_wraps</x:v>
      </x:c>
      <x:c r="D1769" s="35" t="str">
        <x:v>stat1</x:v>
      </x:c>
      <x:c r="E1769" s="38" t="str">
        <x:v>string</x:v>
      </x:c>
      <x:c r="F1769" s="56" t="str">
        <x:f>'Gear'!D6</x:f>
        <x:v>Power</x:v>
      </x:c>
      <x:c r="G1769" s="38" t="str"/>
      <x:c r="H1769" s="35" t="str">
        <x:v>Gear</x:v>
      </x:c>
      <x:c r="I1769" s="35" t="str">
        <x:v>D6</x:v>
      </x:c>
      <x:c r="J1769" s="85" t="b">
        <x:v>1</x:v>
      </x:c>
      <x:c r="K1769" s="85" t="b">
        <x:v>1</x:v>
      </x:c>
      <x:c r="L1769" s="56" t="str">
        <x:f>'Gear'!M6</x:f>
        <x:v>OK</x:v>
      </x:c>
      <x:c r="M1769" s="44" t="str">
        <x:v>Источник Gear.Stat 1</x:v>
      </x:c>
    </x:row>
    <x:row r="1770" ht="36" customHeight="1">
      <x:c r="A1770" s="118" t="n">
        <x:v>1765</x:v>
      </x:c>
      <x:c r="B1770" s="35" t="str">
        <x:v>gear</x:v>
      </x:c>
      <x:c r="C1770" s="35" t="str">
        <x:v>gear_offense_power_wraps</x:v>
      </x:c>
      <x:c r="D1770" s="35" t="str">
        <x:v>operation1</x:v>
      </x:c>
      <x:c r="E1770" s="38" t="str">
        <x:v>string</x:v>
      </x:c>
      <x:c r="F1770" s="56" t="str">
        <x:f>'Gear'!E6</x:f>
        <x:v>Add</x:v>
      </x:c>
      <x:c r="G1770" s="38" t="str"/>
      <x:c r="H1770" s="35" t="str">
        <x:v>Gear</x:v>
      </x:c>
      <x:c r="I1770" s="35" t="str">
        <x:v>E6</x:v>
      </x:c>
      <x:c r="J1770" s="85" t="b">
        <x:v>1</x:v>
      </x:c>
      <x:c r="K1770" s="85" t="b">
        <x:v>1</x:v>
      </x:c>
      <x:c r="L1770" s="56" t="str">
        <x:f>'Gear'!M6</x:f>
        <x:v>OK</x:v>
      </x:c>
      <x:c r="M1770" s="44" t="str">
        <x:v>Источник Gear.Operation 1</x:v>
      </x:c>
    </x:row>
    <x:row r="1771" ht="36" customHeight="1">
      <x:c r="A1771" s="118" t="n">
        <x:v>1766</x:v>
      </x:c>
      <x:c r="B1771" s="35" t="str">
        <x:v>gear</x:v>
      </x:c>
      <x:c r="C1771" s="35" t="str">
        <x:v>gear_offense_power_wraps</x:v>
      </x:c>
      <x:c r="D1771" s="35" t="str">
        <x:v>value1</x:v>
      </x:c>
      <x:c r="E1771" s="38" t="str">
        <x:v>int</x:v>
      </x:c>
      <x:c r="F1771" s="56" t="n">
        <x:f>'Gear'!F6</x:f>
        <x:v>12</x:v>
      </x:c>
      <x:c r="G1771" s="38" t="str"/>
      <x:c r="H1771" s="35" t="str">
        <x:v>Gear</x:v>
      </x:c>
      <x:c r="I1771" s="35" t="str">
        <x:v>F6</x:v>
      </x:c>
      <x:c r="J1771" s="85" t="b">
        <x:v>1</x:v>
      </x:c>
      <x:c r="K1771" s="85" t="b">
        <x:v>1</x:v>
      </x:c>
      <x:c r="L1771" s="56" t="str">
        <x:f>'Gear'!M6</x:f>
        <x:v>OK</x:v>
      </x:c>
      <x:c r="M1771" s="44" t="str">
        <x:v>Источник Gear.Value 1</x:v>
      </x:c>
    </x:row>
    <x:row r="1772" ht="36" customHeight="1">
      <x:c r="A1772" s="118" t="n">
        <x:v>1767</x:v>
      </x:c>
      <x:c r="B1772" s="35" t="str">
        <x:v>gear</x:v>
      </x:c>
      <x:c r="C1772" s="35" t="str">
        <x:v>gear_offense_power_wraps</x:v>
      </x:c>
      <x:c r="D1772" s="35" t="str">
        <x:v>stat2</x:v>
      </x:c>
      <x:c r="E1772" s="38" t="str">
        <x:v>string</x:v>
      </x:c>
      <x:c r="F1772" s="56" t="str">
        <x:f>'Gear'!G6</x:f>
      </x:c>
      <x:c r="G1772" s="38" t="str"/>
      <x:c r="H1772" s="35" t="str">
        <x:v>Gear</x:v>
      </x:c>
      <x:c r="I1772" s="35" t="str">
        <x:v>G6</x:v>
      </x:c>
      <x:c r="J1772" s="85" t="b">
        <x:v>0</x:v>
      </x:c>
      <x:c r="K1772" s="85" t="b">
        <x:v>1</x:v>
      </x:c>
      <x:c r="L1772" s="56" t="str">
        <x:f>'Gear'!M6</x:f>
        <x:v>OK</x:v>
      </x:c>
      <x:c r="M1772" s="44" t="str">
        <x:v>Источник Gear.Stat 2</x:v>
      </x:c>
    </x:row>
    <x:row r="1773" ht="36" customHeight="1">
      <x:c r="A1773" s="118" t="n">
        <x:v>1768</x:v>
      </x:c>
      <x:c r="B1773" s="35" t="str">
        <x:v>gear</x:v>
      </x:c>
      <x:c r="C1773" s="35" t="str">
        <x:v>gear_offense_power_wraps</x:v>
      </x:c>
      <x:c r="D1773" s="35" t="str">
        <x:v>operation2</x:v>
      </x:c>
      <x:c r="E1773" s="38" t="str">
        <x:v>string</x:v>
      </x:c>
      <x:c r="F1773" s="56" t="str">
        <x:f>'Gear'!H6</x:f>
        <x:v>Add</x:v>
      </x:c>
      <x:c r="G1773" s="38" t="str"/>
      <x:c r="H1773" s="35" t="str">
        <x:v>Gear</x:v>
      </x:c>
      <x:c r="I1773" s="35" t="str">
        <x:v>H6</x:v>
      </x:c>
      <x:c r="J1773" s="85" t="b">
        <x:v>0</x:v>
      </x:c>
      <x:c r="K1773" s="85" t="b">
        <x:v>1</x:v>
      </x:c>
      <x:c r="L1773" s="56" t="str">
        <x:f>'Gear'!M6</x:f>
        <x:v>OK</x:v>
      </x:c>
      <x:c r="M1773" s="44" t="str">
        <x:v>Источник Gear.Operation 2</x:v>
      </x:c>
    </x:row>
    <x:row r="1774" ht="36" customHeight="1">
      <x:c r="A1774" s="118" t="n">
        <x:v>1769</x:v>
      </x:c>
      <x:c r="B1774" s="35" t="str">
        <x:v>gear</x:v>
      </x:c>
      <x:c r="C1774" s="35" t="str">
        <x:v>gear_offense_power_wraps</x:v>
      </x:c>
      <x:c r="D1774" s="35" t="str">
        <x:v>value2</x:v>
      </x:c>
      <x:c r="E1774" s="38" t="str">
        <x:v>int</x:v>
      </x:c>
      <x:c r="F1774" s="56" t="n">
        <x:f>'Gear'!I6</x:f>
        <x:v>0</x:v>
      </x:c>
      <x:c r="G1774" s="38" t="str"/>
      <x:c r="H1774" s="35" t="str">
        <x:v>Gear</x:v>
      </x:c>
      <x:c r="I1774" s="35" t="str">
        <x:v>I6</x:v>
      </x:c>
      <x:c r="J1774" s="85" t="b">
        <x:v>0</x:v>
      </x:c>
      <x:c r="K1774" s="85" t="b">
        <x:v>1</x:v>
      </x:c>
      <x:c r="L1774" s="56" t="str">
        <x:f>'Gear'!M6</x:f>
        <x:v>OK</x:v>
      </x:c>
      <x:c r="M1774" s="44" t="str">
        <x:v>Источник Gear.Value 2</x:v>
      </x:c>
    </x:row>
    <x:row r="1775" ht="36" customHeight="1">
      <x:c r="A1775" s="118" t="n">
        <x:v>1770</x:v>
      </x:c>
      <x:c r="B1775" s="35" t="str">
        <x:v>gear</x:v>
      </x:c>
      <x:c r="C1775" s="35" t="str">
        <x:v>gear_offense_power_wraps</x:v>
      </x:c>
      <x:c r="D1775" s="35" t="str">
        <x:v>tags</x:v>
      </x:c>
      <x:c r="E1775" s="38" t="str">
        <x:v>string</x:v>
      </x:c>
      <x:c r="F1775" s="56" t="str">
        <x:f>'Gear'!J6</x:f>
        <x:v>power|strike</x:v>
      </x:c>
      <x:c r="G1775" s="38" t="str"/>
      <x:c r="H1775" s="35" t="str">
        <x:v>Gear</x:v>
      </x:c>
      <x:c r="I1775" s="35" t="str">
        <x:v>J6</x:v>
      </x:c>
      <x:c r="J1775" s="85" t="b">
        <x:v>1</x:v>
      </x:c>
      <x:c r="K1775" s="85" t="b">
        <x:v>1</x:v>
      </x:c>
      <x:c r="L1775" s="56" t="str">
        <x:f>'Gear'!M6</x:f>
        <x:v>OK</x:v>
      </x:c>
      <x:c r="M1775" s="44" t="str">
        <x:v>Источник Gear.Tags</x:v>
      </x:c>
    </x:row>
    <x:row r="1776" ht="36" customHeight="1">
      <x:c r="A1776" s="118" t="n">
        <x:v>1771</x:v>
      </x:c>
      <x:c r="B1776" s="35" t="str">
        <x:v>gear</x:v>
      </x:c>
      <x:c r="C1776" s="35" t="str">
        <x:v>gear_offense_power_wraps</x:v>
      </x:c>
      <x:c r="D1776" s="35" t="str">
        <x:v>normalized_value</x:v>
      </x:c>
      <x:c r="E1776" s="38" t="str">
        <x:v>int</x:v>
      </x:c>
      <x:c r="F1776" s="56" t="n">
        <x:f>'Gear'!K6</x:f>
        <x:v>1000</x:v>
      </x:c>
      <x:c r="G1776" s="38" t="str"/>
      <x:c r="H1776" s="35" t="str">
        <x:v>Gear</x:v>
      </x:c>
      <x:c r="I1776" s="35" t="str">
        <x:v>K6</x:v>
      </x:c>
      <x:c r="J1776" s="85" t="b">
        <x:v>1</x:v>
      </x:c>
      <x:c r="K1776" s="85" t="b">
        <x:v>1</x:v>
      </x:c>
      <x:c r="L1776" s="56" t="str">
        <x:f>'Gear'!M6</x:f>
        <x:v>OK</x:v>
      </x:c>
      <x:c r="M1776" s="44" t="str">
        <x:v>Источник Gear.Normalized Value FP</x:v>
      </x:c>
    </x:row>
    <x:row r="1777" ht="36" customHeight="1">
      <x:c r="A1777" s="118" t="n">
        <x:v>1772</x:v>
      </x:c>
      <x:c r="B1777" s="35" t="str">
        <x:v>gear</x:v>
      </x:c>
      <x:c r="C1777" s="35" t="str">
        <x:v>gear_offense_precision_lens</x:v>
      </x:c>
      <x:c r="D1777" s="35" t="str">
        <x:v>gear_id</x:v>
      </x:c>
      <x:c r="E1777" s="38" t="str">
        <x:v>string</x:v>
      </x:c>
      <x:c r="F1777" s="56" t="str">
        <x:f>'Gear'!A7</x:f>
        <x:v>gear_offense_precision_lens</x:v>
      </x:c>
      <x:c r="G1777" s="38" t="str"/>
      <x:c r="H1777" s="35" t="str">
        <x:v>Gear</x:v>
      </x:c>
      <x:c r="I1777" s="35" t="str">
        <x:v>A7</x:v>
      </x:c>
      <x:c r="J1777" s="85" t="b">
        <x:v>1</x:v>
      </x:c>
      <x:c r="K1777" s="85" t="b">
        <x:v>1</x:v>
      </x:c>
      <x:c r="L1777" s="56" t="str">
        <x:f>'Gear'!M7</x:f>
        <x:v>OK</x:v>
      </x:c>
      <x:c r="M1777" s="44" t="str">
        <x:v>Источник Gear.Gear ID</x:v>
      </x:c>
    </x:row>
    <x:row r="1778" ht="36" customHeight="1">
      <x:c r="A1778" s="118" t="n">
        <x:v>1773</x:v>
      </x:c>
      <x:c r="B1778" s="35" t="str">
        <x:v>gear</x:v>
      </x:c>
      <x:c r="C1778" s="35" t="str">
        <x:v>gear_offense_precision_lens</x:v>
      </x:c>
      <x:c r="D1778" s="35" t="str">
        <x:v>slot</x:v>
      </x:c>
      <x:c r="E1778" s="38" t="str">
        <x:v>string</x:v>
      </x:c>
      <x:c r="F1778" s="56" t="str">
        <x:f>'Gear'!C7</x:f>
        <x:v>Offense</x:v>
      </x:c>
      <x:c r="G1778" s="38" t="str"/>
      <x:c r="H1778" s="35" t="str">
        <x:v>Gear</x:v>
      </x:c>
      <x:c r="I1778" s="35" t="str">
        <x:v>C7</x:v>
      </x:c>
      <x:c r="J1778" s="85" t="b">
        <x:v>1</x:v>
      </x:c>
      <x:c r="K1778" s="85" t="b">
        <x:v>1</x:v>
      </x:c>
      <x:c r="L1778" s="56" t="str">
        <x:f>'Gear'!M7</x:f>
        <x:v>OK</x:v>
      </x:c>
      <x:c r="M1778" s="44" t="str">
        <x:v>Источник Gear.Slot</x:v>
      </x:c>
    </x:row>
    <x:row r="1779" ht="36" customHeight="1">
      <x:c r="A1779" s="118" t="n">
        <x:v>1774</x:v>
      </x:c>
      <x:c r="B1779" s="35" t="str">
        <x:v>gear</x:v>
      </x:c>
      <x:c r="C1779" s="35" t="str">
        <x:v>gear_offense_precision_lens</x:v>
      </x:c>
      <x:c r="D1779" s="35" t="str">
        <x:v>stat1</x:v>
      </x:c>
      <x:c r="E1779" s="38" t="str">
        <x:v>string</x:v>
      </x:c>
      <x:c r="F1779" s="56" t="str">
        <x:f>'Gear'!D7</x:f>
        <x:v>Precision</x:v>
      </x:c>
      <x:c r="G1779" s="38" t="str"/>
      <x:c r="H1779" s="35" t="str">
        <x:v>Gear</x:v>
      </x:c>
      <x:c r="I1779" s="35" t="str">
        <x:v>D7</x:v>
      </x:c>
      <x:c r="J1779" s="85" t="b">
        <x:v>1</x:v>
      </x:c>
      <x:c r="K1779" s="85" t="b">
        <x:v>1</x:v>
      </x:c>
      <x:c r="L1779" s="56" t="str">
        <x:f>'Gear'!M7</x:f>
        <x:v>OK</x:v>
      </x:c>
      <x:c r="M1779" s="44" t="str">
        <x:v>Источник Gear.Stat 1</x:v>
      </x:c>
    </x:row>
    <x:row r="1780" ht="36" customHeight="1">
      <x:c r="A1780" s="118" t="n">
        <x:v>1775</x:v>
      </x:c>
      <x:c r="B1780" s="35" t="str">
        <x:v>gear</x:v>
      </x:c>
      <x:c r="C1780" s="35" t="str">
        <x:v>gear_offense_precision_lens</x:v>
      </x:c>
      <x:c r="D1780" s="35" t="str">
        <x:v>operation1</x:v>
      </x:c>
      <x:c r="E1780" s="38" t="str">
        <x:v>string</x:v>
      </x:c>
      <x:c r="F1780" s="56" t="str">
        <x:f>'Gear'!E7</x:f>
        <x:v>Add</x:v>
      </x:c>
      <x:c r="G1780" s="38" t="str"/>
      <x:c r="H1780" s="35" t="str">
        <x:v>Gear</x:v>
      </x:c>
      <x:c r="I1780" s="35" t="str">
        <x:v>E7</x:v>
      </x:c>
      <x:c r="J1780" s="85" t="b">
        <x:v>1</x:v>
      </x:c>
      <x:c r="K1780" s="85" t="b">
        <x:v>1</x:v>
      </x:c>
      <x:c r="L1780" s="56" t="str">
        <x:f>'Gear'!M7</x:f>
        <x:v>OK</x:v>
      </x:c>
      <x:c r="M1780" s="44" t="str">
        <x:v>Источник Gear.Operation 1</x:v>
      </x:c>
    </x:row>
    <x:row r="1781" ht="36" customHeight="1">
      <x:c r="A1781" s="118" t="n">
        <x:v>1776</x:v>
      </x:c>
      <x:c r="B1781" s="35" t="str">
        <x:v>gear</x:v>
      </x:c>
      <x:c r="C1781" s="35" t="str">
        <x:v>gear_offense_precision_lens</x:v>
      </x:c>
      <x:c r="D1781" s="35" t="str">
        <x:v>value1</x:v>
      </x:c>
      <x:c r="E1781" s="38" t="str">
        <x:v>int</x:v>
      </x:c>
      <x:c r="F1781" s="56" t="n">
        <x:f>'Gear'!F7</x:f>
        <x:v>15</x:v>
      </x:c>
      <x:c r="G1781" s="38" t="str"/>
      <x:c r="H1781" s="35" t="str">
        <x:v>Gear</x:v>
      </x:c>
      <x:c r="I1781" s="35" t="str">
        <x:v>F7</x:v>
      </x:c>
      <x:c r="J1781" s="85" t="b">
        <x:v>1</x:v>
      </x:c>
      <x:c r="K1781" s="85" t="b">
        <x:v>1</x:v>
      </x:c>
      <x:c r="L1781" s="56" t="str">
        <x:f>'Gear'!M7</x:f>
        <x:v>OK</x:v>
      </x:c>
      <x:c r="M1781" s="44" t="str">
        <x:v>Источник Gear.Value 1</x:v>
      </x:c>
    </x:row>
    <x:row r="1782" ht="36" customHeight="1">
      <x:c r="A1782" s="118" t="n">
        <x:v>1777</x:v>
      </x:c>
      <x:c r="B1782" s="35" t="str">
        <x:v>gear</x:v>
      </x:c>
      <x:c r="C1782" s="35" t="str">
        <x:v>gear_offense_precision_lens</x:v>
      </x:c>
      <x:c r="D1782" s="35" t="str">
        <x:v>stat2</x:v>
      </x:c>
      <x:c r="E1782" s="38" t="str">
        <x:v>string</x:v>
      </x:c>
      <x:c r="F1782" s="56" t="str">
        <x:f>'Gear'!G7</x:f>
      </x:c>
      <x:c r="G1782" s="38" t="str"/>
      <x:c r="H1782" s="35" t="str">
        <x:v>Gear</x:v>
      </x:c>
      <x:c r="I1782" s="35" t="str">
        <x:v>G7</x:v>
      </x:c>
      <x:c r="J1782" s="85" t="b">
        <x:v>0</x:v>
      </x:c>
      <x:c r="K1782" s="85" t="b">
        <x:v>1</x:v>
      </x:c>
      <x:c r="L1782" s="56" t="str">
        <x:f>'Gear'!M7</x:f>
        <x:v>OK</x:v>
      </x:c>
      <x:c r="M1782" s="44" t="str">
        <x:v>Источник Gear.Stat 2</x:v>
      </x:c>
    </x:row>
    <x:row r="1783" ht="36" customHeight="1">
      <x:c r="A1783" s="118" t="n">
        <x:v>1778</x:v>
      </x:c>
      <x:c r="B1783" s="35" t="str">
        <x:v>gear</x:v>
      </x:c>
      <x:c r="C1783" s="35" t="str">
        <x:v>gear_offense_precision_lens</x:v>
      </x:c>
      <x:c r="D1783" s="35" t="str">
        <x:v>operation2</x:v>
      </x:c>
      <x:c r="E1783" s="38" t="str">
        <x:v>string</x:v>
      </x:c>
      <x:c r="F1783" s="56" t="str">
        <x:f>'Gear'!H7</x:f>
        <x:v>Add</x:v>
      </x:c>
      <x:c r="G1783" s="38" t="str"/>
      <x:c r="H1783" s="35" t="str">
        <x:v>Gear</x:v>
      </x:c>
      <x:c r="I1783" s="35" t="str">
        <x:v>H7</x:v>
      </x:c>
      <x:c r="J1783" s="85" t="b">
        <x:v>0</x:v>
      </x:c>
      <x:c r="K1783" s="85" t="b">
        <x:v>1</x:v>
      </x:c>
      <x:c r="L1783" s="56" t="str">
        <x:f>'Gear'!M7</x:f>
        <x:v>OK</x:v>
      </x:c>
      <x:c r="M1783" s="44" t="str">
        <x:v>Источник Gear.Operation 2</x:v>
      </x:c>
    </x:row>
    <x:row r="1784" ht="36" customHeight="1">
      <x:c r="A1784" s="118" t="n">
        <x:v>1779</x:v>
      </x:c>
      <x:c r="B1784" s="35" t="str">
        <x:v>gear</x:v>
      </x:c>
      <x:c r="C1784" s="35" t="str">
        <x:v>gear_offense_precision_lens</x:v>
      </x:c>
      <x:c r="D1784" s="35" t="str">
        <x:v>value2</x:v>
      </x:c>
      <x:c r="E1784" s="38" t="str">
        <x:v>int</x:v>
      </x:c>
      <x:c r="F1784" s="56" t="n">
        <x:f>'Gear'!I7</x:f>
        <x:v>0</x:v>
      </x:c>
      <x:c r="G1784" s="38" t="str"/>
      <x:c r="H1784" s="35" t="str">
        <x:v>Gear</x:v>
      </x:c>
      <x:c r="I1784" s="35" t="str">
        <x:v>I7</x:v>
      </x:c>
      <x:c r="J1784" s="85" t="b">
        <x:v>0</x:v>
      </x:c>
      <x:c r="K1784" s="85" t="b">
        <x:v>1</x:v>
      </x:c>
      <x:c r="L1784" s="56" t="str">
        <x:f>'Gear'!M7</x:f>
        <x:v>OK</x:v>
      </x:c>
      <x:c r="M1784" s="44" t="str">
        <x:v>Источник Gear.Value 2</x:v>
      </x:c>
    </x:row>
    <x:row r="1785" ht="36" customHeight="1">
      <x:c r="A1785" s="118" t="n">
        <x:v>1780</x:v>
      </x:c>
      <x:c r="B1785" s="35" t="str">
        <x:v>gear</x:v>
      </x:c>
      <x:c r="C1785" s="35" t="str">
        <x:v>gear_offense_precision_lens</x:v>
      </x:c>
      <x:c r="D1785" s="35" t="str">
        <x:v>tags</x:v>
      </x:c>
      <x:c r="E1785" s="38" t="str">
        <x:v>string</x:v>
      </x:c>
      <x:c r="F1785" s="56" t="str">
        <x:f>'Gear'!J7</x:f>
        <x:v>precision|anti_dodge</x:v>
      </x:c>
      <x:c r="G1785" s="38" t="str"/>
      <x:c r="H1785" s="35" t="str">
        <x:v>Gear</x:v>
      </x:c>
      <x:c r="I1785" s="35" t="str">
        <x:v>J7</x:v>
      </x:c>
      <x:c r="J1785" s="85" t="b">
        <x:v>1</x:v>
      </x:c>
      <x:c r="K1785" s="85" t="b">
        <x:v>1</x:v>
      </x:c>
      <x:c r="L1785" s="56" t="str">
        <x:f>'Gear'!M7</x:f>
        <x:v>OK</x:v>
      </x:c>
      <x:c r="M1785" s="44" t="str">
        <x:v>Источник Gear.Tags</x:v>
      </x:c>
    </x:row>
    <x:row r="1786" ht="36" customHeight="1">
      <x:c r="A1786" s="118" t="n">
        <x:v>1781</x:v>
      </x:c>
      <x:c r="B1786" s="35" t="str">
        <x:v>gear</x:v>
      </x:c>
      <x:c r="C1786" s="35" t="str">
        <x:v>gear_offense_precision_lens</x:v>
      </x:c>
      <x:c r="D1786" s="35" t="str">
        <x:v>normalized_value</x:v>
      </x:c>
      <x:c r="E1786" s="38" t="str">
        <x:v>int</x:v>
      </x:c>
      <x:c r="F1786" s="56" t="n">
        <x:f>'Gear'!K7</x:f>
        <x:v>1000</x:v>
      </x:c>
      <x:c r="G1786" s="38" t="str"/>
      <x:c r="H1786" s="35" t="str">
        <x:v>Gear</x:v>
      </x:c>
      <x:c r="I1786" s="35" t="str">
        <x:v>K7</x:v>
      </x:c>
      <x:c r="J1786" s="85" t="b">
        <x:v>1</x:v>
      </x:c>
      <x:c r="K1786" s="85" t="b">
        <x:v>1</x:v>
      </x:c>
      <x:c r="L1786" s="56" t="str">
        <x:f>'Gear'!M7</x:f>
        <x:v>OK</x:v>
      </x:c>
      <x:c r="M1786" s="44" t="str">
        <x:v>Источник Gear.Normalized Value FP</x:v>
      </x:c>
    </x:row>
    <x:row r="1787" ht="36" customHeight="1">
      <x:c r="A1787" s="118" t="n">
        <x:v>1782</x:v>
      </x:c>
      <x:c r="B1787" s="35" t="str">
        <x:v>gear</x:v>
      </x:c>
      <x:c r="C1787" s="35" t="str">
        <x:v>gear_offense_guardbreaker</x:v>
      </x:c>
      <x:c r="D1787" s="35" t="str">
        <x:v>gear_id</x:v>
      </x:c>
      <x:c r="E1787" s="38" t="str">
        <x:v>string</x:v>
      </x:c>
      <x:c r="F1787" s="56" t="str">
        <x:f>'Gear'!A8</x:f>
        <x:v>gear_offense_guardbreaker</x:v>
      </x:c>
      <x:c r="G1787" s="38" t="str"/>
      <x:c r="H1787" s="35" t="str">
        <x:v>Gear</x:v>
      </x:c>
      <x:c r="I1787" s="35" t="str">
        <x:v>A8</x:v>
      </x:c>
      <x:c r="J1787" s="85" t="b">
        <x:v>1</x:v>
      </x:c>
      <x:c r="K1787" s="85" t="b">
        <x:v>1</x:v>
      </x:c>
      <x:c r="L1787" s="56" t="str">
        <x:f>'Gear'!M8</x:f>
        <x:v>OK</x:v>
      </x:c>
      <x:c r="M1787" s="44" t="str">
        <x:v>Источник Gear.Gear ID</x:v>
      </x:c>
    </x:row>
    <x:row r="1788" ht="36" customHeight="1">
      <x:c r="A1788" s="118" t="n">
        <x:v>1783</x:v>
      </x:c>
      <x:c r="B1788" s="35" t="str">
        <x:v>gear</x:v>
      </x:c>
      <x:c r="C1788" s="35" t="str">
        <x:v>gear_offense_guardbreaker</x:v>
      </x:c>
      <x:c r="D1788" s="35" t="str">
        <x:v>slot</x:v>
      </x:c>
      <x:c r="E1788" s="38" t="str">
        <x:v>string</x:v>
      </x:c>
      <x:c r="F1788" s="56" t="str">
        <x:f>'Gear'!C8</x:f>
        <x:v>Offense</x:v>
      </x:c>
      <x:c r="G1788" s="38" t="str"/>
      <x:c r="H1788" s="35" t="str">
        <x:v>Gear</x:v>
      </x:c>
      <x:c r="I1788" s="35" t="str">
        <x:v>C8</x:v>
      </x:c>
      <x:c r="J1788" s="85" t="b">
        <x:v>1</x:v>
      </x:c>
      <x:c r="K1788" s="85" t="b">
        <x:v>1</x:v>
      </x:c>
      <x:c r="L1788" s="56" t="str">
        <x:f>'Gear'!M8</x:f>
        <x:v>OK</x:v>
      </x:c>
      <x:c r="M1788" s="44" t="str">
        <x:v>Источник Gear.Slot</x:v>
      </x:c>
    </x:row>
    <x:row r="1789" ht="36" customHeight="1">
      <x:c r="A1789" s="118" t="n">
        <x:v>1784</x:v>
      </x:c>
      <x:c r="B1789" s="35" t="str">
        <x:v>gear</x:v>
      </x:c>
      <x:c r="C1789" s="35" t="str">
        <x:v>gear_offense_guardbreaker</x:v>
      </x:c>
      <x:c r="D1789" s="35" t="str">
        <x:v>stat1</x:v>
      </x:c>
      <x:c r="E1789" s="38" t="str">
        <x:v>string</x:v>
      </x:c>
      <x:c r="F1789" s="56" t="str">
        <x:f>'Gear'!D8</x:f>
        <x:v>GuardBreak</x:v>
      </x:c>
      <x:c r="G1789" s="38" t="str"/>
      <x:c r="H1789" s="35" t="str">
        <x:v>Gear</x:v>
      </x:c>
      <x:c r="I1789" s="35" t="str">
        <x:v>D8</x:v>
      </x:c>
      <x:c r="J1789" s="85" t="b">
        <x:v>1</x:v>
      </x:c>
      <x:c r="K1789" s="85" t="b">
        <x:v>1</x:v>
      </x:c>
      <x:c r="L1789" s="56" t="str">
        <x:f>'Gear'!M8</x:f>
        <x:v>OK</x:v>
      </x:c>
      <x:c r="M1789" s="44" t="str">
        <x:v>Источник Gear.Stat 1</x:v>
      </x:c>
    </x:row>
    <x:row r="1790" ht="36" customHeight="1">
      <x:c r="A1790" s="118" t="n">
        <x:v>1785</x:v>
      </x:c>
      <x:c r="B1790" s="35" t="str">
        <x:v>gear</x:v>
      </x:c>
      <x:c r="C1790" s="35" t="str">
        <x:v>gear_offense_guardbreaker</x:v>
      </x:c>
      <x:c r="D1790" s="35" t="str">
        <x:v>operation1</x:v>
      </x:c>
      <x:c r="E1790" s="38" t="str">
        <x:v>string</x:v>
      </x:c>
      <x:c r="F1790" s="56" t="str">
        <x:f>'Gear'!E8</x:f>
        <x:v>Add</x:v>
      </x:c>
      <x:c r="G1790" s="38" t="str"/>
      <x:c r="H1790" s="35" t="str">
        <x:v>Gear</x:v>
      </x:c>
      <x:c r="I1790" s="35" t="str">
        <x:v>E8</x:v>
      </x:c>
      <x:c r="J1790" s="85" t="b">
        <x:v>1</x:v>
      </x:c>
      <x:c r="K1790" s="85" t="b">
        <x:v>1</x:v>
      </x:c>
      <x:c r="L1790" s="56" t="str">
        <x:f>'Gear'!M8</x:f>
        <x:v>OK</x:v>
      </x:c>
      <x:c r="M1790" s="44" t="str">
        <x:v>Источник Gear.Operation 1</x:v>
      </x:c>
    </x:row>
    <x:row r="1791" ht="36" customHeight="1">
      <x:c r="A1791" s="118" t="n">
        <x:v>1786</x:v>
      </x:c>
      <x:c r="B1791" s="35" t="str">
        <x:v>gear</x:v>
      </x:c>
      <x:c r="C1791" s="35" t="str">
        <x:v>gear_offense_guardbreaker</x:v>
      </x:c>
      <x:c r="D1791" s="35" t="str">
        <x:v>value1</x:v>
      </x:c>
      <x:c r="E1791" s="38" t="str">
        <x:v>int</x:v>
      </x:c>
      <x:c r="F1791" s="56" t="n">
        <x:f>'Gear'!F8</x:f>
        <x:v>15</x:v>
      </x:c>
      <x:c r="G1791" s="38" t="str"/>
      <x:c r="H1791" s="35" t="str">
        <x:v>Gear</x:v>
      </x:c>
      <x:c r="I1791" s="35" t="str">
        <x:v>F8</x:v>
      </x:c>
      <x:c r="J1791" s="85" t="b">
        <x:v>1</x:v>
      </x:c>
      <x:c r="K1791" s="85" t="b">
        <x:v>1</x:v>
      </x:c>
      <x:c r="L1791" s="56" t="str">
        <x:f>'Gear'!M8</x:f>
        <x:v>OK</x:v>
      </x:c>
      <x:c r="M1791" s="44" t="str">
        <x:v>Источник Gear.Value 1</x:v>
      </x:c>
    </x:row>
    <x:row r="1792" ht="36" customHeight="1">
      <x:c r="A1792" s="118" t="n">
        <x:v>1787</x:v>
      </x:c>
      <x:c r="B1792" s="35" t="str">
        <x:v>gear</x:v>
      </x:c>
      <x:c r="C1792" s="35" t="str">
        <x:v>gear_offense_guardbreaker</x:v>
      </x:c>
      <x:c r="D1792" s="35" t="str">
        <x:v>stat2</x:v>
      </x:c>
      <x:c r="E1792" s="38" t="str">
        <x:v>string</x:v>
      </x:c>
      <x:c r="F1792" s="56" t="str">
        <x:f>'Gear'!G8</x:f>
      </x:c>
      <x:c r="G1792" s="38" t="str"/>
      <x:c r="H1792" s="35" t="str">
        <x:v>Gear</x:v>
      </x:c>
      <x:c r="I1792" s="35" t="str">
        <x:v>G8</x:v>
      </x:c>
      <x:c r="J1792" s="85" t="b">
        <x:v>0</x:v>
      </x:c>
      <x:c r="K1792" s="85" t="b">
        <x:v>1</x:v>
      </x:c>
      <x:c r="L1792" s="56" t="str">
        <x:f>'Gear'!M8</x:f>
        <x:v>OK</x:v>
      </x:c>
      <x:c r="M1792" s="44" t="str">
        <x:v>Источник Gear.Stat 2</x:v>
      </x:c>
    </x:row>
    <x:row r="1793" ht="36" customHeight="1">
      <x:c r="A1793" s="118" t="n">
        <x:v>1788</x:v>
      </x:c>
      <x:c r="B1793" s="35" t="str">
        <x:v>gear</x:v>
      </x:c>
      <x:c r="C1793" s="35" t="str">
        <x:v>gear_offense_guardbreaker</x:v>
      </x:c>
      <x:c r="D1793" s="35" t="str">
        <x:v>operation2</x:v>
      </x:c>
      <x:c r="E1793" s="38" t="str">
        <x:v>string</x:v>
      </x:c>
      <x:c r="F1793" s="56" t="str">
        <x:f>'Gear'!H8</x:f>
        <x:v>Add</x:v>
      </x:c>
      <x:c r="G1793" s="38" t="str"/>
      <x:c r="H1793" s="35" t="str">
        <x:v>Gear</x:v>
      </x:c>
      <x:c r="I1793" s="35" t="str">
        <x:v>H8</x:v>
      </x:c>
      <x:c r="J1793" s="85" t="b">
        <x:v>0</x:v>
      </x:c>
      <x:c r="K1793" s="85" t="b">
        <x:v>1</x:v>
      </x:c>
      <x:c r="L1793" s="56" t="str">
        <x:f>'Gear'!M8</x:f>
        <x:v>OK</x:v>
      </x:c>
      <x:c r="M1793" s="44" t="str">
        <x:v>Источник Gear.Operation 2</x:v>
      </x:c>
    </x:row>
    <x:row r="1794" ht="36" customHeight="1">
      <x:c r="A1794" s="118" t="n">
        <x:v>1789</x:v>
      </x:c>
      <x:c r="B1794" s="35" t="str">
        <x:v>gear</x:v>
      </x:c>
      <x:c r="C1794" s="35" t="str">
        <x:v>gear_offense_guardbreaker</x:v>
      </x:c>
      <x:c r="D1794" s="35" t="str">
        <x:v>value2</x:v>
      </x:c>
      <x:c r="E1794" s="38" t="str">
        <x:v>int</x:v>
      </x:c>
      <x:c r="F1794" s="56" t="n">
        <x:f>'Gear'!I8</x:f>
        <x:v>0</x:v>
      </x:c>
      <x:c r="G1794" s="38" t="str"/>
      <x:c r="H1794" s="35" t="str">
        <x:v>Gear</x:v>
      </x:c>
      <x:c r="I1794" s="35" t="str">
        <x:v>I8</x:v>
      </x:c>
      <x:c r="J1794" s="85" t="b">
        <x:v>0</x:v>
      </x:c>
      <x:c r="K1794" s="85" t="b">
        <x:v>1</x:v>
      </x:c>
      <x:c r="L1794" s="56" t="str">
        <x:f>'Gear'!M8</x:f>
        <x:v>OK</x:v>
      </x:c>
      <x:c r="M1794" s="44" t="str">
        <x:v>Источник Gear.Value 2</x:v>
      </x:c>
    </x:row>
    <x:row r="1795" ht="36" customHeight="1">
      <x:c r="A1795" s="118" t="n">
        <x:v>1790</x:v>
      </x:c>
      <x:c r="B1795" s="35" t="str">
        <x:v>gear</x:v>
      </x:c>
      <x:c r="C1795" s="35" t="str">
        <x:v>gear_offense_guardbreaker</x:v>
      </x:c>
      <x:c r="D1795" s="35" t="str">
        <x:v>tags</x:v>
      </x:c>
      <x:c r="E1795" s="38" t="str">
        <x:v>string</x:v>
      </x:c>
      <x:c r="F1795" s="56" t="str">
        <x:f>'Gear'!J8</x:f>
        <x:v>guard_break|anti_block</x:v>
      </x:c>
      <x:c r="G1795" s="38" t="str"/>
      <x:c r="H1795" s="35" t="str">
        <x:v>Gear</x:v>
      </x:c>
      <x:c r="I1795" s="35" t="str">
        <x:v>J8</x:v>
      </x:c>
      <x:c r="J1795" s="85" t="b">
        <x:v>1</x:v>
      </x:c>
      <x:c r="K1795" s="85" t="b">
        <x:v>1</x:v>
      </x:c>
      <x:c r="L1795" s="56" t="str">
        <x:f>'Gear'!M8</x:f>
        <x:v>OK</x:v>
      </x:c>
      <x:c r="M1795" s="44" t="str">
        <x:v>Источник Gear.Tags</x:v>
      </x:c>
    </x:row>
    <x:row r="1796" ht="36" customHeight="1">
      <x:c r="A1796" s="118" t="n">
        <x:v>1791</x:v>
      </x:c>
      <x:c r="B1796" s="35" t="str">
        <x:v>gear</x:v>
      </x:c>
      <x:c r="C1796" s="35" t="str">
        <x:v>gear_offense_guardbreaker</x:v>
      </x:c>
      <x:c r="D1796" s="35" t="str">
        <x:v>normalized_value</x:v>
      </x:c>
      <x:c r="E1796" s="38" t="str">
        <x:v>int</x:v>
      </x:c>
      <x:c r="F1796" s="56" t="n">
        <x:f>'Gear'!K8</x:f>
        <x:v>1000</x:v>
      </x:c>
      <x:c r="G1796" s="38" t="str"/>
      <x:c r="H1796" s="35" t="str">
        <x:v>Gear</x:v>
      </x:c>
      <x:c r="I1796" s="35" t="str">
        <x:v>K8</x:v>
      </x:c>
      <x:c r="J1796" s="85" t="b">
        <x:v>1</x:v>
      </x:c>
      <x:c r="K1796" s="85" t="b">
        <x:v>1</x:v>
      </x:c>
      <x:c r="L1796" s="56" t="str">
        <x:f>'Gear'!M8</x:f>
        <x:v>OK</x:v>
      </x:c>
      <x:c r="M1796" s="44" t="str">
        <x:v>Источник Gear.Normalized Value FP</x:v>
      </x:c>
    </x:row>
    <x:row r="1797" ht="36" customHeight="1">
      <x:c r="A1797" s="118" t="n">
        <x:v>1792</x:v>
      </x:c>
      <x:c r="B1797" s="35" t="str">
        <x:v>gear</x:v>
      </x:c>
      <x:c r="C1797" s="35" t="str">
        <x:v>gear_defense_vital_harness</x:v>
      </x:c>
      <x:c r="D1797" s="35" t="str">
        <x:v>gear_id</x:v>
      </x:c>
      <x:c r="E1797" s="38" t="str">
        <x:v>string</x:v>
      </x:c>
      <x:c r="F1797" s="56" t="str">
        <x:f>'Gear'!A9</x:f>
        <x:v>gear_defense_vital_harness</x:v>
      </x:c>
      <x:c r="G1797" s="38" t="str"/>
      <x:c r="H1797" s="35" t="str">
        <x:v>Gear</x:v>
      </x:c>
      <x:c r="I1797" s="35" t="str">
        <x:v>A9</x:v>
      </x:c>
      <x:c r="J1797" s="85" t="b">
        <x:v>1</x:v>
      </x:c>
      <x:c r="K1797" s="85" t="b">
        <x:v>1</x:v>
      </x:c>
      <x:c r="L1797" s="56" t="str">
        <x:f>'Gear'!M9</x:f>
        <x:v>OK</x:v>
      </x:c>
      <x:c r="M1797" s="44" t="str">
        <x:v>Источник Gear.Gear ID</x:v>
      </x:c>
    </x:row>
    <x:row r="1798" ht="36" customHeight="1">
      <x:c r="A1798" s="118" t="n">
        <x:v>1793</x:v>
      </x:c>
      <x:c r="B1798" s="35" t="str">
        <x:v>gear</x:v>
      </x:c>
      <x:c r="C1798" s="35" t="str">
        <x:v>gear_defense_vital_harness</x:v>
      </x:c>
      <x:c r="D1798" s="35" t="str">
        <x:v>slot</x:v>
      </x:c>
      <x:c r="E1798" s="38" t="str">
        <x:v>string</x:v>
      </x:c>
      <x:c r="F1798" s="56" t="str">
        <x:f>'Gear'!C9</x:f>
        <x:v>Defense</x:v>
      </x:c>
      <x:c r="G1798" s="38" t="str"/>
      <x:c r="H1798" s="35" t="str">
        <x:v>Gear</x:v>
      </x:c>
      <x:c r="I1798" s="35" t="str">
        <x:v>C9</x:v>
      </x:c>
      <x:c r="J1798" s="85" t="b">
        <x:v>1</x:v>
      </x:c>
      <x:c r="K1798" s="85" t="b">
        <x:v>1</x:v>
      </x:c>
      <x:c r="L1798" s="56" t="str">
        <x:f>'Gear'!M9</x:f>
        <x:v>OK</x:v>
      </x:c>
      <x:c r="M1798" s="44" t="str">
        <x:v>Источник Gear.Slot</x:v>
      </x:c>
    </x:row>
    <x:row r="1799" ht="36" customHeight="1">
      <x:c r="A1799" s="118" t="n">
        <x:v>1794</x:v>
      </x:c>
      <x:c r="B1799" s="35" t="str">
        <x:v>gear</x:v>
      </x:c>
      <x:c r="C1799" s="35" t="str">
        <x:v>gear_defense_vital_harness</x:v>
      </x:c>
      <x:c r="D1799" s="35" t="str">
        <x:v>stat1</x:v>
      </x:c>
      <x:c r="E1799" s="38" t="str">
        <x:v>string</x:v>
      </x:c>
      <x:c r="F1799" s="56" t="str">
        <x:f>'Gear'!D9</x:f>
        <x:v>MaxHealth</x:v>
      </x:c>
      <x:c r="G1799" s="38" t="str"/>
      <x:c r="H1799" s="35" t="str">
        <x:v>Gear</x:v>
      </x:c>
      <x:c r="I1799" s="35" t="str">
        <x:v>D9</x:v>
      </x:c>
      <x:c r="J1799" s="85" t="b">
        <x:v>1</x:v>
      </x:c>
      <x:c r="K1799" s="85" t="b">
        <x:v>1</x:v>
      </x:c>
      <x:c r="L1799" s="56" t="str">
        <x:f>'Gear'!M9</x:f>
        <x:v>OK</x:v>
      </x:c>
      <x:c r="M1799" s="44" t="str">
        <x:v>Источник Gear.Stat 1</x:v>
      </x:c>
    </x:row>
    <x:row r="1800" ht="36" customHeight="1">
      <x:c r="A1800" s="118" t="n">
        <x:v>1795</x:v>
      </x:c>
      <x:c r="B1800" s="35" t="str">
        <x:v>gear</x:v>
      </x:c>
      <x:c r="C1800" s="35" t="str">
        <x:v>gear_defense_vital_harness</x:v>
      </x:c>
      <x:c r="D1800" s="35" t="str">
        <x:v>operation1</x:v>
      </x:c>
      <x:c r="E1800" s="38" t="str">
        <x:v>string</x:v>
      </x:c>
      <x:c r="F1800" s="56" t="str">
        <x:f>'Gear'!E9</x:f>
        <x:v>Add</x:v>
      </x:c>
      <x:c r="G1800" s="38" t="str"/>
      <x:c r="H1800" s="35" t="str">
        <x:v>Gear</x:v>
      </x:c>
      <x:c r="I1800" s="35" t="str">
        <x:v>E9</x:v>
      </x:c>
      <x:c r="J1800" s="85" t="b">
        <x:v>1</x:v>
      </x:c>
      <x:c r="K1800" s="85" t="b">
        <x:v>1</x:v>
      </x:c>
      <x:c r="L1800" s="56" t="str">
        <x:f>'Gear'!M9</x:f>
        <x:v>OK</x:v>
      </x:c>
      <x:c r="M1800" s="44" t="str">
        <x:v>Источник Gear.Operation 1</x:v>
      </x:c>
    </x:row>
    <x:row r="1801" ht="36" customHeight="1">
      <x:c r="A1801" s="118" t="n">
        <x:v>1796</x:v>
      </x:c>
      <x:c r="B1801" s="35" t="str">
        <x:v>gear</x:v>
      </x:c>
      <x:c r="C1801" s="35" t="str">
        <x:v>gear_defense_vital_harness</x:v>
      </x:c>
      <x:c r="D1801" s="35" t="str">
        <x:v>value1</x:v>
      </x:c>
      <x:c r="E1801" s="38" t="str">
        <x:v>int</x:v>
      </x:c>
      <x:c r="F1801" s="56" t="n">
        <x:f>'Gear'!F9</x:f>
        <x:v>120</x:v>
      </x:c>
      <x:c r="G1801" s="38" t="str"/>
      <x:c r="H1801" s="35" t="str">
        <x:v>Gear</x:v>
      </x:c>
      <x:c r="I1801" s="35" t="str">
        <x:v>F9</x:v>
      </x:c>
      <x:c r="J1801" s="85" t="b">
        <x:v>1</x:v>
      </x:c>
      <x:c r="K1801" s="85" t="b">
        <x:v>1</x:v>
      </x:c>
      <x:c r="L1801" s="56" t="str">
        <x:f>'Gear'!M9</x:f>
        <x:v>OK</x:v>
      </x:c>
      <x:c r="M1801" s="44" t="str">
        <x:v>Источник Gear.Value 1</x:v>
      </x:c>
    </x:row>
    <x:row r="1802" ht="36" customHeight="1">
      <x:c r="A1802" s="118" t="n">
        <x:v>1797</x:v>
      </x:c>
      <x:c r="B1802" s="35" t="str">
        <x:v>gear</x:v>
      </x:c>
      <x:c r="C1802" s="35" t="str">
        <x:v>gear_defense_vital_harness</x:v>
      </x:c>
      <x:c r="D1802" s="35" t="str">
        <x:v>stat2</x:v>
      </x:c>
      <x:c r="E1802" s="38" t="str">
        <x:v>string</x:v>
      </x:c>
      <x:c r="F1802" s="56" t="str">
        <x:f>'Gear'!G9</x:f>
      </x:c>
      <x:c r="G1802" s="38" t="str"/>
      <x:c r="H1802" s="35" t="str">
        <x:v>Gear</x:v>
      </x:c>
      <x:c r="I1802" s="35" t="str">
        <x:v>G9</x:v>
      </x:c>
      <x:c r="J1802" s="85" t="b">
        <x:v>0</x:v>
      </x:c>
      <x:c r="K1802" s="85" t="b">
        <x:v>1</x:v>
      </x:c>
      <x:c r="L1802" s="56" t="str">
        <x:f>'Gear'!M9</x:f>
        <x:v>OK</x:v>
      </x:c>
      <x:c r="M1802" s="44" t="str">
        <x:v>Источник Gear.Stat 2</x:v>
      </x:c>
    </x:row>
    <x:row r="1803" ht="36" customHeight="1">
      <x:c r="A1803" s="118" t="n">
        <x:v>1798</x:v>
      </x:c>
      <x:c r="B1803" s="35" t="str">
        <x:v>gear</x:v>
      </x:c>
      <x:c r="C1803" s="35" t="str">
        <x:v>gear_defense_vital_harness</x:v>
      </x:c>
      <x:c r="D1803" s="35" t="str">
        <x:v>operation2</x:v>
      </x:c>
      <x:c r="E1803" s="38" t="str">
        <x:v>string</x:v>
      </x:c>
      <x:c r="F1803" s="56" t="str">
        <x:f>'Gear'!H9</x:f>
        <x:v>Add</x:v>
      </x:c>
      <x:c r="G1803" s="38" t="str"/>
      <x:c r="H1803" s="35" t="str">
        <x:v>Gear</x:v>
      </x:c>
      <x:c r="I1803" s="35" t="str">
        <x:v>H9</x:v>
      </x:c>
      <x:c r="J1803" s="85" t="b">
        <x:v>0</x:v>
      </x:c>
      <x:c r="K1803" s="85" t="b">
        <x:v>1</x:v>
      </x:c>
      <x:c r="L1803" s="56" t="str">
        <x:f>'Gear'!M9</x:f>
        <x:v>OK</x:v>
      </x:c>
      <x:c r="M1803" s="44" t="str">
        <x:v>Источник Gear.Operation 2</x:v>
      </x:c>
    </x:row>
    <x:row r="1804" ht="36" customHeight="1">
      <x:c r="A1804" s="118" t="n">
        <x:v>1799</x:v>
      </x:c>
      <x:c r="B1804" s="35" t="str">
        <x:v>gear</x:v>
      </x:c>
      <x:c r="C1804" s="35" t="str">
        <x:v>gear_defense_vital_harness</x:v>
      </x:c>
      <x:c r="D1804" s="35" t="str">
        <x:v>value2</x:v>
      </x:c>
      <x:c r="E1804" s="38" t="str">
        <x:v>int</x:v>
      </x:c>
      <x:c r="F1804" s="56" t="n">
        <x:f>'Gear'!I9</x:f>
        <x:v>0</x:v>
      </x:c>
      <x:c r="G1804" s="38" t="str"/>
      <x:c r="H1804" s="35" t="str">
        <x:v>Gear</x:v>
      </x:c>
      <x:c r="I1804" s="35" t="str">
        <x:v>I9</x:v>
      </x:c>
      <x:c r="J1804" s="85" t="b">
        <x:v>0</x:v>
      </x:c>
      <x:c r="K1804" s="85" t="b">
        <x:v>1</x:v>
      </x:c>
      <x:c r="L1804" s="56" t="str">
        <x:f>'Gear'!M9</x:f>
        <x:v>OK</x:v>
      </x:c>
      <x:c r="M1804" s="44" t="str">
        <x:v>Источник Gear.Value 2</x:v>
      </x:c>
    </x:row>
    <x:row r="1805" ht="36" customHeight="1">
      <x:c r="A1805" s="118" t="n">
        <x:v>1800</x:v>
      </x:c>
      <x:c r="B1805" s="35" t="str">
        <x:v>gear</x:v>
      </x:c>
      <x:c r="C1805" s="35" t="str">
        <x:v>gear_defense_vital_harness</x:v>
      </x:c>
      <x:c r="D1805" s="35" t="str">
        <x:v>tags</x:v>
      </x:c>
      <x:c r="E1805" s="38" t="str">
        <x:v>string</x:v>
      </x:c>
      <x:c r="F1805" s="56" t="str">
        <x:f>'Gear'!J9</x:f>
        <x:v>health|survival</x:v>
      </x:c>
      <x:c r="G1805" s="38" t="str"/>
      <x:c r="H1805" s="35" t="str">
        <x:v>Gear</x:v>
      </x:c>
      <x:c r="I1805" s="35" t="str">
        <x:v>J9</x:v>
      </x:c>
      <x:c r="J1805" s="85" t="b">
        <x:v>1</x:v>
      </x:c>
      <x:c r="K1805" s="85" t="b">
        <x:v>1</x:v>
      </x:c>
      <x:c r="L1805" s="56" t="str">
        <x:f>'Gear'!M9</x:f>
        <x:v>OK</x:v>
      </x:c>
      <x:c r="M1805" s="44" t="str">
        <x:v>Источник Gear.Tags</x:v>
      </x:c>
    </x:row>
    <x:row r="1806" ht="36" customHeight="1">
      <x:c r="A1806" s="118" t="n">
        <x:v>1801</x:v>
      </x:c>
      <x:c r="B1806" s="35" t="str">
        <x:v>gear</x:v>
      </x:c>
      <x:c r="C1806" s="35" t="str">
        <x:v>gear_defense_vital_harness</x:v>
      </x:c>
      <x:c r="D1806" s="35" t="str">
        <x:v>normalized_value</x:v>
      </x:c>
      <x:c r="E1806" s="38" t="str">
        <x:v>int</x:v>
      </x:c>
      <x:c r="F1806" s="56" t="n">
        <x:f>'Gear'!K9</x:f>
        <x:v>1000</x:v>
      </x:c>
      <x:c r="G1806" s="38" t="str"/>
      <x:c r="H1806" s="35" t="str">
        <x:v>Gear</x:v>
      </x:c>
      <x:c r="I1806" s="35" t="str">
        <x:v>K9</x:v>
      </x:c>
      <x:c r="J1806" s="85" t="b">
        <x:v>1</x:v>
      </x:c>
      <x:c r="K1806" s="85" t="b">
        <x:v>1</x:v>
      </x:c>
      <x:c r="L1806" s="56" t="str">
        <x:f>'Gear'!M9</x:f>
        <x:v>OK</x:v>
      </x:c>
      <x:c r="M1806" s="44" t="str">
        <x:v>Источник Gear.Normalized Value FP</x:v>
      </x:c>
    </x:row>
    <x:row r="1807" ht="36" customHeight="1">
      <x:c r="A1807" s="118" t="n">
        <x:v>1802</x:v>
      </x:c>
      <x:c r="B1807" s="35" t="str">
        <x:v>gear</x:v>
      </x:c>
      <x:c r="C1807" s="35" t="str">
        <x:v>gear_defense_reinforced_hide</x:v>
      </x:c>
      <x:c r="D1807" s="35" t="str">
        <x:v>gear_id</x:v>
      </x:c>
      <x:c r="E1807" s="38" t="str">
        <x:v>string</x:v>
      </x:c>
      <x:c r="F1807" s="56" t="str">
        <x:f>'Gear'!A10</x:f>
        <x:v>gear_defense_reinforced_hide</x:v>
      </x:c>
      <x:c r="G1807" s="38" t="str"/>
      <x:c r="H1807" s="35" t="str">
        <x:v>Gear</x:v>
      </x:c>
      <x:c r="I1807" s="35" t="str">
        <x:v>A10</x:v>
      </x:c>
      <x:c r="J1807" s="85" t="b">
        <x:v>1</x:v>
      </x:c>
      <x:c r="K1807" s="85" t="b">
        <x:v>1</x:v>
      </x:c>
      <x:c r="L1807" s="56" t="str">
        <x:f>'Gear'!M10</x:f>
        <x:v>OK</x:v>
      </x:c>
      <x:c r="M1807" s="44" t="str">
        <x:v>Источник Gear.Gear ID</x:v>
      </x:c>
    </x:row>
    <x:row r="1808" ht="36" customHeight="1">
      <x:c r="A1808" s="118" t="n">
        <x:v>1803</x:v>
      </x:c>
      <x:c r="B1808" s="35" t="str">
        <x:v>gear</x:v>
      </x:c>
      <x:c r="C1808" s="35" t="str">
        <x:v>gear_defense_reinforced_hide</x:v>
      </x:c>
      <x:c r="D1808" s="35" t="str">
        <x:v>slot</x:v>
      </x:c>
      <x:c r="E1808" s="38" t="str">
        <x:v>string</x:v>
      </x:c>
      <x:c r="F1808" s="56" t="str">
        <x:f>'Gear'!C10</x:f>
        <x:v>Defense</x:v>
      </x:c>
      <x:c r="G1808" s="38" t="str"/>
      <x:c r="H1808" s="35" t="str">
        <x:v>Gear</x:v>
      </x:c>
      <x:c r="I1808" s="35" t="str">
        <x:v>C10</x:v>
      </x:c>
      <x:c r="J1808" s="85" t="b">
        <x:v>1</x:v>
      </x:c>
      <x:c r="K1808" s="85" t="b">
        <x:v>1</x:v>
      </x:c>
      <x:c r="L1808" s="56" t="str">
        <x:f>'Gear'!M10</x:f>
        <x:v>OK</x:v>
      </x:c>
      <x:c r="M1808" s="44" t="str">
        <x:v>Источник Gear.Slot</x:v>
      </x:c>
    </x:row>
    <x:row r="1809" ht="36" customHeight="1">
      <x:c r="A1809" s="118" t="n">
        <x:v>1804</x:v>
      </x:c>
      <x:c r="B1809" s="35" t="str">
        <x:v>gear</x:v>
      </x:c>
      <x:c r="C1809" s="35" t="str">
        <x:v>gear_defense_reinforced_hide</x:v>
      </x:c>
      <x:c r="D1809" s="35" t="str">
        <x:v>stat1</x:v>
      </x:c>
      <x:c r="E1809" s="38" t="str">
        <x:v>string</x:v>
      </x:c>
      <x:c r="F1809" s="56" t="str">
        <x:f>'Gear'!D10</x:f>
        <x:v>Armor</x:v>
      </x:c>
      <x:c r="G1809" s="38" t="str"/>
      <x:c r="H1809" s="35" t="str">
        <x:v>Gear</x:v>
      </x:c>
      <x:c r="I1809" s="35" t="str">
        <x:v>D10</x:v>
      </x:c>
      <x:c r="J1809" s="85" t="b">
        <x:v>1</x:v>
      </x:c>
      <x:c r="K1809" s="85" t="b">
        <x:v>1</x:v>
      </x:c>
      <x:c r="L1809" s="56" t="str">
        <x:f>'Gear'!M10</x:f>
        <x:v>OK</x:v>
      </x:c>
      <x:c r="M1809" s="44" t="str">
        <x:v>Источник Gear.Stat 1</x:v>
      </x:c>
    </x:row>
    <x:row r="1810" ht="36" customHeight="1">
      <x:c r="A1810" s="118" t="n">
        <x:v>1805</x:v>
      </x:c>
      <x:c r="B1810" s="35" t="str">
        <x:v>gear</x:v>
      </x:c>
      <x:c r="C1810" s="35" t="str">
        <x:v>gear_defense_reinforced_hide</x:v>
      </x:c>
      <x:c r="D1810" s="35" t="str">
        <x:v>operation1</x:v>
      </x:c>
      <x:c r="E1810" s="38" t="str">
        <x:v>string</x:v>
      </x:c>
      <x:c r="F1810" s="56" t="str">
        <x:f>'Gear'!E10</x:f>
        <x:v>Add</x:v>
      </x:c>
      <x:c r="G1810" s="38" t="str"/>
      <x:c r="H1810" s="35" t="str">
        <x:v>Gear</x:v>
      </x:c>
      <x:c r="I1810" s="35" t="str">
        <x:v>E10</x:v>
      </x:c>
      <x:c r="J1810" s="85" t="b">
        <x:v>1</x:v>
      </x:c>
      <x:c r="K1810" s="85" t="b">
        <x:v>1</x:v>
      </x:c>
      <x:c r="L1810" s="56" t="str">
        <x:f>'Gear'!M10</x:f>
        <x:v>OK</x:v>
      </x:c>
      <x:c r="M1810" s="44" t="str">
        <x:v>Источник Gear.Operation 1</x:v>
      </x:c>
    </x:row>
    <x:row r="1811" ht="36" customHeight="1">
      <x:c r="A1811" s="118" t="n">
        <x:v>1806</x:v>
      </x:c>
      <x:c r="B1811" s="35" t="str">
        <x:v>gear</x:v>
      </x:c>
      <x:c r="C1811" s="35" t="str">
        <x:v>gear_defense_reinforced_hide</x:v>
      </x:c>
      <x:c r="D1811" s="35" t="str">
        <x:v>value1</x:v>
      </x:c>
      <x:c r="E1811" s="38" t="str">
        <x:v>int</x:v>
      </x:c>
      <x:c r="F1811" s="56" t="n">
        <x:f>'Gear'!F10</x:f>
        <x:v>18</x:v>
      </x:c>
      <x:c r="G1811" s="38" t="str"/>
      <x:c r="H1811" s="35" t="str">
        <x:v>Gear</x:v>
      </x:c>
      <x:c r="I1811" s="35" t="str">
        <x:v>F10</x:v>
      </x:c>
      <x:c r="J1811" s="85" t="b">
        <x:v>1</x:v>
      </x:c>
      <x:c r="K1811" s="85" t="b">
        <x:v>1</x:v>
      </x:c>
      <x:c r="L1811" s="56" t="str">
        <x:f>'Gear'!M10</x:f>
        <x:v>OK</x:v>
      </x:c>
      <x:c r="M1811" s="44" t="str">
        <x:v>Источник Gear.Value 1</x:v>
      </x:c>
    </x:row>
    <x:row r="1812" ht="36" customHeight="1">
      <x:c r="A1812" s="118" t="n">
        <x:v>1807</x:v>
      </x:c>
      <x:c r="B1812" s="35" t="str">
        <x:v>gear</x:v>
      </x:c>
      <x:c r="C1812" s="35" t="str">
        <x:v>gear_defense_reinforced_hide</x:v>
      </x:c>
      <x:c r="D1812" s="35" t="str">
        <x:v>stat2</x:v>
      </x:c>
      <x:c r="E1812" s="38" t="str">
        <x:v>string</x:v>
      </x:c>
      <x:c r="F1812" s="56" t="str">
        <x:f>'Gear'!G10</x:f>
      </x:c>
      <x:c r="G1812" s="38" t="str"/>
      <x:c r="H1812" s="35" t="str">
        <x:v>Gear</x:v>
      </x:c>
      <x:c r="I1812" s="35" t="str">
        <x:v>G10</x:v>
      </x:c>
      <x:c r="J1812" s="85" t="b">
        <x:v>0</x:v>
      </x:c>
      <x:c r="K1812" s="85" t="b">
        <x:v>1</x:v>
      </x:c>
      <x:c r="L1812" s="56" t="str">
        <x:f>'Gear'!M10</x:f>
        <x:v>OK</x:v>
      </x:c>
      <x:c r="M1812" s="44" t="str">
        <x:v>Источник Gear.Stat 2</x:v>
      </x:c>
    </x:row>
    <x:row r="1813" ht="36" customHeight="1">
      <x:c r="A1813" s="118" t="n">
        <x:v>1808</x:v>
      </x:c>
      <x:c r="B1813" s="35" t="str">
        <x:v>gear</x:v>
      </x:c>
      <x:c r="C1813" s="35" t="str">
        <x:v>gear_defense_reinforced_hide</x:v>
      </x:c>
      <x:c r="D1813" s="35" t="str">
        <x:v>operation2</x:v>
      </x:c>
      <x:c r="E1813" s="38" t="str">
        <x:v>string</x:v>
      </x:c>
      <x:c r="F1813" s="56" t="str">
        <x:f>'Gear'!H10</x:f>
        <x:v>Add</x:v>
      </x:c>
      <x:c r="G1813" s="38" t="str"/>
      <x:c r="H1813" s="35" t="str">
        <x:v>Gear</x:v>
      </x:c>
      <x:c r="I1813" s="35" t="str">
        <x:v>H10</x:v>
      </x:c>
      <x:c r="J1813" s="85" t="b">
        <x:v>0</x:v>
      </x:c>
      <x:c r="K1813" s="85" t="b">
        <x:v>1</x:v>
      </x:c>
      <x:c r="L1813" s="56" t="str">
        <x:f>'Gear'!M10</x:f>
        <x:v>OK</x:v>
      </x:c>
      <x:c r="M1813" s="44" t="str">
        <x:v>Источник Gear.Operation 2</x:v>
      </x:c>
    </x:row>
    <x:row r="1814" ht="36" customHeight="1">
      <x:c r="A1814" s="118" t="n">
        <x:v>1809</x:v>
      </x:c>
      <x:c r="B1814" s="35" t="str">
        <x:v>gear</x:v>
      </x:c>
      <x:c r="C1814" s="35" t="str">
        <x:v>gear_defense_reinforced_hide</x:v>
      </x:c>
      <x:c r="D1814" s="35" t="str">
        <x:v>value2</x:v>
      </x:c>
      <x:c r="E1814" s="38" t="str">
        <x:v>int</x:v>
      </x:c>
      <x:c r="F1814" s="56" t="n">
        <x:f>'Gear'!I10</x:f>
        <x:v>0</x:v>
      </x:c>
      <x:c r="G1814" s="38" t="str"/>
      <x:c r="H1814" s="35" t="str">
        <x:v>Gear</x:v>
      </x:c>
      <x:c r="I1814" s="35" t="str">
        <x:v>I10</x:v>
      </x:c>
      <x:c r="J1814" s="85" t="b">
        <x:v>0</x:v>
      </x:c>
      <x:c r="K1814" s="85" t="b">
        <x:v>1</x:v>
      </x:c>
      <x:c r="L1814" s="56" t="str">
        <x:f>'Gear'!M10</x:f>
        <x:v>OK</x:v>
      </x:c>
      <x:c r="M1814" s="44" t="str">
        <x:v>Источник Gear.Value 2</x:v>
      </x:c>
    </x:row>
    <x:row r="1815" ht="36" customHeight="1">
      <x:c r="A1815" s="118" t="n">
        <x:v>1810</x:v>
      </x:c>
      <x:c r="B1815" s="35" t="str">
        <x:v>gear</x:v>
      </x:c>
      <x:c r="C1815" s="35" t="str">
        <x:v>gear_defense_reinforced_hide</x:v>
      </x:c>
      <x:c r="D1815" s="35" t="str">
        <x:v>tags</x:v>
      </x:c>
      <x:c r="E1815" s="38" t="str">
        <x:v>string</x:v>
      </x:c>
      <x:c r="F1815" s="56" t="str">
        <x:f>'Gear'!J10</x:f>
        <x:v>armor|anti_multi_hit</x:v>
      </x:c>
      <x:c r="G1815" s="38" t="str"/>
      <x:c r="H1815" s="35" t="str">
        <x:v>Gear</x:v>
      </x:c>
      <x:c r="I1815" s="35" t="str">
        <x:v>J10</x:v>
      </x:c>
      <x:c r="J1815" s="85" t="b">
        <x:v>1</x:v>
      </x:c>
      <x:c r="K1815" s="85" t="b">
        <x:v>1</x:v>
      </x:c>
      <x:c r="L1815" s="56" t="str">
        <x:f>'Gear'!M10</x:f>
        <x:v>OK</x:v>
      </x:c>
      <x:c r="M1815" s="44" t="str">
        <x:v>Источник Gear.Tags</x:v>
      </x:c>
    </x:row>
    <x:row r="1816" ht="36" customHeight="1">
      <x:c r="A1816" s="118" t="n">
        <x:v>1811</x:v>
      </x:c>
      <x:c r="B1816" s="35" t="str">
        <x:v>gear</x:v>
      </x:c>
      <x:c r="C1816" s="35" t="str">
        <x:v>gear_defense_reinforced_hide</x:v>
      </x:c>
      <x:c r="D1816" s="35" t="str">
        <x:v>normalized_value</x:v>
      </x:c>
      <x:c r="E1816" s="38" t="str">
        <x:v>int</x:v>
      </x:c>
      <x:c r="F1816" s="56" t="n">
        <x:f>'Gear'!K10</x:f>
        <x:v>1000</x:v>
      </x:c>
      <x:c r="G1816" s="38" t="str"/>
      <x:c r="H1816" s="35" t="str">
        <x:v>Gear</x:v>
      </x:c>
      <x:c r="I1816" s="35" t="str">
        <x:v>K10</x:v>
      </x:c>
      <x:c r="J1816" s="85" t="b">
        <x:v>1</x:v>
      </x:c>
      <x:c r="K1816" s="85" t="b">
        <x:v>1</x:v>
      </x:c>
      <x:c r="L1816" s="56" t="str">
        <x:f>'Gear'!M10</x:f>
        <x:v>OK</x:v>
      </x:c>
      <x:c r="M1816" s="44" t="str">
        <x:v>Источник Gear.Normalized Value FP</x:v>
      </x:c>
    </x:row>
    <x:row r="1817" ht="36" customHeight="1">
      <x:c r="A1817" s="118" t="n">
        <x:v>1812</x:v>
      </x:c>
      <x:c r="B1817" s="35" t="str">
        <x:v>gear</x:v>
      </x:c>
      <x:c r="C1817" s="35" t="str">
        <x:v>gear_defense_control_brace</x:v>
      </x:c>
      <x:c r="D1817" s="35" t="str">
        <x:v>gear_id</x:v>
      </x:c>
      <x:c r="E1817" s="38" t="str">
        <x:v>string</x:v>
      </x:c>
      <x:c r="F1817" s="56" t="str">
        <x:f>'Gear'!A11</x:f>
        <x:v>gear_defense_control_brace</x:v>
      </x:c>
      <x:c r="G1817" s="38" t="str"/>
      <x:c r="H1817" s="35" t="str">
        <x:v>Gear</x:v>
      </x:c>
      <x:c r="I1817" s="35" t="str">
        <x:v>A11</x:v>
      </x:c>
      <x:c r="J1817" s="85" t="b">
        <x:v>1</x:v>
      </x:c>
      <x:c r="K1817" s="85" t="b">
        <x:v>1</x:v>
      </x:c>
      <x:c r="L1817" s="56" t="str">
        <x:f>'Gear'!M11</x:f>
        <x:v>OK</x:v>
      </x:c>
      <x:c r="M1817" s="44" t="str">
        <x:v>Источник Gear.Gear ID</x:v>
      </x:c>
    </x:row>
    <x:row r="1818" ht="36" customHeight="1">
      <x:c r="A1818" s="118" t="n">
        <x:v>1813</x:v>
      </x:c>
      <x:c r="B1818" s="35" t="str">
        <x:v>gear</x:v>
      </x:c>
      <x:c r="C1818" s="35" t="str">
        <x:v>gear_defense_control_brace</x:v>
      </x:c>
      <x:c r="D1818" s="35" t="str">
        <x:v>slot</x:v>
      </x:c>
      <x:c r="E1818" s="38" t="str">
        <x:v>string</x:v>
      </x:c>
      <x:c r="F1818" s="56" t="str">
        <x:f>'Gear'!C11</x:f>
        <x:v>Defense</x:v>
      </x:c>
      <x:c r="G1818" s="38" t="str"/>
      <x:c r="H1818" s="35" t="str">
        <x:v>Gear</x:v>
      </x:c>
      <x:c r="I1818" s="35" t="str">
        <x:v>C11</x:v>
      </x:c>
      <x:c r="J1818" s="85" t="b">
        <x:v>1</x:v>
      </x:c>
      <x:c r="K1818" s="85" t="b">
        <x:v>1</x:v>
      </x:c>
      <x:c r="L1818" s="56" t="str">
        <x:f>'Gear'!M11</x:f>
        <x:v>OK</x:v>
      </x:c>
      <x:c r="M1818" s="44" t="str">
        <x:v>Источник Gear.Slot</x:v>
      </x:c>
    </x:row>
    <x:row r="1819" ht="36" customHeight="1">
      <x:c r="A1819" s="118" t="n">
        <x:v>1814</x:v>
      </x:c>
      <x:c r="B1819" s="35" t="str">
        <x:v>gear</x:v>
      </x:c>
      <x:c r="C1819" s="35" t="str">
        <x:v>gear_defense_control_brace</x:v>
      </x:c>
      <x:c r="D1819" s="35" t="str">
        <x:v>stat1</x:v>
      </x:c>
      <x:c r="E1819" s="38" t="str">
        <x:v>string</x:v>
      </x:c>
      <x:c r="F1819" s="56" t="str">
        <x:f>'Gear'!D11</x:f>
        <x:v>ControlResistance</x:v>
      </x:c>
      <x:c r="G1819" s="38" t="str"/>
      <x:c r="H1819" s="35" t="str">
        <x:v>Gear</x:v>
      </x:c>
      <x:c r="I1819" s="35" t="str">
        <x:v>D11</x:v>
      </x:c>
      <x:c r="J1819" s="85" t="b">
        <x:v>1</x:v>
      </x:c>
      <x:c r="K1819" s="85" t="b">
        <x:v>1</x:v>
      </x:c>
      <x:c r="L1819" s="56" t="str">
        <x:f>'Gear'!M11</x:f>
        <x:v>OK</x:v>
      </x:c>
      <x:c r="M1819" s="44" t="str">
        <x:v>Источник Gear.Stat 1</x:v>
      </x:c>
    </x:row>
    <x:row r="1820" ht="36" customHeight="1">
      <x:c r="A1820" s="118" t="n">
        <x:v>1815</x:v>
      </x:c>
      <x:c r="B1820" s="35" t="str">
        <x:v>gear</x:v>
      </x:c>
      <x:c r="C1820" s="35" t="str">
        <x:v>gear_defense_control_brace</x:v>
      </x:c>
      <x:c r="D1820" s="35" t="str">
        <x:v>operation1</x:v>
      </x:c>
      <x:c r="E1820" s="38" t="str">
        <x:v>string</x:v>
      </x:c>
      <x:c r="F1820" s="56" t="str">
        <x:f>'Gear'!E11</x:f>
        <x:v>Add</x:v>
      </x:c>
      <x:c r="G1820" s="38" t="str"/>
      <x:c r="H1820" s="35" t="str">
        <x:v>Gear</x:v>
      </x:c>
      <x:c r="I1820" s="35" t="str">
        <x:v>E11</x:v>
      </x:c>
      <x:c r="J1820" s="85" t="b">
        <x:v>1</x:v>
      </x:c>
      <x:c r="K1820" s="85" t="b">
        <x:v>1</x:v>
      </x:c>
      <x:c r="L1820" s="56" t="str">
        <x:f>'Gear'!M11</x:f>
        <x:v>OK</x:v>
      </x:c>
      <x:c r="M1820" s="44" t="str">
        <x:v>Источник Gear.Operation 1</x:v>
      </x:c>
    </x:row>
    <x:row r="1821" ht="36" customHeight="1">
      <x:c r="A1821" s="118" t="n">
        <x:v>1816</x:v>
      </x:c>
      <x:c r="B1821" s="35" t="str">
        <x:v>gear</x:v>
      </x:c>
      <x:c r="C1821" s="35" t="str">
        <x:v>gear_defense_control_brace</x:v>
      </x:c>
      <x:c r="D1821" s="35" t="str">
        <x:v>value1</x:v>
      </x:c>
      <x:c r="E1821" s="38" t="str">
        <x:v>int</x:v>
      </x:c>
      <x:c r="F1821" s="56" t="n">
        <x:f>'Gear'!F11</x:f>
        <x:v>18</x:v>
      </x:c>
      <x:c r="G1821" s="38" t="str"/>
      <x:c r="H1821" s="35" t="str">
        <x:v>Gear</x:v>
      </x:c>
      <x:c r="I1821" s="35" t="str">
        <x:v>F11</x:v>
      </x:c>
      <x:c r="J1821" s="85" t="b">
        <x:v>1</x:v>
      </x:c>
      <x:c r="K1821" s="85" t="b">
        <x:v>1</x:v>
      </x:c>
      <x:c r="L1821" s="56" t="str">
        <x:f>'Gear'!M11</x:f>
        <x:v>OK</x:v>
      </x:c>
      <x:c r="M1821" s="44" t="str">
        <x:v>Источник Gear.Value 1</x:v>
      </x:c>
    </x:row>
    <x:row r="1822" ht="36" customHeight="1">
      <x:c r="A1822" s="118" t="n">
        <x:v>1817</x:v>
      </x:c>
      <x:c r="B1822" s="35" t="str">
        <x:v>gear</x:v>
      </x:c>
      <x:c r="C1822" s="35" t="str">
        <x:v>gear_defense_control_brace</x:v>
      </x:c>
      <x:c r="D1822" s="35" t="str">
        <x:v>stat2</x:v>
      </x:c>
      <x:c r="E1822" s="38" t="str">
        <x:v>string</x:v>
      </x:c>
      <x:c r="F1822" s="56" t="str">
        <x:f>'Gear'!G11</x:f>
      </x:c>
      <x:c r="G1822" s="38" t="str"/>
      <x:c r="H1822" s="35" t="str">
        <x:v>Gear</x:v>
      </x:c>
      <x:c r="I1822" s="35" t="str">
        <x:v>G11</x:v>
      </x:c>
      <x:c r="J1822" s="85" t="b">
        <x:v>0</x:v>
      </x:c>
      <x:c r="K1822" s="85" t="b">
        <x:v>1</x:v>
      </x:c>
      <x:c r="L1822" s="56" t="str">
        <x:f>'Gear'!M11</x:f>
        <x:v>OK</x:v>
      </x:c>
      <x:c r="M1822" s="44" t="str">
        <x:v>Источник Gear.Stat 2</x:v>
      </x:c>
    </x:row>
    <x:row r="1823" ht="36" customHeight="1">
      <x:c r="A1823" s="118" t="n">
        <x:v>1818</x:v>
      </x:c>
      <x:c r="B1823" s="35" t="str">
        <x:v>gear</x:v>
      </x:c>
      <x:c r="C1823" s="35" t="str">
        <x:v>gear_defense_control_brace</x:v>
      </x:c>
      <x:c r="D1823" s="35" t="str">
        <x:v>operation2</x:v>
      </x:c>
      <x:c r="E1823" s="38" t="str">
        <x:v>string</x:v>
      </x:c>
      <x:c r="F1823" s="56" t="str">
        <x:f>'Gear'!H11</x:f>
        <x:v>Add</x:v>
      </x:c>
      <x:c r="G1823" s="38" t="str"/>
      <x:c r="H1823" s="35" t="str">
        <x:v>Gear</x:v>
      </x:c>
      <x:c r="I1823" s="35" t="str">
        <x:v>H11</x:v>
      </x:c>
      <x:c r="J1823" s="85" t="b">
        <x:v>0</x:v>
      </x:c>
      <x:c r="K1823" s="85" t="b">
        <x:v>1</x:v>
      </x:c>
      <x:c r="L1823" s="56" t="str">
        <x:f>'Gear'!M11</x:f>
        <x:v>OK</x:v>
      </x:c>
      <x:c r="M1823" s="44" t="str">
        <x:v>Источник Gear.Operation 2</x:v>
      </x:c>
    </x:row>
    <x:row r="1824" ht="36" customHeight="1">
      <x:c r="A1824" s="118" t="n">
        <x:v>1819</x:v>
      </x:c>
      <x:c r="B1824" s="35" t="str">
        <x:v>gear</x:v>
      </x:c>
      <x:c r="C1824" s="35" t="str">
        <x:v>gear_defense_control_brace</x:v>
      </x:c>
      <x:c r="D1824" s="35" t="str">
        <x:v>value2</x:v>
      </x:c>
      <x:c r="E1824" s="38" t="str">
        <x:v>int</x:v>
      </x:c>
      <x:c r="F1824" s="56" t="n">
        <x:f>'Gear'!I11</x:f>
        <x:v>0</x:v>
      </x:c>
      <x:c r="G1824" s="38" t="str"/>
      <x:c r="H1824" s="35" t="str">
        <x:v>Gear</x:v>
      </x:c>
      <x:c r="I1824" s="35" t="str">
        <x:v>I11</x:v>
      </x:c>
      <x:c r="J1824" s="85" t="b">
        <x:v>0</x:v>
      </x:c>
      <x:c r="K1824" s="85" t="b">
        <x:v>1</x:v>
      </x:c>
      <x:c r="L1824" s="56" t="str">
        <x:f>'Gear'!M11</x:f>
        <x:v>OK</x:v>
      </x:c>
      <x:c r="M1824" s="44" t="str">
        <x:v>Источник Gear.Value 2</x:v>
      </x:c>
    </x:row>
    <x:row r="1825" ht="36" customHeight="1">
      <x:c r="A1825" s="118" t="n">
        <x:v>1820</x:v>
      </x:c>
      <x:c r="B1825" s="35" t="str">
        <x:v>gear</x:v>
      </x:c>
      <x:c r="C1825" s="35" t="str">
        <x:v>gear_defense_control_brace</x:v>
      </x:c>
      <x:c r="D1825" s="35" t="str">
        <x:v>tags</x:v>
      </x:c>
      <x:c r="E1825" s="38" t="str">
        <x:v>string</x:v>
      </x:c>
      <x:c r="F1825" s="56" t="str">
        <x:f>'Gear'!J11</x:f>
        <x:v>control_resistance|anti_control</x:v>
      </x:c>
      <x:c r="G1825" s="38" t="str"/>
      <x:c r="H1825" s="35" t="str">
        <x:v>Gear</x:v>
      </x:c>
      <x:c r="I1825" s="35" t="str">
        <x:v>J11</x:v>
      </x:c>
      <x:c r="J1825" s="85" t="b">
        <x:v>1</x:v>
      </x:c>
      <x:c r="K1825" s="85" t="b">
        <x:v>1</x:v>
      </x:c>
      <x:c r="L1825" s="56" t="str">
        <x:f>'Gear'!M11</x:f>
        <x:v>OK</x:v>
      </x:c>
      <x:c r="M1825" s="44" t="str">
        <x:v>Источник Gear.Tags</x:v>
      </x:c>
    </x:row>
    <x:row r="1826" ht="36" customHeight="1">
      <x:c r="A1826" s="118" t="n">
        <x:v>1821</x:v>
      </x:c>
      <x:c r="B1826" s="35" t="str">
        <x:v>gear</x:v>
      </x:c>
      <x:c r="C1826" s="35" t="str">
        <x:v>gear_defense_control_brace</x:v>
      </x:c>
      <x:c r="D1826" s="35" t="str">
        <x:v>normalized_value</x:v>
      </x:c>
      <x:c r="E1826" s="38" t="str">
        <x:v>int</x:v>
      </x:c>
      <x:c r="F1826" s="56" t="n">
        <x:f>'Gear'!K11</x:f>
        <x:v>1000</x:v>
      </x:c>
      <x:c r="G1826" s="38" t="str"/>
      <x:c r="H1826" s="35" t="str">
        <x:v>Gear</x:v>
      </x:c>
      <x:c r="I1826" s="35" t="str">
        <x:v>K11</x:v>
      </x:c>
      <x:c r="J1826" s="85" t="b">
        <x:v>1</x:v>
      </x:c>
      <x:c r="K1826" s="85" t="b">
        <x:v>1</x:v>
      </x:c>
      <x:c r="L1826" s="56" t="str">
        <x:f>'Gear'!M11</x:f>
        <x:v>OK</x:v>
      </x:c>
      <x:c r="M1826" s="44" t="str">
        <x:v>Источник Gear.Normalized Value FP</x:v>
      </x:c>
    </x:row>
    <x:row r="1827" ht="36" customHeight="1">
      <x:c r="A1827" s="118" t="n">
        <x:v>1822</x:v>
      </x:c>
      <x:c r="B1827" s="35" t="str">
        <x:v>gear</x:v>
      </x:c>
      <x:c r="C1827" s="35" t="str">
        <x:v>gear_utility_sprint_soles</x:v>
      </x:c>
      <x:c r="D1827" s="35" t="str">
        <x:v>gear_id</x:v>
      </x:c>
      <x:c r="E1827" s="38" t="str">
        <x:v>string</x:v>
      </x:c>
      <x:c r="F1827" s="56" t="str">
        <x:f>'Gear'!A12</x:f>
        <x:v>gear_utility_sprint_soles</x:v>
      </x:c>
      <x:c r="G1827" s="38" t="str"/>
      <x:c r="H1827" s="35" t="str">
        <x:v>Gear</x:v>
      </x:c>
      <x:c r="I1827" s="35" t="str">
        <x:v>A12</x:v>
      </x:c>
      <x:c r="J1827" s="85" t="b">
        <x:v>1</x:v>
      </x:c>
      <x:c r="K1827" s="85" t="b">
        <x:v>1</x:v>
      </x:c>
      <x:c r="L1827" s="56" t="str">
        <x:f>'Gear'!M12</x:f>
        <x:v>OK</x:v>
      </x:c>
      <x:c r="M1827" s="44" t="str">
        <x:v>Источник Gear.Gear ID</x:v>
      </x:c>
    </x:row>
    <x:row r="1828" ht="36" customHeight="1">
      <x:c r="A1828" s="118" t="n">
        <x:v>1823</x:v>
      </x:c>
      <x:c r="B1828" s="35" t="str">
        <x:v>gear</x:v>
      </x:c>
      <x:c r="C1828" s="35" t="str">
        <x:v>gear_utility_sprint_soles</x:v>
      </x:c>
      <x:c r="D1828" s="35" t="str">
        <x:v>slot</x:v>
      </x:c>
      <x:c r="E1828" s="38" t="str">
        <x:v>string</x:v>
      </x:c>
      <x:c r="F1828" s="56" t="str">
        <x:f>'Gear'!C12</x:f>
        <x:v>Utility</x:v>
      </x:c>
      <x:c r="G1828" s="38" t="str"/>
      <x:c r="H1828" s="35" t="str">
        <x:v>Gear</x:v>
      </x:c>
      <x:c r="I1828" s="35" t="str">
        <x:v>C12</x:v>
      </x:c>
      <x:c r="J1828" s="85" t="b">
        <x:v>1</x:v>
      </x:c>
      <x:c r="K1828" s="85" t="b">
        <x:v>1</x:v>
      </x:c>
      <x:c r="L1828" s="56" t="str">
        <x:f>'Gear'!M12</x:f>
        <x:v>OK</x:v>
      </x:c>
      <x:c r="M1828" s="44" t="str">
        <x:v>Источник Gear.Slot</x:v>
      </x:c>
    </x:row>
    <x:row r="1829" ht="36" customHeight="1">
      <x:c r="A1829" s="118" t="n">
        <x:v>1824</x:v>
      </x:c>
      <x:c r="B1829" s="35" t="str">
        <x:v>gear</x:v>
      </x:c>
      <x:c r="C1829" s="35" t="str">
        <x:v>gear_utility_sprint_soles</x:v>
      </x:c>
      <x:c r="D1829" s="35" t="str">
        <x:v>stat1</x:v>
      </x:c>
      <x:c r="E1829" s="38" t="str">
        <x:v>string</x:v>
      </x:c>
      <x:c r="F1829" s="56" t="str">
        <x:f>'Gear'!D12</x:f>
        <x:v>MoveSpeed</x:v>
      </x:c>
      <x:c r="G1829" s="38" t="str"/>
      <x:c r="H1829" s="35" t="str">
        <x:v>Gear</x:v>
      </x:c>
      <x:c r="I1829" s="35" t="str">
        <x:v>D12</x:v>
      </x:c>
      <x:c r="J1829" s="85" t="b">
        <x:v>1</x:v>
      </x:c>
      <x:c r="K1829" s="85" t="b">
        <x:v>1</x:v>
      </x:c>
      <x:c r="L1829" s="56" t="str">
        <x:f>'Gear'!M12</x:f>
        <x:v>OK</x:v>
      </x:c>
      <x:c r="M1829" s="44" t="str">
        <x:v>Источник Gear.Stat 1</x:v>
      </x:c>
    </x:row>
    <x:row r="1830" ht="36" customHeight="1">
      <x:c r="A1830" s="118" t="n">
        <x:v>1825</x:v>
      </x:c>
      <x:c r="B1830" s="35" t="str">
        <x:v>gear</x:v>
      </x:c>
      <x:c r="C1830" s="35" t="str">
        <x:v>gear_utility_sprint_soles</x:v>
      </x:c>
      <x:c r="D1830" s="35" t="str">
        <x:v>operation1</x:v>
      </x:c>
      <x:c r="E1830" s="38" t="str">
        <x:v>string</x:v>
      </x:c>
      <x:c r="F1830" s="56" t="str">
        <x:f>'Gear'!E12</x:f>
        <x:v>Add</x:v>
      </x:c>
      <x:c r="G1830" s="38" t="str"/>
      <x:c r="H1830" s="35" t="str">
        <x:v>Gear</x:v>
      </x:c>
      <x:c r="I1830" s="35" t="str">
        <x:v>E12</x:v>
      </x:c>
      <x:c r="J1830" s="85" t="b">
        <x:v>1</x:v>
      </x:c>
      <x:c r="K1830" s="85" t="b">
        <x:v>1</x:v>
      </x:c>
      <x:c r="L1830" s="56" t="str">
        <x:f>'Gear'!M12</x:f>
        <x:v>OK</x:v>
      </x:c>
      <x:c r="M1830" s="44" t="str">
        <x:v>Источник Gear.Operation 1</x:v>
      </x:c>
    </x:row>
    <x:row r="1831" ht="36" customHeight="1">
      <x:c r="A1831" s="118" t="n">
        <x:v>1826</x:v>
      </x:c>
      <x:c r="B1831" s="35" t="str">
        <x:v>gear</x:v>
      </x:c>
      <x:c r="C1831" s="35" t="str">
        <x:v>gear_utility_sprint_soles</x:v>
      </x:c>
      <x:c r="D1831" s="35" t="str">
        <x:v>value1</x:v>
      </x:c>
      <x:c r="E1831" s="38" t="str">
        <x:v>int</x:v>
      </x:c>
      <x:c r="F1831" s="56" t="n">
        <x:f>'Gear'!F12</x:f>
        <x:v>12</x:v>
      </x:c>
      <x:c r="G1831" s="38" t="str"/>
      <x:c r="H1831" s="35" t="str">
        <x:v>Gear</x:v>
      </x:c>
      <x:c r="I1831" s="35" t="str">
        <x:v>F12</x:v>
      </x:c>
      <x:c r="J1831" s="85" t="b">
        <x:v>1</x:v>
      </x:c>
      <x:c r="K1831" s="85" t="b">
        <x:v>1</x:v>
      </x:c>
      <x:c r="L1831" s="56" t="str">
        <x:f>'Gear'!M12</x:f>
        <x:v>OK</x:v>
      </x:c>
      <x:c r="M1831" s="44" t="str">
        <x:v>Источник Gear.Value 1</x:v>
      </x:c>
    </x:row>
    <x:row r="1832" ht="36" customHeight="1">
      <x:c r="A1832" s="118" t="n">
        <x:v>1827</x:v>
      </x:c>
      <x:c r="B1832" s="35" t="str">
        <x:v>gear</x:v>
      </x:c>
      <x:c r="C1832" s="35" t="str">
        <x:v>gear_utility_sprint_soles</x:v>
      </x:c>
      <x:c r="D1832" s="35" t="str">
        <x:v>stat2</x:v>
      </x:c>
      <x:c r="E1832" s="38" t="str">
        <x:v>string</x:v>
      </x:c>
      <x:c r="F1832" s="56" t="str">
        <x:f>'Gear'!G12</x:f>
      </x:c>
      <x:c r="G1832" s="38" t="str"/>
      <x:c r="H1832" s="35" t="str">
        <x:v>Gear</x:v>
      </x:c>
      <x:c r="I1832" s="35" t="str">
        <x:v>G12</x:v>
      </x:c>
      <x:c r="J1832" s="85" t="b">
        <x:v>0</x:v>
      </x:c>
      <x:c r="K1832" s="85" t="b">
        <x:v>1</x:v>
      </x:c>
      <x:c r="L1832" s="56" t="str">
        <x:f>'Gear'!M12</x:f>
        <x:v>OK</x:v>
      </x:c>
      <x:c r="M1832" s="44" t="str">
        <x:v>Источник Gear.Stat 2</x:v>
      </x:c>
    </x:row>
    <x:row r="1833" ht="36" customHeight="1">
      <x:c r="A1833" s="118" t="n">
        <x:v>1828</x:v>
      </x:c>
      <x:c r="B1833" s="35" t="str">
        <x:v>gear</x:v>
      </x:c>
      <x:c r="C1833" s="35" t="str">
        <x:v>gear_utility_sprint_soles</x:v>
      </x:c>
      <x:c r="D1833" s="35" t="str">
        <x:v>operation2</x:v>
      </x:c>
      <x:c r="E1833" s="38" t="str">
        <x:v>string</x:v>
      </x:c>
      <x:c r="F1833" s="56" t="str">
        <x:f>'Gear'!H12</x:f>
        <x:v>Add</x:v>
      </x:c>
      <x:c r="G1833" s="38" t="str"/>
      <x:c r="H1833" s="35" t="str">
        <x:v>Gear</x:v>
      </x:c>
      <x:c r="I1833" s="35" t="str">
        <x:v>H12</x:v>
      </x:c>
      <x:c r="J1833" s="85" t="b">
        <x:v>0</x:v>
      </x:c>
      <x:c r="K1833" s="85" t="b">
        <x:v>1</x:v>
      </x:c>
      <x:c r="L1833" s="56" t="str">
        <x:f>'Gear'!M12</x:f>
        <x:v>OK</x:v>
      </x:c>
      <x:c r="M1833" s="44" t="str">
        <x:v>Источник Gear.Operation 2</x:v>
      </x:c>
    </x:row>
    <x:row r="1834" ht="36" customHeight="1">
      <x:c r="A1834" s="118" t="n">
        <x:v>1829</x:v>
      </x:c>
      <x:c r="B1834" s="35" t="str">
        <x:v>gear</x:v>
      </x:c>
      <x:c r="C1834" s="35" t="str">
        <x:v>gear_utility_sprint_soles</x:v>
      </x:c>
      <x:c r="D1834" s="35" t="str">
        <x:v>value2</x:v>
      </x:c>
      <x:c r="E1834" s="38" t="str">
        <x:v>int</x:v>
      </x:c>
      <x:c r="F1834" s="56" t="n">
        <x:f>'Gear'!I12</x:f>
        <x:v>0</x:v>
      </x:c>
      <x:c r="G1834" s="38" t="str"/>
      <x:c r="H1834" s="35" t="str">
        <x:v>Gear</x:v>
      </x:c>
      <x:c r="I1834" s="35" t="str">
        <x:v>I12</x:v>
      </x:c>
      <x:c r="J1834" s="85" t="b">
        <x:v>0</x:v>
      </x:c>
      <x:c r="K1834" s="85" t="b">
        <x:v>1</x:v>
      </x:c>
      <x:c r="L1834" s="56" t="str">
        <x:f>'Gear'!M12</x:f>
        <x:v>OK</x:v>
      </x:c>
      <x:c r="M1834" s="44" t="str">
        <x:v>Источник Gear.Value 2</x:v>
      </x:c>
    </x:row>
    <x:row r="1835" ht="36" customHeight="1">
      <x:c r="A1835" s="118" t="n">
        <x:v>1830</x:v>
      </x:c>
      <x:c r="B1835" s="35" t="str">
        <x:v>gear</x:v>
      </x:c>
      <x:c r="C1835" s="35" t="str">
        <x:v>gear_utility_sprint_soles</x:v>
      </x:c>
      <x:c r="D1835" s="35" t="str">
        <x:v>tags</x:v>
      </x:c>
      <x:c r="E1835" s="38" t="str">
        <x:v>string</x:v>
      </x:c>
      <x:c r="F1835" s="56" t="str">
        <x:f>'Gear'!J12</x:f>
        <x:v>movement|position</x:v>
      </x:c>
      <x:c r="G1835" s="38" t="str"/>
      <x:c r="H1835" s="35" t="str">
        <x:v>Gear</x:v>
      </x:c>
      <x:c r="I1835" s="35" t="str">
        <x:v>J12</x:v>
      </x:c>
      <x:c r="J1835" s="85" t="b">
        <x:v>1</x:v>
      </x:c>
      <x:c r="K1835" s="85" t="b">
        <x:v>1</x:v>
      </x:c>
      <x:c r="L1835" s="56" t="str">
        <x:f>'Gear'!M12</x:f>
        <x:v>OK</x:v>
      </x:c>
      <x:c r="M1835" s="44" t="str">
        <x:v>Источник Gear.Tags</x:v>
      </x:c>
    </x:row>
    <x:row r="1836" ht="36" customHeight="1">
      <x:c r="A1836" s="118" t="n">
        <x:v>1831</x:v>
      </x:c>
      <x:c r="B1836" s="35" t="str">
        <x:v>gear</x:v>
      </x:c>
      <x:c r="C1836" s="35" t="str">
        <x:v>gear_utility_sprint_soles</x:v>
      </x:c>
      <x:c r="D1836" s="35" t="str">
        <x:v>normalized_value</x:v>
      </x:c>
      <x:c r="E1836" s="38" t="str">
        <x:v>int</x:v>
      </x:c>
      <x:c r="F1836" s="56" t="n">
        <x:f>'Gear'!K12</x:f>
        <x:v>1000</x:v>
      </x:c>
      <x:c r="G1836" s="38" t="str"/>
      <x:c r="H1836" s="35" t="str">
        <x:v>Gear</x:v>
      </x:c>
      <x:c r="I1836" s="35" t="str">
        <x:v>K12</x:v>
      </x:c>
      <x:c r="J1836" s="85" t="b">
        <x:v>1</x:v>
      </x:c>
      <x:c r="K1836" s="85" t="b">
        <x:v>1</x:v>
      </x:c>
      <x:c r="L1836" s="56" t="str">
        <x:f>'Gear'!M12</x:f>
        <x:v>OK</x:v>
      </x:c>
      <x:c r="M1836" s="44" t="str">
        <x:v>Источник Gear.Normalized Value FP</x:v>
      </x:c>
    </x:row>
    <x:row r="1837" ht="36" customHeight="1">
      <x:c r="A1837" s="118" t="n">
        <x:v>1832</x:v>
      </x:c>
      <x:c r="B1837" s="35" t="str">
        <x:v>gear</x:v>
      </x:c>
      <x:c r="C1837" s="35" t="str">
        <x:v>gear_utility_quickening_cord</x:v>
      </x:c>
      <x:c r="D1837" s="35" t="str">
        <x:v>gear_id</x:v>
      </x:c>
      <x:c r="E1837" s="38" t="str">
        <x:v>string</x:v>
      </x:c>
      <x:c r="F1837" s="56" t="str">
        <x:f>'Gear'!A13</x:f>
        <x:v>gear_utility_quickening_cord</x:v>
      </x:c>
      <x:c r="G1837" s="38" t="str"/>
      <x:c r="H1837" s="35" t="str">
        <x:v>Gear</x:v>
      </x:c>
      <x:c r="I1837" s="35" t="str">
        <x:v>A13</x:v>
      </x:c>
      <x:c r="J1837" s="85" t="b">
        <x:v>1</x:v>
      </x:c>
      <x:c r="K1837" s="85" t="b">
        <x:v>1</x:v>
      </x:c>
      <x:c r="L1837" s="56" t="str">
        <x:f>'Gear'!M13</x:f>
        <x:v>OK</x:v>
      </x:c>
      <x:c r="M1837" s="44" t="str">
        <x:v>Источник Gear.Gear ID</x:v>
      </x:c>
    </x:row>
    <x:row r="1838" ht="36" customHeight="1">
      <x:c r="A1838" s="118" t="n">
        <x:v>1833</x:v>
      </x:c>
      <x:c r="B1838" s="35" t="str">
        <x:v>gear</x:v>
      </x:c>
      <x:c r="C1838" s="35" t="str">
        <x:v>gear_utility_quickening_cord</x:v>
      </x:c>
      <x:c r="D1838" s="35" t="str">
        <x:v>slot</x:v>
      </x:c>
      <x:c r="E1838" s="38" t="str">
        <x:v>string</x:v>
      </x:c>
      <x:c r="F1838" s="56" t="str">
        <x:f>'Gear'!C13</x:f>
        <x:v>Utility</x:v>
      </x:c>
      <x:c r="G1838" s="38" t="str"/>
      <x:c r="H1838" s="35" t="str">
        <x:v>Gear</x:v>
      </x:c>
      <x:c r="I1838" s="35" t="str">
        <x:v>C13</x:v>
      </x:c>
      <x:c r="J1838" s="85" t="b">
        <x:v>1</x:v>
      </x:c>
      <x:c r="K1838" s="85" t="b">
        <x:v>1</x:v>
      </x:c>
      <x:c r="L1838" s="56" t="str">
        <x:f>'Gear'!M13</x:f>
        <x:v>OK</x:v>
      </x:c>
      <x:c r="M1838" s="44" t="str">
        <x:v>Источник Gear.Slot</x:v>
      </x:c>
    </x:row>
    <x:row r="1839" ht="36" customHeight="1">
      <x:c r="A1839" s="118" t="n">
        <x:v>1834</x:v>
      </x:c>
      <x:c r="B1839" s="35" t="str">
        <x:v>gear</x:v>
      </x:c>
      <x:c r="C1839" s="35" t="str">
        <x:v>gear_utility_quickening_cord</x:v>
      </x:c>
      <x:c r="D1839" s="35" t="str">
        <x:v>stat1</x:v>
      </x:c>
      <x:c r="E1839" s="38" t="str">
        <x:v>string</x:v>
      </x:c>
      <x:c r="F1839" s="56" t="str">
        <x:f>'Gear'!D13</x:f>
        <x:v>ActionSpeed</x:v>
      </x:c>
      <x:c r="G1839" s="38" t="str"/>
      <x:c r="H1839" s="35" t="str">
        <x:v>Gear</x:v>
      </x:c>
      <x:c r="I1839" s="35" t="str">
        <x:v>D13</x:v>
      </x:c>
      <x:c r="J1839" s="85" t="b">
        <x:v>1</x:v>
      </x:c>
      <x:c r="K1839" s="85" t="b">
        <x:v>1</x:v>
      </x:c>
      <x:c r="L1839" s="56" t="str">
        <x:f>'Gear'!M13</x:f>
        <x:v>OK</x:v>
      </x:c>
      <x:c r="M1839" s="44" t="str">
        <x:v>Источник Gear.Stat 1</x:v>
      </x:c>
    </x:row>
    <x:row r="1840" ht="36" customHeight="1">
      <x:c r="A1840" s="118" t="n">
        <x:v>1835</x:v>
      </x:c>
      <x:c r="B1840" s="35" t="str">
        <x:v>gear</x:v>
      </x:c>
      <x:c r="C1840" s="35" t="str">
        <x:v>gear_utility_quickening_cord</x:v>
      </x:c>
      <x:c r="D1840" s="35" t="str">
        <x:v>operation1</x:v>
      </x:c>
      <x:c r="E1840" s="38" t="str">
        <x:v>string</x:v>
      </x:c>
      <x:c r="F1840" s="56" t="str">
        <x:f>'Gear'!E13</x:f>
        <x:v>Add</x:v>
      </x:c>
      <x:c r="G1840" s="38" t="str"/>
      <x:c r="H1840" s="35" t="str">
        <x:v>Gear</x:v>
      </x:c>
      <x:c r="I1840" s="35" t="str">
        <x:v>E13</x:v>
      </x:c>
      <x:c r="J1840" s="85" t="b">
        <x:v>1</x:v>
      </x:c>
      <x:c r="K1840" s="85" t="b">
        <x:v>1</x:v>
      </x:c>
      <x:c r="L1840" s="56" t="str">
        <x:f>'Gear'!M13</x:f>
        <x:v>OK</x:v>
      </x:c>
      <x:c r="M1840" s="44" t="str">
        <x:v>Источник Gear.Operation 1</x:v>
      </x:c>
    </x:row>
    <x:row r="1841" ht="36" customHeight="1">
      <x:c r="A1841" s="118" t="n">
        <x:v>1836</x:v>
      </x:c>
      <x:c r="B1841" s="35" t="str">
        <x:v>gear</x:v>
      </x:c>
      <x:c r="C1841" s="35" t="str">
        <x:v>gear_utility_quickening_cord</x:v>
      </x:c>
      <x:c r="D1841" s="35" t="str">
        <x:v>value1</x:v>
      </x:c>
      <x:c r="E1841" s="38" t="str">
        <x:v>int</x:v>
      </x:c>
      <x:c r="F1841" s="56" t="n">
        <x:f>'Gear'!F13</x:f>
        <x:v>12</x:v>
      </x:c>
      <x:c r="G1841" s="38" t="str"/>
      <x:c r="H1841" s="35" t="str">
        <x:v>Gear</x:v>
      </x:c>
      <x:c r="I1841" s="35" t="str">
        <x:v>F13</x:v>
      </x:c>
      <x:c r="J1841" s="85" t="b">
        <x:v>1</x:v>
      </x:c>
      <x:c r="K1841" s="85" t="b">
        <x:v>1</x:v>
      </x:c>
      <x:c r="L1841" s="56" t="str">
        <x:f>'Gear'!M13</x:f>
        <x:v>OK</x:v>
      </x:c>
      <x:c r="M1841" s="44" t="str">
        <x:v>Источник Gear.Value 1</x:v>
      </x:c>
    </x:row>
    <x:row r="1842" ht="36" customHeight="1">
      <x:c r="A1842" s="118" t="n">
        <x:v>1837</x:v>
      </x:c>
      <x:c r="B1842" s="35" t="str">
        <x:v>gear</x:v>
      </x:c>
      <x:c r="C1842" s="35" t="str">
        <x:v>gear_utility_quickening_cord</x:v>
      </x:c>
      <x:c r="D1842" s="35" t="str">
        <x:v>stat2</x:v>
      </x:c>
      <x:c r="E1842" s="38" t="str">
        <x:v>string</x:v>
      </x:c>
      <x:c r="F1842" s="56" t="str">
        <x:f>'Gear'!G13</x:f>
      </x:c>
      <x:c r="G1842" s="38" t="str"/>
      <x:c r="H1842" s="35" t="str">
        <x:v>Gear</x:v>
      </x:c>
      <x:c r="I1842" s="35" t="str">
        <x:v>G13</x:v>
      </x:c>
      <x:c r="J1842" s="85" t="b">
        <x:v>0</x:v>
      </x:c>
      <x:c r="K1842" s="85" t="b">
        <x:v>1</x:v>
      </x:c>
      <x:c r="L1842" s="56" t="str">
        <x:f>'Gear'!M13</x:f>
        <x:v>OK</x:v>
      </x:c>
      <x:c r="M1842" s="44" t="str">
        <x:v>Источник Gear.Stat 2</x:v>
      </x:c>
    </x:row>
    <x:row r="1843" ht="36" customHeight="1">
      <x:c r="A1843" s="118" t="n">
        <x:v>1838</x:v>
      </x:c>
      <x:c r="B1843" s="35" t="str">
        <x:v>gear</x:v>
      </x:c>
      <x:c r="C1843" s="35" t="str">
        <x:v>gear_utility_quickening_cord</x:v>
      </x:c>
      <x:c r="D1843" s="35" t="str">
        <x:v>operation2</x:v>
      </x:c>
      <x:c r="E1843" s="38" t="str">
        <x:v>string</x:v>
      </x:c>
      <x:c r="F1843" s="56" t="str">
        <x:f>'Gear'!H13</x:f>
        <x:v>Add</x:v>
      </x:c>
      <x:c r="G1843" s="38" t="str"/>
      <x:c r="H1843" s="35" t="str">
        <x:v>Gear</x:v>
      </x:c>
      <x:c r="I1843" s="35" t="str">
        <x:v>H13</x:v>
      </x:c>
      <x:c r="J1843" s="85" t="b">
        <x:v>0</x:v>
      </x:c>
      <x:c r="K1843" s="85" t="b">
        <x:v>1</x:v>
      </x:c>
      <x:c r="L1843" s="56" t="str">
        <x:f>'Gear'!M13</x:f>
        <x:v>OK</x:v>
      </x:c>
      <x:c r="M1843" s="44" t="str">
        <x:v>Источник Gear.Operation 2</x:v>
      </x:c>
    </x:row>
    <x:row r="1844" ht="36" customHeight="1">
      <x:c r="A1844" s="118" t="n">
        <x:v>1839</x:v>
      </x:c>
      <x:c r="B1844" s="35" t="str">
        <x:v>gear</x:v>
      </x:c>
      <x:c r="C1844" s="35" t="str">
        <x:v>gear_utility_quickening_cord</x:v>
      </x:c>
      <x:c r="D1844" s="35" t="str">
        <x:v>value2</x:v>
      </x:c>
      <x:c r="E1844" s="38" t="str">
        <x:v>int</x:v>
      </x:c>
      <x:c r="F1844" s="56" t="n">
        <x:f>'Gear'!I13</x:f>
        <x:v>0</x:v>
      </x:c>
      <x:c r="G1844" s="38" t="str"/>
      <x:c r="H1844" s="35" t="str">
        <x:v>Gear</x:v>
      </x:c>
      <x:c r="I1844" s="35" t="str">
        <x:v>I13</x:v>
      </x:c>
      <x:c r="J1844" s="85" t="b">
        <x:v>0</x:v>
      </x:c>
      <x:c r="K1844" s="85" t="b">
        <x:v>1</x:v>
      </x:c>
      <x:c r="L1844" s="56" t="str">
        <x:f>'Gear'!M13</x:f>
        <x:v>OK</x:v>
      </x:c>
      <x:c r="M1844" s="44" t="str">
        <x:v>Источник Gear.Value 2</x:v>
      </x:c>
    </x:row>
    <x:row r="1845" ht="36" customHeight="1">
      <x:c r="A1845" s="118" t="n">
        <x:v>1840</x:v>
      </x:c>
      <x:c r="B1845" s="35" t="str">
        <x:v>gear</x:v>
      </x:c>
      <x:c r="C1845" s="35" t="str">
        <x:v>gear_utility_quickening_cord</x:v>
      </x:c>
      <x:c r="D1845" s="35" t="str">
        <x:v>tags</x:v>
      </x:c>
      <x:c r="E1845" s="38" t="str">
        <x:v>string</x:v>
      </x:c>
      <x:c r="F1845" s="56" t="str">
        <x:f>'Gear'!J13</x:f>
        <x:v>action_speed|tempo</x:v>
      </x:c>
      <x:c r="G1845" s="38" t="str"/>
      <x:c r="H1845" s="35" t="str">
        <x:v>Gear</x:v>
      </x:c>
      <x:c r="I1845" s="35" t="str">
        <x:v>J13</x:v>
      </x:c>
      <x:c r="J1845" s="85" t="b">
        <x:v>1</x:v>
      </x:c>
      <x:c r="K1845" s="85" t="b">
        <x:v>1</x:v>
      </x:c>
      <x:c r="L1845" s="56" t="str">
        <x:f>'Gear'!M13</x:f>
        <x:v>OK</x:v>
      </x:c>
      <x:c r="M1845" s="44" t="str">
        <x:v>Источник Gear.Tags</x:v>
      </x:c>
    </x:row>
    <x:row r="1846" ht="36" customHeight="1">
      <x:c r="A1846" s="118" t="n">
        <x:v>1841</x:v>
      </x:c>
      <x:c r="B1846" s="35" t="str">
        <x:v>gear</x:v>
      </x:c>
      <x:c r="C1846" s="35" t="str">
        <x:v>gear_utility_quickening_cord</x:v>
      </x:c>
      <x:c r="D1846" s="35" t="str">
        <x:v>normalized_value</x:v>
      </x:c>
      <x:c r="E1846" s="38" t="str">
        <x:v>int</x:v>
      </x:c>
      <x:c r="F1846" s="56" t="n">
        <x:f>'Gear'!K13</x:f>
        <x:v>1000</x:v>
      </x:c>
      <x:c r="G1846" s="38" t="str"/>
      <x:c r="H1846" s="35" t="str">
        <x:v>Gear</x:v>
      </x:c>
      <x:c r="I1846" s="35" t="str">
        <x:v>K13</x:v>
      </x:c>
      <x:c r="J1846" s="85" t="b">
        <x:v>1</x:v>
      </x:c>
      <x:c r="K1846" s="85" t="b">
        <x:v>1</x:v>
      </x:c>
      <x:c r="L1846" s="56" t="str">
        <x:f>'Gear'!M13</x:f>
        <x:v>OK</x:v>
      </x:c>
      <x:c r="M1846" s="44" t="str">
        <x:v>Источник Gear.Normalized Value FP</x:v>
      </x:c>
    </x:row>
    <x:row r="1847" ht="36" customHeight="1">
      <x:c r="A1847" s="118" t="n">
        <x:v>1842</x:v>
      </x:c>
      <x:c r="B1847" s="35" t="str">
        <x:v>gear</x:v>
      </x:c>
      <x:c r="C1847" s="35" t="str">
        <x:v>gear_utility_energy_cell</x:v>
      </x:c>
      <x:c r="D1847" s="35" t="str">
        <x:v>gear_id</x:v>
      </x:c>
      <x:c r="E1847" s="38" t="str">
        <x:v>string</x:v>
      </x:c>
      <x:c r="F1847" s="56" t="str">
        <x:f>'Gear'!A14</x:f>
        <x:v>gear_utility_energy_cell</x:v>
      </x:c>
      <x:c r="G1847" s="38" t="str"/>
      <x:c r="H1847" s="35" t="str">
        <x:v>Gear</x:v>
      </x:c>
      <x:c r="I1847" s="35" t="str">
        <x:v>A14</x:v>
      </x:c>
      <x:c r="J1847" s="85" t="b">
        <x:v>1</x:v>
      </x:c>
      <x:c r="K1847" s="85" t="b">
        <x:v>1</x:v>
      </x:c>
      <x:c r="L1847" s="56" t="str">
        <x:f>'Gear'!M14</x:f>
        <x:v>OK</x:v>
      </x:c>
      <x:c r="M1847" s="44" t="str">
        <x:v>Источник Gear.Gear ID</x:v>
      </x:c>
    </x:row>
    <x:row r="1848" ht="36" customHeight="1">
      <x:c r="A1848" s="118" t="n">
        <x:v>1843</x:v>
      </x:c>
      <x:c r="B1848" s="35" t="str">
        <x:v>gear</x:v>
      </x:c>
      <x:c r="C1848" s="35" t="str">
        <x:v>gear_utility_energy_cell</x:v>
      </x:c>
      <x:c r="D1848" s="35" t="str">
        <x:v>slot</x:v>
      </x:c>
      <x:c r="E1848" s="38" t="str">
        <x:v>string</x:v>
      </x:c>
      <x:c r="F1848" s="56" t="str">
        <x:f>'Gear'!C14</x:f>
        <x:v>Utility</x:v>
      </x:c>
      <x:c r="G1848" s="38" t="str"/>
      <x:c r="H1848" s="35" t="str">
        <x:v>Gear</x:v>
      </x:c>
      <x:c r="I1848" s="35" t="str">
        <x:v>C14</x:v>
      </x:c>
      <x:c r="J1848" s="85" t="b">
        <x:v>1</x:v>
      </x:c>
      <x:c r="K1848" s="85" t="b">
        <x:v>1</x:v>
      </x:c>
      <x:c r="L1848" s="56" t="str">
        <x:f>'Gear'!M14</x:f>
        <x:v>OK</x:v>
      </x:c>
      <x:c r="M1848" s="44" t="str">
        <x:v>Источник Gear.Slot</x:v>
      </x:c>
    </x:row>
    <x:row r="1849" ht="36" customHeight="1">
      <x:c r="A1849" s="118" t="n">
        <x:v>1844</x:v>
      </x:c>
      <x:c r="B1849" s="35" t="str">
        <x:v>gear</x:v>
      </x:c>
      <x:c r="C1849" s="35" t="str">
        <x:v>gear_utility_energy_cell</x:v>
      </x:c>
      <x:c r="D1849" s="35" t="str">
        <x:v>stat1</x:v>
      </x:c>
      <x:c r="E1849" s="38" t="str">
        <x:v>string</x:v>
      </x:c>
      <x:c r="F1849" s="56" t="str">
        <x:f>'Gear'!D14</x:f>
        <x:v>MaxEnergy</x:v>
      </x:c>
      <x:c r="G1849" s="38" t="str"/>
      <x:c r="H1849" s="35" t="str">
        <x:v>Gear</x:v>
      </x:c>
      <x:c r="I1849" s="35" t="str">
        <x:v>D14</x:v>
      </x:c>
      <x:c r="J1849" s="85" t="b">
        <x:v>1</x:v>
      </x:c>
      <x:c r="K1849" s="85" t="b">
        <x:v>1</x:v>
      </x:c>
      <x:c r="L1849" s="56" t="str">
        <x:f>'Gear'!M14</x:f>
        <x:v>OK</x:v>
      </x:c>
      <x:c r="M1849" s="44" t="str">
        <x:v>Источник Gear.Stat 1</x:v>
      </x:c>
    </x:row>
    <x:row r="1850" ht="36" customHeight="1">
      <x:c r="A1850" s="118" t="n">
        <x:v>1845</x:v>
      </x:c>
      <x:c r="B1850" s="35" t="str">
        <x:v>gear</x:v>
      </x:c>
      <x:c r="C1850" s="35" t="str">
        <x:v>gear_utility_energy_cell</x:v>
      </x:c>
      <x:c r="D1850" s="35" t="str">
        <x:v>operation1</x:v>
      </x:c>
      <x:c r="E1850" s="38" t="str">
        <x:v>string</x:v>
      </x:c>
      <x:c r="F1850" s="56" t="str">
        <x:f>'Gear'!E14</x:f>
        <x:v>Add</x:v>
      </x:c>
      <x:c r="G1850" s="38" t="str"/>
      <x:c r="H1850" s="35" t="str">
        <x:v>Gear</x:v>
      </x:c>
      <x:c r="I1850" s="35" t="str">
        <x:v>E14</x:v>
      </x:c>
      <x:c r="J1850" s="85" t="b">
        <x:v>1</x:v>
      </x:c>
      <x:c r="K1850" s="85" t="b">
        <x:v>1</x:v>
      </x:c>
      <x:c r="L1850" s="56" t="str">
        <x:f>'Gear'!M14</x:f>
        <x:v>OK</x:v>
      </x:c>
      <x:c r="M1850" s="44" t="str">
        <x:v>Источник Gear.Operation 1</x:v>
      </x:c>
    </x:row>
    <x:row r="1851" ht="36" customHeight="1">
      <x:c r="A1851" s="118" t="n">
        <x:v>1846</x:v>
      </x:c>
      <x:c r="B1851" s="35" t="str">
        <x:v>gear</x:v>
      </x:c>
      <x:c r="C1851" s="35" t="str">
        <x:v>gear_utility_energy_cell</x:v>
      </x:c>
      <x:c r="D1851" s="35" t="str">
        <x:v>value1</x:v>
      </x:c>
      <x:c r="E1851" s="38" t="str">
        <x:v>int</x:v>
      </x:c>
      <x:c r="F1851" s="56" t="n">
        <x:f>'Gear'!F14</x:f>
        <x:v>120</x:v>
      </x:c>
      <x:c r="G1851" s="38" t="str"/>
      <x:c r="H1851" s="35" t="str">
        <x:v>Gear</x:v>
      </x:c>
      <x:c r="I1851" s="35" t="str">
        <x:v>F14</x:v>
      </x:c>
      <x:c r="J1851" s="85" t="b">
        <x:v>1</x:v>
      </x:c>
      <x:c r="K1851" s="85" t="b">
        <x:v>1</x:v>
      </x:c>
      <x:c r="L1851" s="56" t="str">
        <x:f>'Gear'!M14</x:f>
        <x:v>OK</x:v>
      </x:c>
      <x:c r="M1851" s="44" t="str">
        <x:v>Источник Gear.Value 1</x:v>
      </x:c>
    </x:row>
    <x:row r="1852" ht="36" customHeight="1">
      <x:c r="A1852" s="118" t="n">
        <x:v>1847</x:v>
      </x:c>
      <x:c r="B1852" s="35" t="str">
        <x:v>gear</x:v>
      </x:c>
      <x:c r="C1852" s="35" t="str">
        <x:v>gear_utility_energy_cell</x:v>
      </x:c>
      <x:c r="D1852" s="35" t="str">
        <x:v>stat2</x:v>
      </x:c>
      <x:c r="E1852" s="38" t="str">
        <x:v>string</x:v>
      </x:c>
      <x:c r="F1852" s="56" t="str">
        <x:f>'Gear'!G14</x:f>
        <x:v>EnergyRegen</x:v>
      </x:c>
      <x:c r="G1852" s="38" t="str"/>
      <x:c r="H1852" s="35" t="str">
        <x:v>Gear</x:v>
      </x:c>
      <x:c r="I1852" s="35" t="str">
        <x:v>G14</x:v>
      </x:c>
      <x:c r="J1852" s="85" t="b">
        <x:v>0</x:v>
      </x:c>
      <x:c r="K1852" s="85" t="b">
        <x:v>1</x:v>
      </x:c>
      <x:c r="L1852" s="56" t="str">
        <x:f>'Gear'!M14</x:f>
        <x:v>OK</x:v>
      </x:c>
      <x:c r="M1852" s="44" t="str">
        <x:v>Источник Gear.Stat 2</x:v>
      </x:c>
    </x:row>
    <x:row r="1853" ht="36" customHeight="1">
      <x:c r="A1853" s="118" t="n">
        <x:v>1848</x:v>
      </x:c>
      <x:c r="B1853" s="35" t="str">
        <x:v>gear</x:v>
      </x:c>
      <x:c r="C1853" s="35" t="str">
        <x:v>gear_utility_energy_cell</x:v>
      </x:c>
      <x:c r="D1853" s="35" t="str">
        <x:v>operation2</x:v>
      </x:c>
      <x:c r="E1853" s="38" t="str">
        <x:v>string</x:v>
      </x:c>
      <x:c r="F1853" s="56" t="str">
        <x:f>'Gear'!H14</x:f>
        <x:v>Add</x:v>
      </x:c>
      <x:c r="G1853" s="38" t="str"/>
      <x:c r="H1853" s="35" t="str">
        <x:v>Gear</x:v>
      </x:c>
      <x:c r="I1853" s="35" t="str">
        <x:v>H14</x:v>
      </x:c>
      <x:c r="J1853" s="85" t="b">
        <x:v>0</x:v>
      </x:c>
      <x:c r="K1853" s="85" t="b">
        <x:v>1</x:v>
      </x:c>
      <x:c r="L1853" s="56" t="str">
        <x:f>'Gear'!M14</x:f>
        <x:v>OK</x:v>
      </x:c>
      <x:c r="M1853" s="44" t="str">
        <x:v>Источник Gear.Operation 2</x:v>
      </x:c>
    </x:row>
    <x:row r="1854" ht="36" customHeight="1">
      <x:c r="A1854" s="118" t="n">
        <x:v>1849</x:v>
      </x:c>
      <x:c r="B1854" s="35" t="str">
        <x:v>gear</x:v>
      </x:c>
      <x:c r="C1854" s="35" t="str">
        <x:v>gear_utility_energy_cell</x:v>
      </x:c>
      <x:c r="D1854" s="35" t="str">
        <x:v>value2</x:v>
      </x:c>
      <x:c r="E1854" s="38" t="str">
        <x:v>int</x:v>
      </x:c>
      <x:c r="F1854" s="56" t="n">
        <x:f>'Gear'!I14</x:f>
        <x:v>2</x:v>
      </x:c>
      <x:c r="G1854" s="38" t="str"/>
      <x:c r="H1854" s="35" t="str">
        <x:v>Gear</x:v>
      </x:c>
      <x:c r="I1854" s="35" t="str">
        <x:v>I14</x:v>
      </x:c>
      <x:c r="J1854" s="85" t="b">
        <x:v>0</x:v>
      </x:c>
      <x:c r="K1854" s="85" t="b">
        <x:v>1</x:v>
      </x:c>
      <x:c r="L1854" s="56" t="str">
        <x:f>'Gear'!M14</x:f>
        <x:v>OK</x:v>
      </x:c>
      <x:c r="M1854" s="44" t="str">
        <x:v>Источник Gear.Value 2</x:v>
      </x:c>
    </x:row>
    <x:row r="1855" ht="36" customHeight="1">
      <x:c r="A1855" s="118" t="n">
        <x:v>1850</x:v>
      </x:c>
      <x:c r="B1855" s="35" t="str">
        <x:v>gear</x:v>
      </x:c>
      <x:c r="C1855" s="35" t="str">
        <x:v>gear_utility_energy_cell</x:v>
      </x:c>
      <x:c r="D1855" s="35" t="str">
        <x:v>tags</x:v>
      </x:c>
      <x:c r="E1855" s="38" t="str">
        <x:v>string</x:v>
      </x:c>
      <x:c r="F1855" s="56" t="str">
        <x:f>'Gear'!J14</x:f>
        <x:v>energy|resource_economy</x:v>
      </x:c>
      <x:c r="G1855" s="38" t="str"/>
      <x:c r="H1855" s="35" t="str">
        <x:v>Gear</x:v>
      </x:c>
      <x:c r="I1855" s="35" t="str">
        <x:v>J14</x:v>
      </x:c>
      <x:c r="J1855" s="85" t="b">
        <x:v>1</x:v>
      </x:c>
      <x:c r="K1855" s="85" t="b">
        <x:v>1</x:v>
      </x:c>
      <x:c r="L1855" s="56" t="str">
        <x:f>'Gear'!M14</x:f>
        <x:v>OK</x:v>
      </x:c>
      <x:c r="M1855" s="44" t="str">
        <x:v>Источник Gear.Tags</x:v>
      </x:c>
    </x:row>
    <x:row r="1856" ht="36" customHeight="1">
      <x:c r="A1856" s="118" t="n">
        <x:v>1851</x:v>
      </x:c>
      <x:c r="B1856" s="35" t="str">
        <x:v>gear</x:v>
      </x:c>
      <x:c r="C1856" s="35" t="str">
        <x:v>gear_utility_energy_cell</x:v>
      </x:c>
      <x:c r="D1856" s="35" t="str">
        <x:v>normalized_value</x:v>
      </x:c>
      <x:c r="E1856" s="38" t="str">
        <x:v>int</x:v>
      </x:c>
      <x:c r="F1856" s="56" t="n">
        <x:f>'Gear'!K14</x:f>
        <x:v>1000</x:v>
      </x:c>
      <x:c r="G1856" s="38" t="str"/>
      <x:c r="H1856" s="35" t="str">
        <x:v>Gear</x:v>
      </x:c>
      <x:c r="I1856" s="35" t="str">
        <x:v>K14</x:v>
      </x:c>
      <x:c r="J1856" s="85" t="b">
        <x:v>1</x:v>
      </x:c>
      <x:c r="K1856" s="85" t="b">
        <x:v>1</x:v>
      </x:c>
      <x:c r="L1856" s="56" t="str">
        <x:f>'Gear'!M14</x:f>
        <x:v>OK</x:v>
      </x:c>
      <x:c r="M1856" s="44" t="str">
        <x:v>Источник Gear.Normalized Value FP</x:v>
      </x:c>
    </x:row>
    <x:row r="1857" ht="36" customHeight="1">
      <x:c r="A1857" s="118" t="n">
        <x:v>1852</x:v>
      </x:c>
      <x:c r="B1857" s="35" t="str">
        <x:v>test_build</x:v>
      </x:c>
      <x:c r="C1857" s="35" t="str">
        <x:v>build_bear_default</x:v>
      </x:c>
      <x:c r="D1857" s="35" t="str">
        <x:v>build_id</x:v>
      </x:c>
      <x:c r="E1857" s="38" t="str">
        <x:v>string</x:v>
      </x:c>
      <x:c r="F1857" s="56" t="str">
        <x:f>'Test Builds'!A6</x:f>
        <x:v>build_bear_default</x:v>
      </x:c>
      <x:c r="G1857" s="38" t="str"/>
      <x:c r="H1857" s="35" t="str">
        <x:v>Test Builds</x:v>
      </x:c>
      <x:c r="I1857" s="35" t="str">
        <x:v>A6</x:v>
      </x:c>
      <x:c r="J1857" s="85" t="b">
        <x:v>1</x:v>
      </x:c>
      <x:c r="K1857" s="85" t="b">
        <x:v>0</x:v>
      </x:c>
      <x:c r="L1857" s="56" t="str">
        <x:f>'Test Builds'!N6</x:f>
        <x:v>OK</x:v>
      </x:c>
      <x:c r="M1857" s="44" t="str">
        <x:v>Источник Test Builds.Build ID</x:v>
      </x:c>
    </x:row>
    <x:row r="1858" ht="36" customHeight="1">
      <x:c r="A1858" s="118" t="n">
        <x:v>1853</x:v>
      </x:c>
      <x:c r="B1858" s="35" t="str">
        <x:v>test_build</x:v>
      </x:c>
      <x:c r="C1858" s="35" t="str">
        <x:v>build_bear_default</x:v>
      </x:c>
      <x:c r="D1858" s="35" t="str">
        <x:v>animal_id</x:v>
      </x:c>
      <x:c r="E1858" s="38" t="str">
        <x:v>string</x:v>
      </x:c>
      <x:c r="F1858" s="56" t="str">
        <x:f>'Test Builds'!C6</x:f>
        <x:v>bear</x:v>
      </x:c>
      <x:c r="G1858" s="38" t="str"/>
      <x:c r="H1858" s="35" t="str">
        <x:v>Test Builds</x:v>
      </x:c>
      <x:c r="I1858" s="35" t="str">
        <x:v>C6</x:v>
      </x:c>
      <x:c r="J1858" s="85" t="b">
        <x:v>1</x:v>
      </x:c>
      <x:c r="K1858" s="85" t="b">
        <x:v>0</x:v>
      </x:c>
      <x:c r="L1858" s="56" t="str">
        <x:f>'Test Builds'!N6</x:f>
        <x:v>OK</x:v>
      </x:c>
      <x:c r="M1858" s="44" t="str">
        <x:v>Источник Test Builds.Animal ID</x:v>
      </x:c>
    </x:row>
    <x:row r="1859" ht="36" customHeight="1">
      <x:c r="A1859" s="118" t="n">
        <x:v>1854</x:v>
      </x:c>
      <x:c r="B1859" s="35" t="str">
        <x:v>test_build</x:v>
      </x:c>
      <x:c r="C1859" s="35" t="str">
        <x:v>build_bear_default</x:v>
      </x:c>
      <x:c r="D1859" s="35" t="str">
        <x:v>special1</x:v>
      </x:c>
      <x:c r="E1859" s="38" t="str">
        <x:v>string</x:v>
      </x:c>
      <x:c r="F1859" s="56" t="str">
        <x:f>'Test Builds'!D6</x:f>
        <x:v>bear_rampage_charge</x:v>
      </x:c>
      <x:c r="G1859" s="38" t="str"/>
      <x:c r="H1859" s="35" t="str">
        <x:v>Test Builds</x:v>
      </x:c>
      <x:c r="I1859" s="35" t="str">
        <x:v>D6</x:v>
      </x:c>
      <x:c r="J1859" s="85" t="b">
        <x:v>1</x:v>
      </x:c>
      <x:c r="K1859" s="85" t="b">
        <x:v>0</x:v>
      </x:c>
      <x:c r="L1859" s="56" t="str">
        <x:f>'Test Builds'!N6</x:f>
        <x:v>OK</x:v>
      </x:c>
      <x:c r="M1859" s="44" t="str">
        <x:v>Источник Test Builds.Special 1</x:v>
      </x:c>
    </x:row>
    <x:row r="1860" ht="36" customHeight="1">
      <x:c r="A1860" s="118" t="n">
        <x:v>1855</x:v>
      </x:c>
      <x:c r="B1860" s="35" t="str">
        <x:v>test_build</x:v>
      </x:c>
      <x:c r="C1860" s="35" t="str">
        <x:v>build_bear_default</x:v>
      </x:c>
      <x:c r="D1860" s="35" t="str">
        <x:v>special2</x:v>
      </x:c>
      <x:c r="E1860" s="38" t="str">
        <x:v>string</x:v>
      </x:c>
      <x:c r="F1860" s="56" t="str">
        <x:f>'Test Builds'!E6</x:f>
        <x:v>bear_earthbreaker</x:v>
      </x:c>
      <x:c r="G1860" s="38" t="str"/>
      <x:c r="H1860" s="35" t="str">
        <x:v>Test Builds</x:v>
      </x:c>
      <x:c r="I1860" s="35" t="str">
        <x:v>E6</x:v>
      </x:c>
      <x:c r="J1860" s="85" t="b">
        <x:v>1</x:v>
      </x:c>
      <x:c r="K1860" s="85" t="b">
        <x:v>0</x:v>
      </x:c>
      <x:c r="L1860" s="56" t="str">
        <x:f>'Test Builds'!N6</x:f>
        <x:v>OK</x:v>
      </x:c>
      <x:c r="M1860" s="44" t="str">
        <x:v>Источник Test Builds.Special 2</x:v>
      </x:c>
    </x:row>
    <x:row r="1861" ht="36" customHeight="1">
      <x:c r="A1861" s="118" t="n">
        <x:v>1856</x:v>
      </x:c>
      <x:c r="B1861" s="35" t="str">
        <x:v>test_build</x:v>
      </x:c>
      <x:c r="C1861" s="35" t="str">
        <x:v>build_bear_default</x:v>
      </x:c>
      <x:c r="D1861" s="35" t="str">
        <x:v>passive</x:v>
      </x:c>
      <x:c r="E1861" s="38" t="str">
        <x:v>string</x:v>
      </x:c>
      <x:c r="F1861" s="56" t="str">
        <x:f>'Test Builds'!F6</x:f>
        <x:v>bear_thick_hide</x:v>
      </x:c>
      <x:c r="G1861" s="38" t="str"/>
      <x:c r="H1861" s="35" t="str">
        <x:v>Test Builds</x:v>
      </x:c>
      <x:c r="I1861" s="35" t="str">
        <x:v>F6</x:v>
      </x:c>
      <x:c r="J1861" s="85" t="b">
        <x:v>1</x:v>
      </x:c>
      <x:c r="K1861" s="85" t="b">
        <x:v>0</x:v>
      </x:c>
      <x:c r="L1861" s="56" t="str">
        <x:f>'Test Builds'!N6</x:f>
        <x:v>OK</x:v>
      </x:c>
      <x:c r="M1861" s="44" t="str">
        <x:v>Источник Test Builds.Passive</x:v>
      </x:c>
    </x:row>
    <x:row r="1862" ht="36" customHeight="1">
      <x:c r="A1862" s="118" t="n">
        <x:v>1857</x:v>
      </x:c>
      <x:c r="B1862" s="35" t="str">
        <x:v>test_build</x:v>
      </x:c>
      <x:c r="C1862" s="35" t="str">
        <x:v>build_bear_default</x:v>
      </x:c>
      <x:c r="D1862" s="35" t="str">
        <x:v>offense_gear</x:v>
      </x:c>
      <x:c r="E1862" s="38" t="str">
        <x:v>string</x:v>
      </x:c>
      <x:c r="F1862" s="56" t="str">
        <x:f>'Test Builds'!G6</x:f>
        <x:v>gear_offense_power_wraps</x:v>
      </x:c>
      <x:c r="G1862" s="38" t="str"/>
      <x:c r="H1862" s="35" t="str">
        <x:v>Test Builds</x:v>
      </x:c>
      <x:c r="I1862" s="35" t="str">
        <x:v>G6</x:v>
      </x:c>
      <x:c r="J1862" s="85" t="b">
        <x:v>1</x:v>
      </x:c>
      <x:c r="K1862" s="85" t="b">
        <x:v>0</x:v>
      </x:c>
      <x:c r="L1862" s="56" t="str">
        <x:f>'Test Builds'!N6</x:f>
        <x:v>OK</x:v>
      </x:c>
      <x:c r="M1862" s="44" t="str">
        <x:v>Источник Test Builds.Offense Gear</x:v>
      </x:c>
    </x:row>
    <x:row r="1863" ht="36" customHeight="1">
      <x:c r="A1863" s="118" t="n">
        <x:v>1858</x:v>
      </x:c>
      <x:c r="B1863" s="35" t="str">
        <x:v>test_build</x:v>
      </x:c>
      <x:c r="C1863" s="35" t="str">
        <x:v>build_bear_default</x:v>
      </x:c>
      <x:c r="D1863" s="35" t="str">
        <x:v>defense_gear</x:v>
      </x:c>
      <x:c r="E1863" s="38" t="str">
        <x:v>string</x:v>
      </x:c>
      <x:c r="F1863" s="56" t="str">
        <x:f>'Test Builds'!H6</x:f>
        <x:v>gear_defense_reinforced_hide</x:v>
      </x:c>
      <x:c r="G1863" s="38" t="str"/>
      <x:c r="H1863" s="35" t="str">
        <x:v>Test Builds</x:v>
      </x:c>
      <x:c r="I1863" s="35" t="str">
        <x:v>H6</x:v>
      </x:c>
      <x:c r="J1863" s="85" t="b">
        <x:v>1</x:v>
      </x:c>
      <x:c r="K1863" s="85" t="b">
        <x:v>0</x:v>
      </x:c>
      <x:c r="L1863" s="56" t="str">
        <x:f>'Test Builds'!N6</x:f>
        <x:v>OK</x:v>
      </x:c>
      <x:c r="M1863" s="44" t="str">
        <x:v>Источник Test Builds.Defense Gear</x:v>
      </x:c>
    </x:row>
    <x:row r="1864" ht="36" customHeight="1">
      <x:c r="A1864" s="118" t="n">
        <x:v>1859</x:v>
      </x:c>
      <x:c r="B1864" s="35" t="str">
        <x:v>test_build</x:v>
      </x:c>
      <x:c r="C1864" s="35" t="str">
        <x:v>build_bear_default</x:v>
      </x:c>
      <x:c r="D1864" s="35" t="str">
        <x:v>utility_gear</x:v>
      </x:c>
      <x:c r="E1864" s="38" t="str">
        <x:v>string</x:v>
      </x:c>
      <x:c r="F1864" s="56" t="str">
        <x:f>'Test Builds'!I6</x:f>
        <x:v>gear_utility_energy_cell</x:v>
      </x:c>
      <x:c r="G1864" s="38" t="str"/>
      <x:c r="H1864" s="35" t="str">
        <x:v>Test Builds</x:v>
      </x:c>
      <x:c r="I1864" s="35" t="str">
        <x:v>I6</x:v>
      </x:c>
      <x:c r="J1864" s="85" t="b">
        <x:v>1</x:v>
      </x:c>
      <x:c r="K1864" s="85" t="b">
        <x:v>0</x:v>
      </x:c>
      <x:c r="L1864" s="56" t="str">
        <x:f>'Test Builds'!N6</x:f>
        <x:v>OK</x:v>
      </x:c>
      <x:c r="M1864" s="44" t="str">
        <x:v>Источник Test Builds.Utility Gear</x:v>
      </x:c>
    </x:row>
    <x:row r="1865" ht="36" customHeight="1">
      <x:c r="A1865" s="118" t="n">
        <x:v>1860</x:v>
      </x:c>
      <x:c r="B1865" s="35" t="str">
        <x:v>test_build</x:v>
      </x:c>
      <x:c r="C1865" s="35" t="str">
        <x:v>build_bear_default</x:v>
      </x:c>
      <x:c r="D1865" s="35" t="str">
        <x:v>tactic_id</x:v>
      </x:c>
      <x:c r="E1865" s="38" t="str">
        <x:v>string</x:v>
      </x:c>
      <x:c r="F1865" s="56" t="str">
        <x:f>'Test Builds'!J6</x:f>
        <x:v>tactic_pressure</x:v>
      </x:c>
      <x:c r="G1865" s="38" t="str"/>
      <x:c r="H1865" s="35" t="str">
        <x:v>Test Builds</x:v>
      </x:c>
      <x:c r="I1865" s="35" t="str">
        <x:v>J6</x:v>
      </x:c>
      <x:c r="J1865" s="85" t="b">
        <x:v>1</x:v>
      </x:c>
      <x:c r="K1865" s="85" t="b">
        <x:v>0</x:v>
      </x:c>
      <x:c r="L1865" s="56" t="str">
        <x:f>'Test Builds'!N6</x:f>
        <x:v>OK</x:v>
      </x:c>
      <x:c r="M1865" s="44" t="str">
        <x:v>Источник Test Builds.Tactic ID</x:v>
      </x:c>
    </x:row>
    <x:row r="1866" ht="36" customHeight="1">
      <x:c r="A1866" s="118" t="n">
        <x:v>1861</x:v>
      </x:c>
      <x:c r="B1866" s="35" t="str">
        <x:v>test_build</x:v>
      </x:c>
      <x:c r="C1866" s="35" t="str">
        <x:v>build_bear_anti_kite</x:v>
      </x:c>
      <x:c r="D1866" s="35" t="str">
        <x:v>build_id</x:v>
      </x:c>
      <x:c r="E1866" s="38" t="str">
        <x:v>string</x:v>
      </x:c>
      <x:c r="F1866" s="56" t="str">
        <x:f>'Test Builds'!A7</x:f>
        <x:v>build_bear_anti_kite</x:v>
      </x:c>
      <x:c r="G1866" s="38" t="str"/>
      <x:c r="H1866" s="35" t="str">
        <x:v>Test Builds</x:v>
      </x:c>
      <x:c r="I1866" s="35" t="str">
        <x:v>A7</x:v>
      </x:c>
      <x:c r="J1866" s="85" t="b">
        <x:v>1</x:v>
      </x:c>
      <x:c r="K1866" s="85" t="b">
        <x:v>0</x:v>
      </x:c>
      <x:c r="L1866" s="56" t="str">
        <x:f>'Test Builds'!N7</x:f>
        <x:v>OK</x:v>
      </x:c>
      <x:c r="M1866" s="44" t="str">
        <x:v>Источник Test Builds.Build ID</x:v>
      </x:c>
    </x:row>
    <x:row r="1867" ht="36" customHeight="1">
      <x:c r="A1867" s="118" t="n">
        <x:v>1862</x:v>
      </x:c>
      <x:c r="B1867" s="35" t="str">
        <x:v>test_build</x:v>
      </x:c>
      <x:c r="C1867" s="35" t="str">
        <x:v>build_bear_anti_kite</x:v>
      </x:c>
      <x:c r="D1867" s="35" t="str">
        <x:v>animal_id</x:v>
      </x:c>
      <x:c r="E1867" s="38" t="str">
        <x:v>string</x:v>
      </x:c>
      <x:c r="F1867" s="56" t="str">
        <x:f>'Test Builds'!C7</x:f>
        <x:v>bear</x:v>
      </x:c>
      <x:c r="G1867" s="38" t="str"/>
      <x:c r="H1867" s="35" t="str">
        <x:v>Test Builds</x:v>
      </x:c>
      <x:c r="I1867" s="35" t="str">
        <x:v>C7</x:v>
      </x:c>
      <x:c r="J1867" s="85" t="b">
        <x:v>1</x:v>
      </x:c>
      <x:c r="K1867" s="85" t="b">
        <x:v>0</x:v>
      </x:c>
      <x:c r="L1867" s="56" t="str">
        <x:f>'Test Builds'!N7</x:f>
        <x:v>OK</x:v>
      </x:c>
      <x:c r="M1867" s="44" t="str">
        <x:v>Источник Test Builds.Animal ID</x:v>
      </x:c>
    </x:row>
    <x:row r="1868" ht="36" customHeight="1">
      <x:c r="A1868" s="118" t="n">
        <x:v>1863</x:v>
      </x:c>
      <x:c r="B1868" s="35" t="str">
        <x:v>test_build</x:v>
      </x:c>
      <x:c r="C1868" s="35" t="str">
        <x:v>build_bear_anti_kite</x:v>
      </x:c>
      <x:c r="D1868" s="35" t="str">
        <x:v>special1</x:v>
      </x:c>
      <x:c r="E1868" s="38" t="str">
        <x:v>string</x:v>
      </x:c>
      <x:c r="F1868" s="56" t="str">
        <x:f>'Test Builds'!D7</x:f>
        <x:v>bear_rampage_charge</x:v>
      </x:c>
      <x:c r="G1868" s="38" t="str"/>
      <x:c r="H1868" s="35" t="str">
        <x:v>Test Builds</x:v>
      </x:c>
      <x:c r="I1868" s="35" t="str">
        <x:v>D7</x:v>
      </x:c>
      <x:c r="J1868" s="85" t="b">
        <x:v>1</x:v>
      </x:c>
      <x:c r="K1868" s="85" t="b">
        <x:v>0</x:v>
      </x:c>
      <x:c r="L1868" s="56" t="str">
        <x:f>'Test Builds'!N7</x:f>
        <x:v>OK</x:v>
      </x:c>
      <x:c r="M1868" s="44" t="str">
        <x:v>Источник Test Builds.Special 1</x:v>
      </x:c>
    </x:row>
    <x:row r="1869" ht="36" customHeight="1">
      <x:c r="A1869" s="118" t="n">
        <x:v>1864</x:v>
      </x:c>
      <x:c r="B1869" s="35" t="str">
        <x:v>test_build</x:v>
      </x:c>
      <x:c r="C1869" s="35" t="str">
        <x:v>build_bear_anti_kite</x:v>
      </x:c>
      <x:c r="D1869" s="35" t="str">
        <x:v>special2</x:v>
      </x:c>
      <x:c r="E1869" s="38" t="str">
        <x:v>string</x:v>
      </x:c>
      <x:c r="F1869" s="56" t="str">
        <x:f>'Test Builds'!E7</x:f>
        <x:v>bear_fury_maul</x:v>
      </x:c>
      <x:c r="G1869" s="38" t="str"/>
      <x:c r="H1869" s="35" t="str">
        <x:v>Test Builds</x:v>
      </x:c>
      <x:c r="I1869" s="35" t="str">
        <x:v>E7</x:v>
      </x:c>
      <x:c r="J1869" s="85" t="b">
        <x:v>1</x:v>
      </x:c>
      <x:c r="K1869" s="85" t="b">
        <x:v>0</x:v>
      </x:c>
      <x:c r="L1869" s="56" t="str">
        <x:f>'Test Builds'!N7</x:f>
        <x:v>OK</x:v>
      </x:c>
      <x:c r="M1869" s="44" t="str">
        <x:v>Источник Test Builds.Special 2</x:v>
      </x:c>
    </x:row>
    <x:row r="1870" ht="36" customHeight="1">
      <x:c r="A1870" s="118" t="n">
        <x:v>1865</x:v>
      </x:c>
      <x:c r="B1870" s="35" t="str">
        <x:v>test_build</x:v>
      </x:c>
      <x:c r="C1870" s="35" t="str">
        <x:v>build_bear_anti_kite</x:v>
      </x:c>
      <x:c r="D1870" s="35" t="str">
        <x:v>passive</x:v>
      </x:c>
      <x:c r="E1870" s="38" t="str">
        <x:v>string</x:v>
      </x:c>
      <x:c r="F1870" s="56" t="str">
        <x:f>'Test Builds'!F7</x:f>
        <x:v>bear_pressure_fuels_rage</x:v>
      </x:c>
      <x:c r="G1870" s="38" t="str"/>
      <x:c r="H1870" s="35" t="str">
        <x:v>Test Builds</x:v>
      </x:c>
      <x:c r="I1870" s="35" t="str">
        <x:v>F7</x:v>
      </x:c>
      <x:c r="J1870" s="85" t="b">
        <x:v>1</x:v>
      </x:c>
      <x:c r="K1870" s="85" t="b">
        <x:v>0</x:v>
      </x:c>
      <x:c r="L1870" s="56" t="str">
        <x:f>'Test Builds'!N7</x:f>
        <x:v>OK</x:v>
      </x:c>
      <x:c r="M1870" s="44" t="str">
        <x:v>Источник Test Builds.Passive</x:v>
      </x:c>
    </x:row>
    <x:row r="1871" ht="36" customHeight="1">
      <x:c r="A1871" s="118" t="n">
        <x:v>1866</x:v>
      </x:c>
      <x:c r="B1871" s="35" t="str">
        <x:v>test_build</x:v>
      </x:c>
      <x:c r="C1871" s="35" t="str">
        <x:v>build_bear_anti_kite</x:v>
      </x:c>
      <x:c r="D1871" s="35" t="str">
        <x:v>offense_gear</x:v>
      </x:c>
      <x:c r="E1871" s="38" t="str">
        <x:v>string</x:v>
      </x:c>
      <x:c r="F1871" s="56" t="str">
        <x:f>'Test Builds'!G7</x:f>
        <x:v>gear_offense_precision_lens</x:v>
      </x:c>
      <x:c r="G1871" s="38" t="str"/>
      <x:c r="H1871" s="35" t="str">
        <x:v>Test Builds</x:v>
      </x:c>
      <x:c r="I1871" s="35" t="str">
        <x:v>G7</x:v>
      </x:c>
      <x:c r="J1871" s="85" t="b">
        <x:v>1</x:v>
      </x:c>
      <x:c r="K1871" s="85" t="b">
        <x:v>0</x:v>
      </x:c>
      <x:c r="L1871" s="56" t="str">
        <x:f>'Test Builds'!N7</x:f>
        <x:v>OK</x:v>
      </x:c>
      <x:c r="M1871" s="44" t="str">
        <x:v>Источник Test Builds.Offense Gear</x:v>
      </x:c>
    </x:row>
    <x:row r="1872" ht="36" customHeight="1">
      <x:c r="A1872" s="118" t="n">
        <x:v>1867</x:v>
      </x:c>
      <x:c r="B1872" s="35" t="str">
        <x:v>test_build</x:v>
      </x:c>
      <x:c r="C1872" s="35" t="str">
        <x:v>build_bear_anti_kite</x:v>
      </x:c>
      <x:c r="D1872" s="35" t="str">
        <x:v>defense_gear</x:v>
      </x:c>
      <x:c r="E1872" s="38" t="str">
        <x:v>string</x:v>
      </x:c>
      <x:c r="F1872" s="56" t="str">
        <x:f>'Test Builds'!H7</x:f>
        <x:v>gear_defense_vital_harness</x:v>
      </x:c>
      <x:c r="G1872" s="38" t="str"/>
      <x:c r="H1872" s="35" t="str">
        <x:v>Test Builds</x:v>
      </x:c>
      <x:c r="I1872" s="35" t="str">
        <x:v>H7</x:v>
      </x:c>
      <x:c r="J1872" s="85" t="b">
        <x:v>1</x:v>
      </x:c>
      <x:c r="K1872" s="85" t="b">
        <x:v>0</x:v>
      </x:c>
      <x:c r="L1872" s="56" t="str">
        <x:f>'Test Builds'!N7</x:f>
        <x:v>OK</x:v>
      </x:c>
      <x:c r="M1872" s="44" t="str">
        <x:v>Источник Test Builds.Defense Gear</x:v>
      </x:c>
    </x:row>
    <x:row r="1873" ht="36" customHeight="1">
      <x:c r="A1873" s="118" t="n">
        <x:v>1868</x:v>
      </x:c>
      <x:c r="B1873" s="35" t="str">
        <x:v>test_build</x:v>
      </x:c>
      <x:c r="C1873" s="35" t="str">
        <x:v>build_bear_anti_kite</x:v>
      </x:c>
      <x:c r="D1873" s="35" t="str">
        <x:v>utility_gear</x:v>
      </x:c>
      <x:c r="E1873" s="38" t="str">
        <x:v>string</x:v>
      </x:c>
      <x:c r="F1873" s="56" t="str">
        <x:f>'Test Builds'!I7</x:f>
        <x:v>gear_utility_sprint_soles</x:v>
      </x:c>
      <x:c r="G1873" s="38" t="str"/>
      <x:c r="H1873" s="35" t="str">
        <x:v>Test Builds</x:v>
      </x:c>
      <x:c r="I1873" s="35" t="str">
        <x:v>I7</x:v>
      </x:c>
      <x:c r="J1873" s="85" t="b">
        <x:v>1</x:v>
      </x:c>
      <x:c r="K1873" s="85" t="b">
        <x:v>0</x:v>
      </x:c>
      <x:c r="L1873" s="56" t="str">
        <x:f>'Test Builds'!N7</x:f>
        <x:v>OK</x:v>
      </x:c>
      <x:c r="M1873" s="44" t="str">
        <x:v>Источник Test Builds.Utility Gear</x:v>
      </x:c>
    </x:row>
    <x:row r="1874" ht="36" customHeight="1">
      <x:c r="A1874" s="118" t="n">
        <x:v>1869</x:v>
      </x:c>
      <x:c r="B1874" s="35" t="str">
        <x:v>test_build</x:v>
      </x:c>
      <x:c r="C1874" s="35" t="str">
        <x:v>build_bear_anti_kite</x:v>
      </x:c>
      <x:c r="D1874" s="35" t="str">
        <x:v>tactic_id</x:v>
      </x:c>
      <x:c r="E1874" s="38" t="str">
        <x:v>string</x:v>
      </x:c>
      <x:c r="F1874" s="56" t="str">
        <x:f>'Test Builds'!J7</x:f>
        <x:v>tactic_position</x:v>
      </x:c>
      <x:c r="G1874" s="38" t="str"/>
      <x:c r="H1874" s="35" t="str">
        <x:v>Test Builds</x:v>
      </x:c>
      <x:c r="I1874" s="35" t="str">
        <x:v>J7</x:v>
      </x:c>
      <x:c r="J1874" s="85" t="b">
        <x:v>1</x:v>
      </x:c>
      <x:c r="K1874" s="85" t="b">
        <x:v>0</x:v>
      </x:c>
      <x:c r="L1874" s="56" t="str">
        <x:f>'Test Builds'!N7</x:f>
        <x:v>OK</x:v>
      </x:c>
      <x:c r="M1874" s="44" t="str">
        <x:v>Источник Test Builds.Tactic ID</x:v>
      </x:c>
    </x:row>
    <x:row r="1875" ht="36" customHeight="1">
      <x:c r="A1875" s="118" t="n">
        <x:v>1870</x:v>
      </x:c>
      <x:c r="B1875" s="35" t="str">
        <x:v>test_build</x:v>
      </x:c>
      <x:c r="C1875" s="35" t="str">
        <x:v>build_bear_counter_heavy</x:v>
      </x:c>
      <x:c r="D1875" s="35" t="str">
        <x:v>build_id</x:v>
      </x:c>
      <x:c r="E1875" s="38" t="str">
        <x:v>string</x:v>
      </x:c>
      <x:c r="F1875" s="56" t="str">
        <x:f>'Test Builds'!A8</x:f>
        <x:v>build_bear_counter_heavy</x:v>
      </x:c>
      <x:c r="G1875" s="38" t="str"/>
      <x:c r="H1875" s="35" t="str">
        <x:v>Test Builds</x:v>
      </x:c>
      <x:c r="I1875" s="35" t="str">
        <x:v>A8</x:v>
      </x:c>
      <x:c r="J1875" s="85" t="b">
        <x:v>1</x:v>
      </x:c>
      <x:c r="K1875" s="85" t="b">
        <x:v>0</x:v>
      </x:c>
      <x:c r="L1875" s="56" t="str">
        <x:f>'Test Builds'!N8</x:f>
        <x:v>OK</x:v>
      </x:c>
      <x:c r="M1875" s="44" t="str">
        <x:v>Источник Test Builds.Build ID</x:v>
      </x:c>
    </x:row>
    <x:row r="1876" ht="36" customHeight="1">
      <x:c r="A1876" s="118" t="n">
        <x:v>1871</x:v>
      </x:c>
      <x:c r="B1876" s="35" t="str">
        <x:v>test_build</x:v>
      </x:c>
      <x:c r="C1876" s="35" t="str">
        <x:v>build_bear_counter_heavy</x:v>
      </x:c>
      <x:c r="D1876" s="35" t="str">
        <x:v>animal_id</x:v>
      </x:c>
      <x:c r="E1876" s="38" t="str">
        <x:v>string</x:v>
      </x:c>
      <x:c r="F1876" s="56" t="str">
        <x:f>'Test Builds'!C8</x:f>
        <x:v>bear</x:v>
      </x:c>
      <x:c r="G1876" s="38" t="str"/>
      <x:c r="H1876" s="35" t="str">
        <x:v>Test Builds</x:v>
      </x:c>
      <x:c r="I1876" s="35" t="str">
        <x:v>C8</x:v>
      </x:c>
      <x:c r="J1876" s="85" t="b">
        <x:v>1</x:v>
      </x:c>
      <x:c r="K1876" s="85" t="b">
        <x:v>0</x:v>
      </x:c>
      <x:c r="L1876" s="56" t="str">
        <x:f>'Test Builds'!N8</x:f>
        <x:v>OK</x:v>
      </x:c>
      <x:c r="M1876" s="44" t="str">
        <x:v>Источник Test Builds.Animal ID</x:v>
      </x:c>
    </x:row>
    <x:row r="1877" ht="36" customHeight="1">
      <x:c r="A1877" s="118" t="n">
        <x:v>1872</x:v>
      </x:c>
      <x:c r="B1877" s="35" t="str">
        <x:v>test_build</x:v>
      </x:c>
      <x:c r="C1877" s="35" t="str">
        <x:v>build_bear_counter_heavy</x:v>
      </x:c>
      <x:c r="D1877" s="35" t="str">
        <x:v>special1</x:v>
      </x:c>
      <x:c r="E1877" s="38" t="str">
        <x:v>string</x:v>
      </x:c>
      <x:c r="F1877" s="56" t="str">
        <x:f>'Test Builds'!D8</x:f>
        <x:v>bear_earthbreaker</x:v>
      </x:c>
      <x:c r="G1877" s="38" t="str"/>
      <x:c r="H1877" s="35" t="str">
        <x:v>Test Builds</x:v>
      </x:c>
      <x:c r="I1877" s="35" t="str">
        <x:v>D8</x:v>
      </x:c>
      <x:c r="J1877" s="85" t="b">
        <x:v>1</x:v>
      </x:c>
      <x:c r="K1877" s="85" t="b">
        <x:v>0</x:v>
      </x:c>
      <x:c r="L1877" s="56" t="str">
        <x:f>'Test Builds'!N8</x:f>
        <x:v>OK</x:v>
      </x:c>
      <x:c r="M1877" s="44" t="str">
        <x:v>Источник Test Builds.Special 1</x:v>
      </x:c>
    </x:row>
    <x:row r="1878" ht="36" customHeight="1">
      <x:c r="A1878" s="118" t="n">
        <x:v>1873</x:v>
      </x:c>
      <x:c r="B1878" s="35" t="str">
        <x:v>test_build</x:v>
      </x:c>
      <x:c r="C1878" s="35" t="str">
        <x:v>build_bear_counter_heavy</x:v>
      </x:c>
      <x:c r="D1878" s="35" t="str">
        <x:v>special2</x:v>
      </x:c>
      <x:c r="E1878" s="38" t="str">
        <x:v>string</x:v>
      </x:c>
      <x:c r="F1878" s="56" t="str">
        <x:f>'Test Builds'!E8</x:f>
        <x:v>bear_fury_maul</x:v>
      </x:c>
      <x:c r="G1878" s="38" t="str"/>
      <x:c r="H1878" s="35" t="str">
        <x:v>Test Builds</x:v>
      </x:c>
      <x:c r="I1878" s="35" t="str">
        <x:v>E8</x:v>
      </x:c>
      <x:c r="J1878" s="85" t="b">
        <x:v>1</x:v>
      </x:c>
      <x:c r="K1878" s="85" t="b">
        <x:v>0</x:v>
      </x:c>
      <x:c r="L1878" s="56" t="str">
        <x:f>'Test Builds'!N8</x:f>
        <x:v>OK</x:v>
      </x:c>
      <x:c r="M1878" s="44" t="str">
        <x:v>Источник Test Builds.Special 2</x:v>
      </x:c>
    </x:row>
    <x:row r="1879" ht="36" customHeight="1">
      <x:c r="A1879" s="118" t="n">
        <x:v>1874</x:v>
      </x:c>
      <x:c r="B1879" s="35" t="str">
        <x:v>test_build</x:v>
      </x:c>
      <x:c r="C1879" s="35" t="str">
        <x:v>build_bear_counter_heavy</x:v>
      </x:c>
      <x:c r="D1879" s="35" t="str">
        <x:v>passive</x:v>
      </x:c>
      <x:c r="E1879" s="38" t="str">
        <x:v>string</x:v>
      </x:c>
      <x:c r="F1879" s="56" t="str">
        <x:f>'Test Builds'!F8</x:f>
        <x:v>bear_thick_hide</x:v>
      </x:c>
      <x:c r="G1879" s="38" t="str"/>
      <x:c r="H1879" s="35" t="str">
        <x:v>Test Builds</x:v>
      </x:c>
      <x:c r="I1879" s="35" t="str">
        <x:v>F8</x:v>
      </x:c>
      <x:c r="J1879" s="85" t="b">
        <x:v>1</x:v>
      </x:c>
      <x:c r="K1879" s="85" t="b">
        <x:v>0</x:v>
      </x:c>
      <x:c r="L1879" s="56" t="str">
        <x:f>'Test Builds'!N8</x:f>
        <x:v>OK</x:v>
      </x:c>
      <x:c r="M1879" s="44" t="str">
        <x:v>Источник Test Builds.Passive</x:v>
      </x:c>
    </x:row>
    <x:row r="1880" ht="36" customHeight="1">
      <x:c r="A1880" s="118" t="n">
        <x:v>1875</x:v>
      </x:c>
      <x:c r="B1880" s="35" t="str">
        <x:v>test_build</x:v>
      </x:c>
      <x:c r="C1880" s="35" t="str">
        <x:v>build_bear_counter_heavy</x:v>
      </x:c>
      <x:c r="D1880" s="35" t="str">
        <x:v>offense_gear</x:v>
      </x:c>
      <x:c r="E1880" s="38" t="str">
        <x:v>string</x:v>
      </x:c>
      <x:c r="F1880" s="56" t="str">
        <x:f>'Test Builds'!G8</x:f>
        <x:v>gear_offense_guardbreaker</x:v>
      </x:c>
      <x:c r="G1880" s="38" t="str"/>
      <x:c r="H1880" s="35" t="str">
        <x:v>Test Builds</x:v>
      </x:c>
      <x:c r="I1880" s="35" t="str">
        <x:v>G8</x:v>
      </x:c>
      <x:c r="J1880" s="85" t="b">
        <x:v>1</x:v>
      </x:c>
      <x:c r="K1880" s="85" t="b">
        <x:v>0</x:v>
      </x:c>
      <x:c r="L1880" s="56" t="str">
        <x:f>'Test Builds'!N8</x:f>
        <x:v>OK</x:v>
      </x:c>
      <x:c r="M1880" s="44" t="str">
        <x:v>Источник Test Builds.Offense Gear</x:v>
      </x:c>
    </x:row>
    <x:row r="1881" ht="36" customHeight="1">
      <x:c r="A1881" s="118" t="n">
        <x:v>1876</x:v>
      </x:c>
      <x:c r="B1881" s="35" t="str">
        <x:v>test_build</x:v>
      </x:c>
      <x:c r="C1881" s="35" t="str">
        <x:v>build_bear_counter_heavy</x:v>
      </x:c>
      <x:c r="D1881" s="35" t="str">
        <x:v>defense_gear</x:v>
      </x:c>
      <x:c r="E1881" s="38" t="str">
        <x:v>string</x:v>
      </x:c>
      <x:c r="F1881" s="56" t="str">
        <x:f>'Test Builds'!H8</x:f>
        <x:v>gear_defense_control_brace</x:v>
      </x:c>
      <x:c r="G1881" s="38" t="str"/>
      <x:c r="H1881" s="35" t="str">
        <x:v>Test Builds</x:v>
      </x:c>
      <x:c r="I1881" s="35" t="str">
        <x:v>H8</x:v>
      </x:c>
      <x:c r="J1881" s="85" t="b">
        <x:v>1</x:v>
      </x:c>
      <x:c r="K1881" s="85" t="b">
        <x:v>0</x:v>
      </x:c>
      <x:c r="L1881" s="56" t="str">
        <x:f>'Test Builds'!N8</x:f>
        <x:v>OK</x:v>
      </x:c>
      <x:c r="M1881" s="44" t="str">
        <x:v>Источник Test Builds.Defense Gear</x:v>
      </x:c>
    </x:row>
    <x:row r="1882" ht="36" customHeight="1">
      <x:c r="A1882" s="118" t="n">
        <x:v>1877</x:v>
      </x:c>
      <x:c r="B1882" s="35" t="str">
        <x:v>test_build</x:v>
      </x:c>
      <x:c r="C1882" s="35" t="str">
        <x:v>build_bear_counter_heavy</x:v>
      </x:c>
      <x:c r="D1882" s="35" t="str">
        <x:v>utility_gear</x:v>
      </x:c>
      <x:c r="E1882" s="38" t="str">
        <x:v>string</x:v>
      </x:c>
      <x:c r="F1882" s="56" t="str">
        <x:f>'Test Builds'!I8</x:f>
        <x:v>gear_utility_energy_cell</x:v>
      </x:c>
      <x:c r="G1882" s="38" t="str"/>
      <x:c r="H1882" s="35" t="str">
        <x:v>Test Builds</x:v>
      </x:c>
      <x:c r="I1882" s="35" t="str">
        <x:v>I8</x:v>
      </x:c>
      <x:c r="J1882" s="85" t="b">
        <x:v>1</x:v>
      </x:c>
      <x:c r="K1882" s="85" t="b">
        <x:v>0</x:v>
      </x:c>
      <x:c r="L1882" s="56" t="str">
        <x:f>'Test Builds'!N8</x:f>
        <x:v>OK</x:v>
      </x:c>
      <x:c r="M1882" s="44" t="str">
        <x:v>Источник Test Builds.Utility Gear</x:v>
      </x:c>
    </x:row>
    <x:row r="1883" ht="36" customHeight="1">
      <x:c r="A1883" s="118" t="n">
        <x:v>1878</x:v>
      </x:c>
      <x:c r="B1883" s="35" t="str">
        <x:v>test_build</x:v>
      </x:c>
      <x:c r="C1883" s="35" t="str">
        <x:v>build_bear_counter_heavy</x:v>
      </x:c>
      <x:c r="D1883" s="35" t="str">
        <x:v>tactic_id</x:v>
      </x:c>
      <x:c r="E1883" s="38" t="str">
        <x:v>string</x:v>
      </x:c>
      <x:c r="F1883" s="56" t="str">
        <x:f>'Test Builds'!J8</x:f>
        <x:v>tactic_counter</x:v>
      </x:c>
      <x:c r="G1883" s="38" t="str"/>
      <x:c r="H1883" s="35" t="str">
        <x:v>Test Builds</x:v>
      </x:c>
      <x:c r="I1883" s="35" t="str">
        <x:v>J8</x:v>
      </x:c>
      <x:c r="J1883" s="85" t="b">
        <x:v>1</x:v>
      </x:c>
      <x:c r="K1883" s="85" t="b">
        <x:v>0</x:v>
      </x:c>
      <x:c r="L1883" s="56" t="str">
        <x:f>'Test Builds'!N8</x:f>
        <x:v>OK</x:v>
      </x:c>
      <x:c r="M1883" s="44" t="str">
        <x:v>Источник Test Builds.Tactic ID</x:v>
      </x:c>
    </x:row>
    <x:row r="1884" ht="36" customHeight="1">
      <x:c r="A1884" s="118" t="n">
        <x:v>1879</x:v>
      </x:c>
      <x:c r="B1884" s="35" t="str">
        <x:v>test_build</x:v>
      </x:c>
      <x:c r="C1884" s="35" t="str">
        <x:v>build_bear_signature</x:v>
      </x:c>
      <x:c r="D1884" s="35" t="str">
        <x:v>build_id</x:v>
      </x:c>
      <x:c r="E1884" s="38" t="str">
        <x:v>string</x:v>
      </x:c>
      <x:c r="F1884" s="56" t="str">
        <x:f>'Test Builds'!A9</x:f>
        <x:v>build_bear_signature</x:v>
      </x:c>
      <x:c r="G1884" s="38" t="str"/>
      <x:c r="H1884" s="35" t="str">
        <x:v>Test Builds</x:v>
      </x:c>
      <x:c r="I1884" s="35" t="str">
        <x:v>A9</x:v>
      </x:c>
      <x:c r="J1884" s="85" t="b">
        <x:v>1</x:v>
      </x:c>
      <x:c r="K1884" s="85" t="b">
        <x:v>0</x:v>
      </x:c>
      <x:c r="L1884" s="56" t="str">
        <x:f>'Test Builds'!N9</x:f>
        <x:v>OK</x:v>
      </x:c>
      <x:c r="M1884" s="44" t="str">
        <x:v>Источник Test Builds.Build ID</x:v>
      </x:c>
    </x:row>
    <x:row r="1885" ht="36" customHeight="1">
      <x:c r="A1885" s="118" t="n">
        <x:v>1880</x:v>
      </x:c>
      <x:c r="B1885" s="35" t="str">
        <x:v>test_build</x:v>
      </x:c>
      <x:c r="C1885" s="35" t="str">
        <x:v>build_bear_signature</x:v>
      </x:c>
      <x:c r="D1885" s="35" t="str">
        <x:v>animal_id</x:v>
      </x:c>
      <x:c r="E1885" s="38" t="str">
        <x:v>string</x:v>
      </x:c>
      <x:c r="F1885" s="56" t="str">
        <x:f>'Test Builds'!C9</x:f>
        <x:v>bear</x:v>
      </x:c>
      <x:c r="G1885" s="38" t="str"/>
      <x:c r="H1885" s="35" t="str">
        <x:v>Test Builds</x:v>
      </x:c>
      <x:c r="I1885" s="35" t="str">
        <x:v>C9</x:v>
      </x:c>
      <x:c r="J1885" s="85" t="b">
        <x:v>1</x:v>
      </x:c>
      <x:c r="K1885" s="85" t="b">
        <x:v>0</x:v>
      </x:c>
      <x:c r="L1885" s="56" t="str">
        <x:f>'Test Builds'!N9</x:f>
        <x:v>OK</x:v>
      </x:c>
      <x:c r="M1885" s="44" t="str">
        <x:v>Источник Test Builds.Animal ID</x:v>
      </x:c>
    </x:row>
    <x:row r="1886" ht="36" customHeight="1">
      <x:c r="A1886" s="118" t="n">
        <x:v>1881</x:v>
      </x:c>
      <x:c r="B1886" s="35" t="str">
        <x:v>test_build</x:v>
      </x:c>
      <x:c r="C1886" s="35" t="str">
        <x:v>build_bear_signature</x:v>
      </x:c>
      <x:c r="D1886" s="35" t="str">
        <x:v>special1</x:v>
      </x:c>
      <x:c r="E1886" s="38" t="str">
        <x:v>string</x:v>
      </x:c>
      <x:c r="F1886" s="56" t="str">
        <x:f>'Test Builds'!D9</x:f>
        <x:v>bear_rampage_charge</x:v>
      </x:c>
      <x:c r="G1886" s="38" t="str"/>
      <x:c r="H1886" s="35" t="str">
        <x:v>Test Builds</x:v>
      </x:c>
      <x:c r="I1886" s="35" t="str">
        <x:v>D9</x:v>
      </x:c>
      <x:c r="J1886" s="85" t="b">
        <x:v>1</x:v>
      </x:c>
      <x:c r="K1886" s="85" t="b">
        <x:v>0</x:v>
      </x:c>
      <x:c r="L1886" s="56" t="str">
        <x:f>'Test Builds'!N9</x:f>
        <x:v>OK</x:v>
      </x:c>
      <x:c r="M1886" s="44" t="str">
        <x:v>Источник Test Builds.Special 1</x:v>
      </x:c>
    </x:row>
    <x:row r="1887" ht="36" customHeight="1">
      <x:c r="A1887" s="118" t="n">
        <x:v>1882</x:v>
      </x:c>
      <x:c r="B1887" s="35" t="str">
        <x:v>test_build</x:v>
      </x:c>
      <x:c r="C1887" s="35" t="str">
        <x:v>build_bear_signature</x:v>
      </x:c>
      <x:c r="D1887" s="35" t="str">
        <x:v>special2</x:v>
      </x:c>
      <x:c r="E1887" s="38" t="str">
        <x:v>string</x:v>
      </x:c>
      <x:c r="F1887" s="56" t="str">
        <x:f>'Test Builds'!E9</x:f>
        <x:v>bear_fury_maul</x:v>
      </x:c>
      <x:c r="G1887" s="38" t="str"/>
      <x:c r="H1887" s="35" t="str">
        <x:v>Test Builds</x:v>
      </x:c>
      <x:c r="I1887" s="35" t="str">
        <x:v>E9</x:v>
      </x:c>
      <x:c r="J1887" s="85" t="b">
        <x:v>1</x:v>
      </x:c>
      <x:c r="K1887" s="85" t="b">
        <x:v>0</x:v>
      </x:c>
      <x:c r="L1887" s="56" t="str">
        <x:f>'Test Builds'!N9</x:f>
        <x:v>OK</x:v>
      </x:c>
      <x:c r="M1887" s="44" t="str">
        <x:v>Источник Test Builds.Special 2</x:v>
      </x:c>
    </x:row>
    <x:row r="1888" ht="36" customHeight="1">
      <x:c r="A1888" s="118" t="n">
        <x:v>1883</x:v>
      </x:c>
      <x:c r="B1888" s="35" t="str">
        <x:v>test_build</x:v>
      </x:c>
      <x:c r="C1888" s="35" t="str">
        <x:v>build_bear_signature</x:v>
      </x:c>
      <x:c r="D1888" s="35" t="str">
        <x:v>passive</x:v>
      </x:c>
      <x:c r="E1888" s="38" t="str">
        <x:v>string</x:v>
      </x:c>
      <x:c r="F1888" s="56" t="str">
        <x:f>'Test Builds'!F9</x:f>
        <x:v>bear_pressure_fuels_rage</x:v>
      </x:c>
      <x:c r="G1888" s="38" t="str"/>
      <x:c r="H1888" s="35" t="str">
        <x:v>Test Builds</x:v>
      </x:c>
      <x:c r="I1888" s="35" t="str">
        <x:v>F9</x:v>
      </x:c>
      <x:c r="J1888" s="85" t="b">
        <x:v>1</x:v>
      </x:c>
      <x:c r="K1888" s="85" t="b">
        <x:v>0</x:v>
      </x:c>
      <x:c r="L1888" s="56" t="str">
        <x:f>'Test Builds'!N9</x:f>
        <x:v>OK</x:v>
      </x:c>
      <x:c r="M1888" s="44" t="str">
        <x:v>Источник Test Builds.Passive</x:v>
      </x:c>
    </x:row>
    <x:row r="1889" ht="36" customHeight="1">
      <x:c r="A1889" s="118" t="n">
        <x:v>1884</x:v>
      </x:c>
      <x:c r="B1889" s="35" t="str">
        <x:v>test_build</x:v>
      </x:c>
      <x:c r="C1889" s="35" t="str">
        <x:v>build_bear_signature</x:v>
      </x:c>
      <x:c r="D1889" s="35" t="str">
        <x:v>offense_gear</x:v>
      </x:c>
      <x:c r="E1889" s="38" t="str">
        <x:v>string</x:v>
      </x:c>
      <x:c r="F1889" s="56" t="str">
        <x:f>'Test Builds'!G9</x:f>
        <x:v>gear_offense_power_wraps</x:v>
      </x:c>
      <x:c r="G1889" s="38" t="str"/>
      <x:c r="H1889" s="35" t="str">
        <x:v>Test Builds</x:v>
      </x:c>
      <x:c r="I1889" s="35" t="str">
        <x:v>G9</x:v>
      </x:c>
      <x:c r="J1889" s="85" t="b">
        <x:v>1</x:v>
      </x:c>
      <x:c r="K1889" s="85" t="b">
        <x:v>0</x:v>
      </x:c>
      <x:c r="L1889" s="56" t="str">
        <x:f>'Test Builds'!N9</x:f>
        <x:v>OK</x:v>
      </x:c>
      <x:c r="M1889" s="44" t="str">
        <x:v>Источник Test Builds.Offense Gear</x:v>
      </x:c>
    </x:row>
    <x:row r="1890" ht="36" customHeight="1">
      <x:c r="A1890" s="118" t="n">
        <x:v>1885</x:v>
      </x:c>
      <x:c r="B1890" s="35" t="str">
        <x:v>test_build</x:v>
      </x:c>
      <x:c r="C1890" s="35" t="str">
        <x:v>build_bear_signature</x:v>
      </x:c>
      <x:c r="D1890" s="35" t="str">
        <x:v>defense_gear</x:v>
      </x:c>
      <x:c r="E1890" s="38" t="str">
        <x:v>string</x:v>
      </x:c>
      <x:c r="F1890" s="56" t="str">
        <x:f>'Test Builds'!H9</x:f>
        <x:v>gear_defense_vital_harness</x:v>
      </x:c>
      <x:c r="G1890" s="38" t="str"/>
      <x:c r="H1890" s="35" t="str">
        <x:v>Test Builds</x:v>
      </x:c>
      <x:c r="I1890" s="35" t="str">
        <x:v>H9</x:v>
      </x:c>
      <x:c r="J1890" s="85" t="b">
        <x:v>1</x:v>
      </x:c>
      <x:c r="K1890" s="85" t="b">
        <x:v>0</x:v>
      </x:c>
      <x:c r="L1890" s="56" t="str">
        <x:f>'Test Builds'!N9</x:f>
        <x:v>OK</x:v>
      </x:c>
      <x:c r="M1890" s="44" t="str">
        <x:v>Источник Test Builds.Defense Gear</x:v>
      </x:c>
    </x:row>
    <x:row r="1891" ht="36" customHeight="1">
      <x:c r="A1891" s="118" t="n">
        <x:v>1886</x:v>
      </x:c>
      <x:c r="B1891" s="35" t="str">
        <x:v>test_build</x:v>
      </x:c>
      <x:c r="C1891" s="35" t="str">
        <x:v>build_bear_signature</x:v>
      </x:c>
      <x:c r="D1891" s="35" t="str">
        <x:v>utility_gear</x:v>
      </x:c>
      <x:c r="E1891" s="38" t="str">
        <x:v>string</x:v>
      </x:c>
      <x:c r="F1891" s="56" t="str">
        <x:f>'Test Builds'!I9</x:f>
        <x:v>gear_utility_energy_cell</x:v>
      </x:c>
      <x:c r="G1891" s="38" t="str"/>
      <x:c r="H1891" s="35" t="str">
        <x:v>Test Builds</x:v>
      </x:c>
      <x:c r="I1891" s="35" t="str">
        <x:v>I9</x:v>
      </x:c>
      <x:c r="J1891" s="85" t="b">
        <x:v>1</x:v>
      </x:c>
      <x:c r="K1891" s="85" t="b">
        <x:v>0</x:v>
      </x:c>
      <x:c r="L1891" s="56" t="str">
        <x:f>'Test Builds'!N9</x:f>
        <x:v>OK</x:v>
      </x:c>
      <x:c r="M1891" s="44" t="str">
        <x:v>Источник Test Builds.Utility Gear</x:v>
      </x:c>
    </x:row>
    <x:row r="1892" ht="36" customHeight="1">
      <x:c r="A1892" s="118" t="n">
        <x:v>1887</x:v>
      </x:c>
      <x:c r="B1892" s="35" t="str">
        <x:v>test_build</x:v>
      </x:c>
      <x:c r="C1892" s="35" t="str">
        <x:v>build_bear_signature</x:v>
      </x:c>
      <x:c r="D1892" s="35" t="str">
        <x:v>tactic_id</x:v>
      </x:c>
      <x:c r="E1892" s="38" t="str">
        <x:v>string</x:v>
      </x:c>
      <x:c r="F1892" s="56" t="str">
        <x:f>'Test Builds'!J9</x:f>
        <x:v>tactic_signature</x:v>
      </x:c>
      <x:c r="G1892" s="38" t="str"/>
      <x:c r="H1892" s="35" t="str">
        <x:v>Test Builds</x:v>
      </x:c>
      <x:c r="I1892" s="35" t="str">
        <x:v>J9</x:v>
      </x:c>
      <x:c r="J1892" s="85" t="b">
        <x:v>1</x:v>
      </x:c>
      <x:c r="K1892" s="85" t="b">
        <x:v>0</x:v>
      </x:c>
      <x:c r="L1892" s="56" t="str">
        <x:f>'Test Builds'!N9</x:f>
        <x:v>OK</x:v>
      </x:c>
      <x:c r="M1892" s="44" t="str">
        <x:v>Источник Test Builds.Tactic ID</x:v>
      </x:c>
    </x:row>
    <x:row r="1893" ht="36" customHeight="1">
      <x:c r="A1893" s="118" t="n">
        <x:v>1888</x:v>
      </x:c>
      <x:c r="B1893" s="35" t="str">
        <x:v>test_build</x:v>
      </x:c>
      <x:c r="C1893" s="35" t="str">
        <x:v>build_kangaroo_default</x:v>
      </x:c>
      <x:c r="D1893" s="35" t="str">
        <x:v>build_id</x:v>
      </x:c>
      <x:c r="E1893" s="38" t="str">
        <x:v>string</x:v>
      </x:c>
      <x:c r="F1893" s="56" t="str">
        <x:f>'Test Builds'!A10</x:f>
        <x:v>build_kangaroo_default</x:v>
      </x:c>
      <x:c r="G1893" s="38" t="str"/>
      <x:c r="H1893" s="35" t="str">
        <x:v>Test Builds</x:v>
      </x:c>
      <x:c r="I1893" s="35" t="str">
        <x:v>A10</x:v>
      </x:c>
      <x:c r="J1893" s="85" t="b">
        <x:v>1</x:v>
      </x:c>
      <x:c r="K1893" s="85" t="b">
        <x:v>0</x:v>
      </x:c>
      <x:c r="L1893" s="56" t="str">
        <x:f>'Test Builds'!N10</x:f>
        <x:v>OK</x:v>
      </x:c>
      <x:c r="M1893" s="44" t="str">
        <x:v>Источник Test Builds.Build ID</x:v>
      </x:c>
    </x:row>
    <x:row r="1894" ht="36" customHeight="1">
      <x:c r="A1894" s="118" t="n">
        <x:v>1889</x:v>
      </x:c>
      <x:c r="B1894" s="35" t="str">
        <x:v>test_build</x:v>
      </x:c>
      <x:c r="C1894" s="35" t="str">
        <x:v>build_kangaroo_default</x:v>
      </x:c>
      <x:c r="D1894" s="35" t="str">
        <x:v>animal_id</x:v>
      </x:c>
      <x:c r="E1894" s="38" t="str">
        <x:v>string</x:v>
      </x:c>
      <x:c r="F1894" s="56" t="str">
        <x:f>'Test Builds'!C10</x:f>
        <x:v>kangaroo</x:v>
      </x:c>
      <x:c r="G1894" s="38" t="str"/>
      <x:c r="H1894" s="35" t="str">
        <x:v>Test Builds</x:v>
      </x:c>
      <x:c r="I1894" s="35" t="str">
        <x:v>C10</x:v>
      </x:c>
      <x:c r="J1894" s="85" t="b">
        <x:v>1</x:v>
      </x:c>
      <x:c r="K1894" s="85" t="b">
        <x:v>0</x:v>
      </x:c>
      <x:c r="L1894" s="56" t="str">
        <x:f>'Test Builds'!N10</x:f>
        <x:v>OK</x:v>
      </x:c>
      <x:c r="M1894" s="44" t="str">
        <x:v>Источник Test Builds.Animal ID</x:v>
      </x:c>
    </x:row>
    <x:row r="1895" ht="36" customHeight="1">
      <x:c r="A1895" s="118" t="n">
        <x:v>1890</x:v>
      </x:c>
      <x:c r="B1895" s="35" t="str">
        <x:v>test_build</x:v>
      </x:c>
      <x:c r="C1895" s="35" t="str">
        <x:v>build_kangaroo_default</x:v>
      </x:c>
      <x:c r="D1895" s="35" t="str">
        <x:v>special1</x:v>
      </x:c>
      <x:c r="E1895" s="38" t="str">
        <x:v>string</x:v>
      </x:c>
      <x:c r="F1895" s="56" t="str">
        <x:f>'Test Builds'!D10</x:f>
        <x:v>kangaroo_flying_kick</x:v>
      </x:c>
      <x:c r="G1895" s="38" t="str"/>
      <x:c r="H1895" s="35" t="str">
        <x:v>Test Builds</x:v>
      </x:c>
      <x:c r="I1895" s="35" t="str">
        <x:v>D10</x:v>
      </x:c>
      <x:c r="J1895" s="85" t="b">
        <x:v>1</x:v>
      </x:c>
      <x:c r="K1895" s="85" t="b">
        <x:v>0</x:v>
      </x:c>
      <x:c r="L1895" s="56" t="str">
        <x:f>'Test Builds'!N10</x:f>
        <x:v>OK</x:v>
      </x:c>
      <x:c r="M1895" s="44" t="str">
        <x:v>Источник Test Builds.Special 1</x:v>
      </x:c>
    </x:row>
    <x:row r="1896" ht="36" customHeight="1">
      <x:c r="A1896" s="118" t="n">
        <x:v>1891</x:v>
      </x:c>
      <x:c r="B1896" s="35" t="str">
        <x:v>test_build</x:v>
      </x:c>
      <x:c r="C1896" s="35" t="str">
        <x:v>build_kangaroo_default</x:v>
      </x:c>
      <x:c r="D1896" s="35" t="str">
        <x:v>special2</x:v>
      </x:c>
      <x:c r="E1896" s="38" t="str">
        <x:v>string</x:v>
      </x:c>
      <x:c r="F1896" s="56" t="str">
        <x:f>'Test Builds'!E10</x:f>
        <x:v>kangaroo_tail_counter</x:v>
      </x:c>
      <x:c r="G1896" s="38" t="str"/>
      <x:c r="H1896" s="35" t="str">
        <x:v>Test Builds</x:v>
      </x:c>
      <x:c r="I1896" s="35" t="str">
        <x:v>E10</x:v>
      </x:c>
      <x:c r="J1896" s="85" t="b">
        <x:v>1</x:v>
      </x:c>
      <x:c r="K1896" s="85" t="b">
        <x:v>0</x:v>
      </x:c>
      <x:c r="L1896" s="56" t="str">
        <x:f>'Test Builds'!N10</x:f>
        <x:v>OK</x:v>
      </x:c>
      <x:c r="M1896" s="44" t="str">
        <x:v>Источник Test Builds.Special 2</x:v>
      </x:c>
    </x:row>
    <x:row r="1897" ht="36" customHeight="1">
      <x:c r="A1897" s="118" t="n">
        <x:v>1892</x:v>
      </x:c>
      <x:c r="B1897" s="35" t="str">
        <x:v>test_build</x:v>
      </x:c>
      <x:c r="C1897" s="35" t="str">
        <x:v>build_kangaroo_default</x:v>
      </x:c>
      <x:c r="D1897" s="35" t="str">
        <x:v>passive</x:v>
      </x:c>
      <x:c r="E1897" s="38" t="str">
        <x:v>string</x:v>
      </x:c>
      <x:c r="F1897" s="56" t="str">
        <x:f>'Test Builds'!F10</x:f>
        <x:v>kangaroo_never_still</x:v>
      </x:c>
      <x:c r="G1897" s="38" t="str"/>
      <x:c r="H1897" s="35" t="str">
        <x:v>Test Builds</x:v>
      </x:c>
      <x:c r="I1897" s="35" t="str">
        <x:v>F10</x:v>
      </x:c>
      <x:c r="J1897" s="85" t="b">
        <x:v>1</x:v>
      </x:c>
      <x:c r="K1897" s="85" t="b">
        <x:v>0</x:v>
      </x:c>
      <x:c r="L1897" s="56" t="str">
        <x:f>'Test Builds'!N10</x:f>
        <x:v>OK</x:v>
      </x:c>
      <x:c r="M1897" s="44" t="str">
        <x:v>Источник Test Builds.Passive</x:v>
      </x:c>
    </x:row>
    <x:row r="1898" ht="36" customHeight="1">
      <x:c r="A1898" s="118" t="n">
        <x:v>1893</x:v>
      </x:c>
      <x:c r="B1898" s="35" t="str">
        <x:v>test_build</x:v>
      </x:c>
      <x:c r="C1898" s="35" t="str">
        <x:v>build_kangaroo_default</x:v>
      </x:c>
      <x:c r="D1898" s="35" t="str">
        <x:v>offense_gear</x:v>
      </x:c>
      <x:c r="E1898" s="38" t="str">
        <x:v>string</x:v>
      </x:c>
      <x:c r="F1898" s="56" t="str">
        <x:f>'Test Builds'!G10</x:f>
        <x:v>gear_offense_precision_lens</x:v>
      </x:c>
      <x:c r="G1898" s="38" t="str"/>
      <x:c r="H1898" s="35" t="str">
        <x:v>Test Builds</x:v>
      </x:c>
      <x:c r="I1898" s="35" t="str">
        <x:v>G10</x:v>
      </x:c>
      <x:c r="J1898" s="85" t="b">
        <x:v>1</x:v>
      </x:c>
      <x:c r="K1898" s="85" t="b">
        <x:v>0</x:v>
      </x:c>
      <x:c r="L1898" s="56" t="str">
        <x:f>'Test Builds'!N10</x:f>
        <x:v>OK</x:v>
      </x:c>
      <x:c r="M1898" s="44" t="str">
        <x:v>Источник Test Builds.Offense Gear</x:v>
      </x:c>
    </x:row>
    <x:row r="1899" ht="36" customHeight="1">
      <x:c r="A1899" s="118" t="n">
        <x:v>1894</x:v>
      </x:c>
      <x:c r="B1899" s="35" t="str">
        <x:v>test_build</x:v>
      </x:c>
      <x:c r="C1899" s="35" t="str">
        <x:v>build_kangaroo_default</x:v>
      </x:c>
      <x:c r="D1899" s="35" t="str">
        <x:v>defense_gear</x:v>
      </x:c>
      <x:c r="E1899" s="38" t="str">
        <x:v>string</x:v>
      </x:c>
      <x:c r="F1899" s="56" t="str">
        <x:f>'Test Builds'!H10</x:f>
        <x:v>gear_defense_vital_harness</x:v>
      </x:c>
      <x:c r="G1899" s="38" t="str"/>
      <x:c r="H1899" s="35" t="str">
        <x:v>Test Builds</x:v>
      </x:c>
      <x:c r="I1899" s="35" t="str">
        <x:v>H10</x:v>
      </x:c>
      <x:c r="J1899" s="85" t="b">
        <x:v>1</x:v>
      </x:c>
      <x:c r="K1899" s="85" t="b">
        <x:v>0</x:v>
      </x:c>
      <x:c r="L1899" s="56" t="str">
        <x:f>'Test Builds'!N10</x:f>
        <x:v>OK</x:v>
      </x:c>
      <x:c r="M1899" s="44" t="str">
        <x:v>Источник Test Builds.Defense Gear</x:v>
      </x:c>
    </x:row>
    <x:row r="1900" ht="36" customHeight="1">
      <x:c r="A1900" s="118" t="n">
        <x:v>1895</x:v>
      </x:c>
      <x:c r="B1900" s="35" t="str">
        <x:v>test_build</x:v>
      </x:c>
      <x:c r="C1900" s="35" t="str">
        <x:v>build_kangaroo_default</x:v>
      </x:c>
      <x:c r="D1900" s="35" t="str">
        <x:v>utility_gear</x:v>
      </x:c>
      <x:c r="E1900" s="38" t="str">
        <x:v>string</x:v>
      </x:c>
      <x:c r="F1900" s="56" t="str">
        <x:f>'Test Builds'!I10</x:f>
        <x:v>gear_utility_sprint_soles</x:v>
      </x:c>
      <x:c r="G1900" s="38" t="str"/>
      <x:c r="H1900" s="35" t="str">
        <x:v>Test Builds</x:v>
      </x:c>
      <x:c r="I1900" s="35" t="str">
        <x:v>I10</x:v>
      </x:c>
      <x:c r="J1900" s="85" t="b">
        <x:v>1</x:v>
      </x:c>
      <x:c r="K1900" s="85" t="b">
        <x:v>0</x:v>
      </x:c>
      <x:c r="L1900" s="56" t="str">
        <x:f>'Test Builds'!N10</x:f>
        <x:v>OK</x:v>
      </x:c>
      <x:c r="M1900" s="44" t="str">
        <x:v>Источник Test Builds.Utility Gear</x:v>
      </x:c>
    </x:row>
    <x:row r="1901" ht="36" customHeight="1">
      <x:c r="A1901" s="118" t="n">
        <x:v>1896</x:v>
      </x:c>
      <x:c r="B1901" s="35" t="str">
        <x:v>test_build</x:v>
      </x:c>
      <x:c r="C1901" s="35" t="str">
        <x:v>build_kangaroo_default</x:v>
      </x:c>
      <x:c r="D1901" s="35" t="str">
        <x:v>tactic_id</x:v>
      </x:c>
      <x:c r="E1901" s="38" t="str">
        <x:v>string</x:v>
      </x:c>
      <x:c r="F1901" s="56" t="str">
        <x:f>'Test Builds'!J10</x:f>
        <x:v>tactic_position</x:v>
      </x:c>
      <x:c r="G1901" s="38" t="str"/>
      <x:c r="H1901" s="35" t="str">
        <x:v>Test Builds</x:v>
      </x:c>
      <x:c r="I1901" s="35" t="str">
        <x:v>J10</x:v>
      </x:c>
      <x:c r="J1901" s="85" t="b">
        <x:v>1</x:v>
      </x:c>
      <x:c r="K1901" s="85" t="b">
        <x:v>0</x:v>
      </x:c>
      <x:c r="L1901" s="56" t="str">
        <x:f>'Test Builds'!N10</x:f>
        <x:v>OK</x:v>
      </x:c>
      <x:c r="M1901" s="44" t="str">
        <x:v>Источник Test Builds.Tactic ID</x:v>
      </x:c>
    </x:row>
    <x:row r="1902" ht="36" customHeight="1">
      <x:c r="A1902" s="118" t="n">
        <x:v>1897</x:v>
      </x:c>
      <x:c r="B1902" s="35" t="str">
        <x:v>test_build</x:v>
      </x:c>
      <x:c r="C1902" s="35" t="str">
        <x:v>build_kangaroo_anti_grab</x:v>
      </x:c>
      <x:c r="D1902" s="35" t="str">
        <x:v>build_id</x:v>
      </x:c>
      <x:c r="E1902" s="38" t="str">
        <x:v>string</x:v>
      </x:c>
      <x:c r="F1902" s="56" t="str">
        <x:f>'Test Builds'!A11</x:f>
        <x:v>build_kangaroo_anti_grab</x:v>
      </x:c>
      <x:c r="G1902" s="38" t="str"/>
      <x:c r="H1902" s="35" t="str">
        <x:v>Test Builds</x:v>
      </x:c>
      <x:c r="I1902" s="35" t="str">
        <x:v>A11</x:v>
      </x:c>
      <x:c r="J1902" s="85" t="b">
        <x:v>1</x:v>
      </x:c>
      <x:c r="K1902" s="85" t="b">
        <x:v>0</x:v>
      </x:c>
      <x:c r="L1902" s="56" t="str">
        <x:f>'Test Builds'!N11</x:f>
        <x:v>OK</x:v>
      </x:c>
      <x:c r="M1902" s="44" t="str">
        <x:v>Источник Test Builds.Build ID</x:v>
      </x:c>
    </x:row>
    <x:row r="1903" ht="36" customHeight="1">
      <x:c r="A1903" s="118" t="n">
        <x:v>1898</x:v>
      </x:c>
      <x:c r="B1903" s="35" t="str">
        <x:v>test_build</x:v>
      </x:c>
      <x:c r="C1903" s="35" t="str">
        <x:v>build_kangaroo_anti_grab</x:v>
      </x:c>
      <x:c r="D1903" s="35" t="str">
        <x:v>animal_id</x:v>
      </x:c>
      <x:c r="E1903" s="38" t="str">
        <x:v>string</x:v>
      </x:c>
      <x:c r="F1903" s="56" t="str">
        <x:f>'Test Builds'!C11</x:f>
        <x:v>kangaroo</x:v>
      </x:c>
      <x:c r="G1903" s="38" t="str"/>
      <x:c r="H1903" s="35" t="str">
        <x:v>Test Builds</x:v>
      </x:c>
      <x:c r="I1903" s="35" t="str">
        <x:v>C11</x:v>
      </x:c>
      <x:c r="J1903" s="85" t="b">
        <x:v>1</x:v>
      </x:c>
      <x:c r="K1903" s="85" t="b">
        <x:v>0</x:v>
      </x:c>
      <x:c r="L1903" s="56" t="str">
        <x:f>'Test Builds'!N11</x:f>
        <x:v>OK</x:v>
      </x:c>
      <x:c r="M1903" s="44" t="str">
        <x:v>Источник Test Builds.Animal ID</x:v>
      </x:c>
    </x:row>
    <x:row r="1904" ht="36" customHeight="1">
      <x:c r="A1904" s="118" t="n">
        <x:v>1899</x:v>
      </x:c>
      <x:c r="B1904" s="35" t="str">
        <x:v>test_build</x:v>
      </x:c>
      <x:c r="C1904" s="35" t="str">
        <x:v>build_kangaroo_anti_grab</x:v>
      </x:c>
      <x:c r="D1904" s="35" t="str">
        <x:v>special1</x:v>
      </x:c>
      <x:c r="E1904" s="38" t="str">
        <x:v>string</x:v>
      </x:c>
      <x:c r="F1904" s="56" t="str">
        <x:f>'Test Builds'!D11</x:f>
        <x:v>kangaroo_tail_counter</x:v>
      </x:c>
      <x:c r="G1904" s="38" t="str"/>
      <x:c r="H1904" s="35" t="str">
        <x:v>Test Builds</x:v>
      </x:c>
      <x:c r="I1904" s="35" t="str">
        <x:v>D11</x:v>
      </x:c>
      <x:c r="J1904" s="85" t="b">
        <x:v>1</x:v>
      </x:c>
      <x:c r="K1904" s="85" t="b">
        <x:v>0</x:v>
      </x:c>
      <x:c r="L1904" s="56" t="str">
        <x:f>'Test Builds'!N11</x:f>
        <x:v>OK</x:v>
      </x:c>
      <x:c r="M1904" s="44" t="str">
        <x:v>Источник Test Builds.Special 1</x:v>
      </x:c>
    </x:row>
    <x:row r="1905" ht="36" customHeight="1">
      <x:c r="A1905" s="118" t="n">
        <x:v>1900</x:v>
      </x:c>
      <x:c r="B1905" s="35" t="str">
        <x:v>test_build</x:v>
      </x:c>
      <x:c r="C1905" s="35" t="str">
        <x:v>build_kangaroo_anti_grab</x:v>
      </x:c>
      <x:c r="D1905" s="35" t="str">
        <x:v>special2</x:v>
      </x:c>
      <x:c r="E1905" s="38" t="str">
        <x:v>string</x:v>
      </x:c>
      <x:c r="F1905" s="56" t="str">
        <x:f>'Test Builds'!E11</x:f>
        <x:v>kangaroo_tempo_barrage</x:v>
      </x:c>
      <x:c r="G1905" s="38" t="str"/>
      <x:c r="H1905" s="35" t="str">
        <x:v>Test Builds</x:v>
      </x:c>
      <x:c r="I1905" s="35" t="str">
        <x:v>E11</x:v>
      </x:c>
      <x:c r="J1905" s="85" t="b">
        <x:v>1</x:v>
      </x:c>
      <x:c r="K1905" s="85" t="b">
        <x:v>0</x:v>
      </x:c>
      <x:c r="L1905" s="56" t="str">
        <x:f>'Test Builds'!N11</x:f>
        <x:v>OK</x:v>
      </x:c>
      <x:c r="M1905" s="44" t="str">
        <x:v>Источник Test Builds.Special 2</x:v>
      </x:c>
    </x:row>
    <x:row r="1906" ht="36" customHeight="1">
      <x:c r="A1906" s="118" t="n">
        <x:v>1901</x:v>
      </x:c>
      <x:c r="B1906" s="35" t="str">
        <x:v>test_build</x:v>
      </x:c>
      <x:c r="C1906" s="35" t="str">
        <x:v>build_kangaroo_anti_grab</x:v>
      </x:c>
      <x:c r="D1906" s="35" t="str">
        <x:v>passive</x:v>
      </x:c>
      <x:c r="E1906" s="38" t="str">
        <x:v>string</x:v>
      </x:c>
      <x:c r="F1906" s="56" t="str">
        <x:f>'Test Builds'!F11</x:f>
        <x:v>kangaroo_clean_rhythm</x:v>
      </x:c>
      <x:c r="G1906" s="38" t="str"/>
      <x:c r="H1906" s="35" t="str">
        <x:v>Test Builds</x:v>
      </x:c>
      <x:c r="I1906" s="35" t="str">
        <x:v>F11</x:v>
      </x:c>
      <x:c r="J1906" s="85" t="b">
        <x:v>1</x:v>
      </x:c>
      <x:c r="K1906" s="85" t="b">
        <x:v>0</x:v>
      </x:c>
      <x:c r="L1906" s="56" t="str">
        <x:f>'Test Builds'!N11</x:f>
        <x:v>OK</x:v>
      </x:c>
      <x:c r="M1906" s="44" t="str">
        <x:v>Источник Test Builds.Passive</x:v>
      </x:c>
    </x:row>
    <x:row r="1907" ht="36" customHeight="1">
      <x:c r="A1907" s="118" t="n">
        <x:v>1902</x:v>
      </x:c>
      <x:c r="B1907" s="35" t="str">
        <x:v>test_build</x:v>
      </x:c>
      <x:c r="C1907" s="35" t="str">
        <x:v>build_kangaroo_anti_grab</x:v>
      </x:c>
      <x:c r="D1907" s="35" t="str">
        <x:v>offense_gear</x:v>
      </x:c>
      <x:c r="E1907" s="38" t="str">
        <x:v>string</x:v>
      </x:c>
      <x:c r="F1907" s="56" t="str">
        <x:f>'Test Builds'!G11</x:f>
        <x:v>gear_offense_power_wraps</x:v>
      </x:c>
      <x:c r="G1907" s="38" t="str"/>
      <x:c r="H1907" s="35" t="str">
        <x:v>Test Builds</x:v>
      </x:c>
      <x:c r="I1907" s="35" t="str">
        <x:v>G11</x:v>
      </x:c>
      <x:c r="J1907" s="85" t="b">
        <x:v>1</x:v>
      </x:c>
      <x:c r="K1907" s="85" t="b">
        <x:v>0</x:v>
      </x:c>
      <x:c r="L1907" s="56" t="str">
        <x:f>'Test Builds'!N11</x:f>
        <x:v>OK</x:v>
      </x:c>
      <x:c r="M1907" s="44" t="str">
        <x:v>Источник Test Builds.Offense Gear</x:v>
      </x:c>
    </x:row>
    <x:row r="1908" ht="36" customHeight="1">
      <x:c r="A1908" s="118" t="n">
        <x:v>1903</x:v>
      </x:c>
      <x:c r="B1908" s="35" t="str">
        <x:v>test_build</x:v>
      </x:c>
      <x:c r="C1908" s="35" t="str">
        <x:v>build_kangaroo_anti_grab</x:v>
      </x:c>
      <x:c r="D1908" s="35" t="str">
        <x:v>defense_gear</x:v>
      </x:c>
      <x:c r="E1908" s="38" t="str">
        <x:v>string</x:v>
      </x:c>
      <x:c r="F1908" s="56" t="str">
        <x:f>'Test Builds'!H11</x:f>
        <x:v>gear_defense_control_brace</x:v>
      </x:c>
      <x:c r="G1908" s="38" t="str"/>
      <x:c r="H1908" s="35" t="str">
        <x:v>Test Builds</x:v>
      </x:c>
      <x:c r="I1908" s="35" t="str">
        <x:v>H11</x:v>
      </x:c>
      <x:c r="J1908" s="85" t="b">
        <x:v>1</x:v>
      </x:c>
      <x:c r="K1908" s="85" t="b">
        <x:v>0</x:v>
      </x:c>
      <x:c r="L1908" s="56" t="str">
        <x:f>'Test Builds'!N11</x:f>
        <x:v>OK</x:v>
      </x:c>
      <x:c r="M1908" s="44" t="str">
        <x:v>Источник Test Builds.Defense Gear</x:v>
      </x:c>
    </x:row>
    <x:row r="1909" ht="36" customHeight="1">
      <x:c r="A1909" s="118" t="n">
        <x:v>1904</x:v>
      </x:c>
      <x:c r="B1909" s="35" t="str">
        <x:v>test_build</x:v>
      </x:c>
      <x:c r="C1909" s="35" t="str">
        <x:v>build_kangaroo_anti_grab</x:v>
      </x:c>
      <x:c r="D1909" s="35" t="str">
        <x:v>utility_gear</x:v>
      </x:c>
      <x:c r="E1909" s="38" t="str">
        <x:v>string</x:v>
      </x:c>
      <x:c r="F1909" s="56" t="str">
        <x:f>'Test Builds'!I11</x:f>
        <x:v>gear_utility_sprint_soles</x:v>
      </x:c>
      <x:c r="G1909" s="38" t="str"/>
      <x:c r="H1909" s="35" t="str">
        <x:v>Test Builds</x:v>
      </x:c>
      <x:c r="I1909" s="35" t="str">
        <x:v>I11</x:v>
      </x:c>
      <x:c r="J1909" s="85" t="b">
        <x:v>1</x:v>
      </x:c>
      <x:c r="K1909" s="85" t="b">
        <x:v>0</x:v>
      </x:c>
      <x:c r="L1909" s="56" t="str">
        <x:f>'Test Builds'!N11</x:f>
        <x:v>OK</x:v>
      </x:c>
      <x:c r="M1909" s="44" t="str">
        <x:v>Источник Test Builds.Utility Gear</x:v>
      </x:c>
    </x:row>
    <x:row r="1910" ht="36" customHeight="1">
      <x:c r="A1910" s="118" t="n">
        <x:v>1905</x:v>
      </x:c>
      <x:c r="B1910" s="35" t="str">
        <x:v>test_build</x:v>
      </x:c>
      <x:c r="C1910" s="35" t="str">
        <x:v>build_kangaroo_anti_grab</x:v>
      </x:c>
      <x:c r="D1910" s="35" t="str">
        <x:v>tactic_id</x:v>
      </x:c>
      <x:c r="E1910" s="38" t="str">
        <x:v>string</x:v>
      </x:c>
      <x:c r="F1910" s="56" t="str">
        <x:f>'Test Builds'!J11</x:f>
        <x:v>tactic_counter</x:v>
      </x:c>
      <x:c r="G1910" s="38" t="str"/>
      <x:c r="H1910" s="35" t="str">
        <x:v>Test Builds</x:v>
      </x:c>
      <x:c r="I1910" s="35" t="str">
        <x:v>J11</x:v>
      </x:c>
      <x:c r="J1910" s="85" t="b">
        <x:v>1</x:v>
      </x:c>
      <x:c r="K1910" s="85" t="b">
        <x:v>0</x:v>
      </x:c>
      <x:c r="L1910" s="56" t="str">
        <x:f>'Test Builds'!N11</x:f>
        <x:v>OK</x:v>
      </x:c>
      <x:c r="M1910" s="44" t="str">
        <x:v>Источник Test Builds.Tactic ID</x:v>
      </x:c>
    </x:row>
    <x:row r="1911" ht="36" customHeight="1">
      <x:c r="A1911" s="118" t="n">
        <x:v>1906</x:v>
      </x:c>
      <x:c r="B1911" s="35" t="str">
        <x:v>test_build</x:v>
      </x:c>
      <x:c r="C1911" s="35" t="str">
        <x:v>build_kangaroo_kite</x:v>
      </x:c>
      <x:c r="D1911" s="35" t="str">
        <x:v>build_id</x:v>
      </x:c>
      <x:c r="E1911" s="38" t="str">
        <x:v>string</x:v>
      </x:c>
      <x:c r="F1911" s="56" t="str">
        <x:f>'Test Builds'!A12</x:f>
        <x:v>build_kangaroo_kite</x:v>
      </x:c>
      <x:c r="G1911" s="38" t="str"/>
      <x:c r="H1911" s="35" t="str">
        <x:v>Test Builds</x:v>
      </x:c>
      <x:c r="I1911" s="35" t="str">
        <x:v>A12</x:v>
      </x:c>
      <x:c r="J1911" s="85" t="b">
        <x:v>1</x:v>
      </x:c>
      <x:c r="K1911" s="85" t="b">
        <x:v>0</x:v>
      </x:c>
      <x:c r="L1911" s="56" t="str">
        <x:f>'Test Builds'!N12</x:f>
        <x:v>OK</x:v>
      </x:c>
      <x:c r="M1911" s="44" t="str">
        <x:v>Источник Test Builds.Build ID</x:v>
      </x:c>
    </x:row>
    <x:row r="1912" ht="36" customHeight="1">
      <x:c r="A1912" s="118" t="n">
        <x:v>1907</x:v>
      </x:c>
      <x:c r="B1912" s="35" t="str">
        <x:v>test_build</x:v>
      </x:c>
      <x:c r="C1912" s="35" t="str">
        <x:v>build_kangaroo_kite</x:v>
      </x:c>
      <x:c r="D1912" s="35" t="str">
        <x:v>animal_id</x:v>
      </x:c>
      <x:c r="E1912" s="38" t="str">
        <x:v>string</x:v>
      </x:c>
      <x:c r="F1912" s="56" t="str">
        <x:f>'Test Builds'!C12</x:f>
        <x:v>kangaroo</x:v>
      </x:c>
      <x:c r="G1912" s="38" t="str"/>
      <x:c r="H1912" s="35" t="str">
        <x:v>Test Builds</x:v>
      </x:c>
      <x:c r="I1912" s="35" t="str">
        <x:v>C12</x:v>
      </x:c>
      <x:c r="J1912" s="85" t="b">
        <x:v>1</x:v>
      </x:c>
      <x:c r="K1912" s="85" t="b">
        <x:v>0</x:v>
      </x:c>
      <x:c r="L1912" s="56" t="str">
        <x:f>'Test Builds'!N12</x:f>
        <x:v>OK</x:v>
      </x:c>
      <x:c r="M1912" s="44" t="str">
        <x:v>Источник Test Builds.Animal ID</x:v>
      </x:c>
    </x:row>
    <x:row r="1913" ht="36" customHeight="1">
      <x:c r="A1913" s="118" t="n">
        <x:v>1908</x:v>
      </x:c>
      <x:c r="B1913" s="35" t="str">
        <x:v>test_build</x:v>
      </x:c>
      <x:c r="C1913" s="35" t="str">
        <x:v>build_kangaroo_kite</x:v>
      </x:c>
      <x:c r="D1913" s="35" t="str">
        <x:v>special1</x:v>
      </x:c>
      <x:c r="E1913" s="38" t="str">
        <x:v>string</x:v>
      </x:c>
      <x:c r="F1913" s="56" t="str">
        <x:f>'Test Builds'!D12</x:f>
        <x:v>kangaroo_flying_kick</x:v>
      </x:c>
      <x:c r="G1913" s="38" t="str"/>
      <x:c r="H1913" s="35" t="str">
        <x:v>Test Builds</x:v>
      </x:c>
      <x:c r="I1913" s="35" t="str">
        <x:v>D12</x:v>
      </x:c>
      <x:c r="J1913" s="85" t="b">
        <x:v>1</x:v>
      </x:c>
      <x:c r="K1913" s="85" t="b">
        <x:v>0</x:v>
      </x:c>
      <x:c r="L1913" s="56" t="str">
        <x:f>'Test Builds'!N12</x:f>
        <x:v>OK</x:v>
      </x:c>
      <x:c r="M1913" s="44" t="str">
        <x:v>Источник Test Builds.Special 1</x:v>
      </x:c>
    </x:row>
    <x:row r="1914" ht="36" customHeight="1">
      <x:c r="A1914" s="118" t="n">
        <x:v>1909</x:v>
      </x:c>
      <x:c r="B1914" s="35" t="str">
        <x:v>test_build</x:v>
      </x:c>
      <x:c r="C1914" s="35" t="str">
        <x:v>build_kangaroo_kite</x:v>
      </x:c>
      <x:c r="D1914" s="35" t="str">
        <x:v>special2</x:v>
      </x:c>
      <x:c r="E1914" s="38" t="str">
        <x:v>string</x:v>
      </x:c>
      <x:c r="F1914" s="56" t="str">
        <x:f>'Test Builds'!E12</x:f>
        <x:v>kangaroo_tempo_barrage</x:v>
      </x:c>
      <x:c r="G1914" s="38" t="str"/>
      <x:c r="H1914" s="35" t="str">
        <x:v>Test Builds</x:v>
      </x:c>
      <x:c r="I1914" s="35" t="str">
        <x:v>E12</x:v>
      </x:c>
      <x:c r="J1914" s="85" t="b">
        <x:v>1</x:v>
      </x:c>
      <x:c r="K1914" s="85" t="b">
        <x:v>0</x:v>
      </x:c>
      <x:c r="L1914" s="56" t="str">
        <x:f>'Test Builds'!N12</x:f>
        <x:v>OK</x:v>
      </x:c>
      <x:c r="M1914" s="44" t="str">
        <x:v>Источник Test Builds.Special 2</x:v>
      </x:c>
    </x:row>
    <x:row r="1915" ht="36" customHeight="1">
      <x:c r="A1915" s="118" t="n">
        <x:v>1910</x:v>
      </x:c>
      <x:c r="B1915" s="35" t="str">
        <x:v>test_build</x:v>
      </x:c>
      <x:c r="C1915" s="35" t="str">
        <x:v>build_kangaroo_kite</x:v>
      </x:c>
      <x:c r="D1915" s="35" t="str">
        <x:v>passive</x:v>
      </x:c>
      <x:c r="E1915" s="38" t="str">
        <x:v>string</x:v>
      </x:c>
      <x:c r="F1915" s="56" t="str">
        <x:f>'Test Builds'!F12</x:f>
        <x:v>kangaroo_never_still</x:v>
      </x:c>
      <x:c r="G1915" s="38" t="str"/>
      <x:c r="H1915" s="35" t="str">
        <x:v>Test Builds</x:v>
      </x:c>
      <x:c r="I1915" s="35" t="str">
        <x:v>F12</x:v>
      </x:c>
      <x:c r="J1915" s="85" t="b">
        <x:v>1</x:v>
      </x:c>
      <x:c r="K1915" s="85" t="b">
        <x:v>0</x:v>
      </x:c>
      <x:c r="L1915" s="56" t="str">
        <x:f>'Test Builds'!N12</x:f>
        <x:v>OK</x:v>
      </x:c>
      <x:c r="M1915" s="44" t="str">
        <x:v>Источник Test Builds.Passive</x:v>
      </x:c>
    </x:row>
    <x:row r="1916" ht="36" customHeight="1">
      <x:c r="A1916" s="118" t="n">
        <x:v>1911</x:v>
      </x:c>
      <x:c r="B1916" s="35" t="str">
        <x:v>test_build</x:v>
      </x:c>
      <x:c r="C1916" s="35" t="str">
        <x:v>build_kangaroo_kite</x:v>
      </x:c>
      <x:c r="D1916" s="35" t="str">
        <x:v>offense_gear</x:v>
      </x:c>
      <x:c r="E1916" s="38" t="str">
        <x:v>string</x:v>
      </x:c>
      <x:c r="F1916" s="56" t="str">
        <x:f>'Test Builds'!G12</x:f>
        <x:v>gear_offense_precision_lens</x:v>
      </x:c>
      <x:c r="G1916" s="38" t="str"/>
      <x:c r="H1916" s="35" t="str">
        <x:v>Test Builds</x:v>
      </x:c>
      <x:c r="I1916" s="35" t="str">
        <x:v>G12</x:v>
      </x:c>
      <x:c r="J1916" s="85" t="b">
        <x:v>1</x:v>
      </x:c>
      <x:c r="K1916" s="85" t="b">
        <x:v>0</x:v>
      </x:c>
      <x:c r="L1916" s="56" t="str">
        <x:f>'Test Builds'!N12</x:f>
        <x:v>OK</x:v>
      </x:c>
      <x:c r="M1916" s="44" t="str">
        <x:v>Источник Test Builds.Offense Gear</x:v>
      </x:c>
    </x:row>
    <x:row r="1917" ht="36" customHeight="1">
      <x:c r="A1917" s="118" t="n">
        <x:v>1912</x:v>
      </x:c>
      <x:c r="B1917" s="35" t="str">
        <x:v>test_build</x:v>
      </x:c>
      <x:c r="C1917" s="35" t="str">
        <x:v>build_kangaroo_kite</x:v>
      </x:c>
      <x:c r="D1917" s="35" t="str">
        <x:v>defense_gear</x:v>
      </x:c>
      <x:c r="E1917" s="38" t="str">
        <x:v>string</x:v>
      </x:c>
      <x:c r="F1917" s="56" t="str">
        <x:f>'Test Builds'!H12</x:f>
        <x:v>gear_defense_reinforced_hide</x:v>
      </x:c>
      <x:c r="G1917" s="38" t="str"/>
      <x:c r="H1917" s="35" t="str">
        <x:v>Test Builds</x:v>
      </x:c>
      <x:c r="I1917" s="35" t="str">
        <x:v>H12</x:v>
      </x:c>
      <x:c r="J1917" s="85" t="b">
        <x:v>1</x:v>
      </x:c>
      <x:c r="K1917" s="85" t="b">
        <x:v>0</x:v>
      </x:c>
      <x:c r="L1917" s="56" t="str">
        <x:f>'Test Builds'!N12</x:f>
        <x:v>OK</x:v>
      </x:c>
      <x:c r="M1917" s="44" t="str">
        <x:v>Источник Test Builds.Defense Gear</x:v>
      </x:c>
    </x:row>
    <x:row r="1918" ht="36" customHeight="1">
      <x:c r="A1918" s="118" t="n">
        <x:v>1913</x:v>
      </x:c>
      <x:c r="B1918" s="35" t="str">
        <x:v>test_build</x:v>
      </x:c>
      <x:c r="C1918" s="35" t="str">
        <x:v>build_kangaroo_kite</x:v>
      </x:c>
      <x:c r="D1918" s="35" t="str">
        <x:v>utility_gear</x:v>
      </x:c>
      <x:c r="E1918" s="38" t="str">
        <x:v>string</x:v>
      </x:c>
      <x:c r="F1918" s="56" t="str">
        <x:f>'Test Builds'!I12</x:f>
        <x:v>gear_utility_quickening_cord</x:v>
      </x:c>
      <x:c r="G1918" s="38" t="str"/>
      <x:c r="H1918" s="35" t="str">
        <x:v>Test Builds</x:v>
      </x:c>
      <x:c r="I1918" s="35" t="str">
        <x:v>I12</x:v>
      </x:c>
      <x:c r="J1918" s="85" t="b">
        <x:v>1</x:v>
      </x:c>
      <x:c r="K1918" s="85" t="b">
        <x:v>0</x:v>
      </x:c>
      <x:c r="L1918" s="56" t="str">
        <x:f>'Test Builds'!N12</x:f>
        <x:v>OK</x:v>
      </x:c>
      <x:c r="M1918" s="44" t="str">
        <x:v>Источник Test Builds.Utility Gear</x:v>
      </x:c>
    </x:row>
    <x:row r="1919" ht="36" customHeight="1">
      <x:c r="A1919" s="118" t="n">
        <x:v>1914</x:v>
      </x:c>
      <x:c r="B1919" s="35" t="str">
        <x:v>test_build</x:v>
      </x:c>
      <x:c r="C1919" s="35" t="str">
        <x:v>build_kangaroo_kite</x:v>
      </x:c>
      <x:c r="D1919" s="35" t="str">
        <x:v>tactic_id</x:v>
      </x:c>
      <x:c r="E1919" s="38" t="str">
        <x:v>string</x:v>
      </x:c>
      <x:c r="F1919" s="56" t="str">
        <x:f>'Test Builds'!J12</x:f>
        <x:v>tactic_position</x:v>
      </x:c>
      <x:c r="G1919" s="38" t="str"/>
      <x:c r="H1919" s="35" t="str">
        <x:v>Test Builds</x:v>
      </x:c>
      <x:c r="I1919" s="35" t="str">
        <x:v>J12</x:v>
      </x:c>
      <x:c r="J1919" s="85" t="b">
        <x:v>1</x:v>
      </x:c>
      <x:c r="K1919" s="85" t="b">
        <x:v>0</x:v>
      </x:c>
      <x:c r="L1919" s="56" t="str">
        <x:f>'Test Builds'!N12</x:f>
        <x:v>OK</x:v>
      </x:c>
      <x:c r="M1919" s="44" t="str">
        <x:v>Источник Test Builds.Tactic ID</x:v>
      </x:c>
    </x:row>
    <x:row r="1920" ht="36" customHeight="1">
      <x:c r="A1920" s="118" t="n">
        <x:v>1915</x:v>
      </x:c>
      <x:c r="B1920" s="35" t="str">
        <x:v>test_build</x:v>
      </x:c>
      <x:c r="C1920" s="35" t="str">
        <x:v>build_kangaroo_signature</x:v>
      </x:c>
      <x:c r="D1920" s="35" t="str">
        <x:v>build_id</x:v>
      </x:c>
      <x:c r="E1920" s="38" t="str">
        <x:v>string</x:v>
      </x:c>
      <x:c r="F1920" s="56" t="str">
        <x:f>'Test Builds'!A13</x:f>
        <x:v>build_kangaroo_signature</x:v>
      </x:c>
      <x:c r="G1920" s="38" t="str"/>
      <x:c r="H1920" s="35" t="str">
        <x:v>Test Builds</x:v>
      </x:c>
      <x:c r="I1920" s="35" t="str">
        <x:v>A13</x:v>
      </x:c>
      <x:c r="J1920" s="85" t="b">
        <x:v>1</x:v>
      </x:c>
      <x:c r="K1920" s="85" t="b">
        <x:v>0</x:v>
      </x:c>
      <x:c r="L1920" s="56" t="str">
        <x:f>'Test Builds'!N13</x:f>
        <x:v>OK</x:v>
      </x:c>
      <x:c r="M1920" s="44" t="str">
        <x:v>Источник Test Builds.Build ID</x:v>
      </x:c>
    </x:row>
    <x:row r="1921" ht="36" customHeight="1">
      <x:c r="A1921" s="118" t="n">
        <x:v>1916</x:v>
      </x:c>
      <x:c r="B1921" s="35" t="str">
        <x:v>test_build</x:v>
      </x:c>
      <x:c r="C1921" s="35" t="str">
        <x:v>build_kangaroo_signature</x:v>
      </x:c>
      <x:c r="D1921" s="35" t="str">
        <x:v>animal_id</x:v>
      </x:c>
      <x:c r="E1921" s="38" t="str">
        <x:v>string</x:v>
      </x:c>
      <x:c r="F1921" s="56" t="str">
        <x:f>'Test Builds'!C13</x:f>
        <x:v>kangaroo</x:v>
      </x:c>
      <x:c r="G1921" s="38" t="str"/>
      <x:c r="H1921" s="35" t="str">
        <x:v>Test Builds</x:v>
      </x:c>
      <x:c r="I1921" s="35" t="str">
        <x:v>C13</x:v>
      </x:c>
      <x:c r="J1921" s="85" t="b">
        <x:v>1</x:v>
      </x:c>
      <x:c r="K1921" s="85" t="b">
        <x:v>0</x:v>
      </x:c>
      <x:c r="L1921" s="56" t="str">
        <x:f>'Test Builds'!N13</x:f>
        <x:v>OK</x:v>
      </x:c>
      <x:c r="M1921" s="44" t="str">
        <x:v>Источник Test Builds.Animal ID</x:v>
      </x:c>
    </x:row>
    <x:row r="1922" ht="36" customHeight="1">
      <x:c r="A1922" s="118" t="n">
        <x:v>1917</x:v>
      </x:c>
      <x:c r="B1922" s="35" t="str">
        <x:v>test_build</x:v>
      </x:c>
      <x:c r="C1922" s="35" t="str">
        <x:v>build_kangaroo_signature</x:v>
      </x:c>
      <x:c r="D1922" s="35" t="str">
        <x:v>special1</x:v>
      </x:c>
      <x:c r="E1922" s="38" t="str">
        <x:v>string</x:v>
      </x:c>
      <x:c r="F1922" s="56" t="str">
        <x:f>'Test Builds'!D13</x:f>
        <x:v>kangaroo_flying_kick</x:v>
      </x:c>
      <x:c r="G1922" s="38" t="str"/>
      <x:c r="H1922" s="35" t="str">
        <x:v>Test Builds</x:v>
      </x:c>
      <x:c r="I1922" s="35" t="str">
        <x:v>D13</x:v>
      </x:c>
      <x:c r="J1922" s="85" t="b">
        <x:v>1</x:v>
      </x:c>
      <x:c r="K1922" s="85" t="b">
        <x:v>0</x:v>
      </x:c>
      <x:c r="L1922" s="56" t="str">
        <x:f>'Test Builds'!N13</x:f>
        <x:v>OK</x:v>
      </x:c>
      <x:c r="M1922" s="44" t="str">
        <x:v>Источник Test Builds.Special 1</x:v>
      </x:c>
    </x:row>
    <x:row r="1923" ht="36" customHeight="1">
      <x:c r="A1923" s="118" t="n">
        <x:v>1918</x:v>
      </x:c>
      <x:c r="B1923" s="35" t="str">
        <x:v>test_build</x:v>
      </x:c>
      <x:c r="C1923" s="35" t="str">
        <x:v>build_kangaroo_signature</x:v>
      </x:c>
      <x:c r="D1923" s="35" t="str">
        <x:v>special2</x:v>
      </x:c>
      <x:c r="E1923" s="38" t="str">
        <x:v>string</x:v>
      </x:c>
      <x:c r="F1923" s="56" t="str">
        <x:f>'Test Builds'!E13</x:f>
        <x:v>kangaroo_tempo_barrage</x:v>
      </x:c>
      <x:c r="G1923" s="38" t="str"/>
      <x:c r="H1923" s="35" t="str">
        <x:v>Test Builds</x:v>
      </x:c>
      <x:c r="I1923" s="35" t="str">
        <x:v>E13</x:v>
      </x:c>
      <x:c r="J1923" s="85" t="b">
        <x:v>1</x:v>
      </x:c>
      <x:c r="K1923" s="85" t="b">
        <x:v>0</x:v>
      </x:c>
      <x:c r="L1923" s="56" t="str">
        <x:f>'Test Builds'!N13</x:f>
        <x:v>OK</x:v>
      </x:c>
      <x:c r="M1923" s="44" t="str">
        <x:v>Источник Test Builds.Special 2</x:v>
      </x:c>
    </x:row>
    <x:row r="1924" ht="36" customHeight="1">
      <x:c r="A1924" s="118" t="n">
        <x:v>1919</x:v>
      </x:c>
      <x:c r="B1924" s="35" t="str">
        <x:v>test_build</x:v>
      </x:c>
      <x:c r="C1924" s="35" t="str">
        <x:v>build_kangaroo_signature</x:v>
      </x:c>
      <x:c r="D1924" s="35" t="str">
        <x:v>passive</x:v>
      </x:c>
      <x:c r="E1924" s="38" t="str">
        <x:v>string</x:v>
      </x:c>
      <x:c r="F1924" s="56" t="str">
        <x:f>'Test Builds'!F13</x:f>
        <x:v>kangaroo_clean_rhythm</x:v>
      </x:c>
      <x:c r="G1924" s="38" t="str"/>
      <x:c r="H1924" s="35" t="str">
        <x:v>Test Builds</x:v>
      </x:c>
      <x:c r="I1924" s="35" t="str">
        <x:v>F13</x:v>
      </x:c>
      <x:c r="J1924" s="85" t="b">
        <x:v>1</x:v>
      </x:c>
      <x:c r="K1924" s="85" t="b">
        <x:v>0</x:v>
      </x:c>
      <x:c r="L1924" s="56" t="str">
        <x:f>'Test Builds'!N13</x:f>
        <x:v>OK</x:v>
      </x:c>
      <x:c r="M1924" s="44" t="str">
        <x:v>Источник Test Builds.Passive</x:v>
      </x:c>
    </x:row>
    <x:row r="1925" ht="36" customHeight="1">
      <x:c r="A1925" s="118" t="n">
        <x:v>1920</x:v>
      </x:c>
      <x:c r="B1925" s="35" t="str">
        <x:v>test_build</x:v>
      </x:c>
      <x:c r="C1925" s="35" t="str">
        <x:v>build_kangaroo_signature</x:v>
      </x:c>
      <x:c r="D1925" s="35" t="str">
        <x:v>offense_gear</x:v>
      </x:c>
      <x:c r="E1925" s="38" t="str">
        <x:v>string</x:v>
      </x:c>
      <x:c r="F1925" s="56" t="str">
        <x:f>'Test Builds'!G13</x:f>
        <x:v>gear_offense_power_wraps</x:v>
      </x:c>
      <x:c r="G1925" s="38" t="str"/>
      <x:c r="H1925" s="35" t="str">
        <x:v>Test Builds</x:v>
      </x:c>
      <x:c r="I1925" s="35" t="str">
        <x:v>G13</x:v>
      </x:c>
      <x:c r="J1925" s="85" t="b">
        <x:v>1</x:v>
      </x:c>
      <x:c r="K1925" s="85" t="b">
        <x:v>0</x:v>
      </x:c>
      <x:c r="L1925" s="56" t="str">
        <x:f>'Test Builds'!N13</x:f>
        <x:v>OK</x:v>
      </x:c>
      <x:c r="M1925" s="44" t="str">
        <x:v>Источник Test Builds.Offense Gear</x:v>
      </x:c>
    </x:row>
    <x:row r="1926" ht="36" customHeight="1">
      <x:c r="A1926" s="118" t="n">
        <x:v>1921</x:v>
      </x:c>
      <x:c r="B1926" s="35" t="str">
        <x:v>test_build</x:v>
      </x:c>
      <x:c r="C1926" s="35" t="str">
        <x:v>build_kangaroo_signature</x:v>
      </x:c>
      <x:c r="D1926" s="35" t="str">
        <x:v>defense_gear</x:v>
      </x:c>
      <x:c r="E1926" s="38" t="str">
        <x:v>string</x:v>
      </x:c>
      <x:c r="F1926" s="56" t="str">
        <x:f>'Test Builds'!H13</x:f>
        <x:v>gear_defense_vital_harness</x:v>
      </x:c>
      <x:c r="G1926" s="38" t="str"/>
      <x:c r="H1926" s="35" t="str">
        <x:v>Test Builds</x:v>
      </x:c>
      <x:c r="I1926" s="35" t="str">
        <x:v>H13</x:v>
      </x:c>
      <x:c r="J1926" s="85" t="b">
        <x:v>1</x:v>
      </x:c>
      <x:c r="K1926" s="85" t="b">
        <x:v>0</x:v>
      </x:c>
      <x:c r="L1926" s="56" t="str">
        <x:f>'Test Builds'!N13</x:f>
        <x:v>OK</x:v>
      </x:c>
      <x:c r="M1926" s="44" t="str">
        <x:v>Источник Test Builds.Defense Gear</x:v>
      </x:c>
    </x:row>
    <x:row r="1927" ht="36" customHeight="1">
      <x:c r="A1927" s="118" t="n">
        <x:v>1922</x:v>
      </x:c>
      <x:c r="B1927" s="35" t="str">
        <x:v>test_build</x:v>
      </x:c>
      <x:c r="C1927" s="35" t="str">
        <x:v>build_kangaroo_signature</x:v>
      </x:c>
      <x:c r="D1927" s="35" t="str">
        <x:v>utility_gear</x:v>
      </x:c>
      <x:c r="E1927" s="38" t="str">
        <x:v>string</x:v>
      </x:c>
      <x:c r="F1927" s="56" t="str">
        <x:f>'Test Builds'!I13</x:f>
        <x:v>gear_utility_energy_cell</x:v>
      </x:c>
      <x:c r="G1927" s="38" t="str"/>
      <x:c r="H1927" s="35" t="str">
        <x:v>Test Builds</x:v>
      </x:c>
      <x:c r="I1927" s="35" t="str">
        <x:v>I13</x:v>
      </x:c>
      <x:c r="J1927" s="85" t="b">
        <x:v>1</x:v>
      </x:c>
      <x:c r="K1927" s="85" t="b">
        <x:v>0</x:v>
      </x:c>
      <x:c r="L1927" s="56" t="str">
        <x:f>'Test Builds'!N13</x:f>
        <x:v>OK</x:v>
      </x:c>
      <x:c r="M1927" s="44" t="str">
        <x:v>Источник Test Builds.Utility Gear</x:v>
      </x:c>
    </x:row>
    <x:row r="1928" ht="36" customHeight="1">
      <x:c r="A1928" s="118" t="n">
        <x:v>1923</x:v>
      </x:c>
      <x:c r="B1928" s="35" t="str">
        <x:v>test_build</x:v>
      </x:c>
      <x:c r="C1928" s="35" t="str">
        <x:v>build_kangaroo_signature</x:v>
      </x:c>
      <x:c r="D1928" s="35" t="str">
        <x:v>tactic_id</x:v>
      </x:c>
      <x:c r="E1928" s="38" t="str">
        <x:v>string</x:v>
      </x:c>
      <x:c r="F1928" s="56" t="str">
        <x:f>'Test Builds'!J13</x:f>
        <x:v>tactic_signature</x:v>
      </x:c>
      <x:c r="G1928" s="38" t="str"/>
      <x:c r="H1928" s="35" t="str">
        <x:v>Test Builds</x:v>
      </x:c>
      <x:c r="I1928" s="35" t="str">
        <x:v>J13</x:v>
      </x:c>
      <x:c r="J1928" s="85" t="b">
        <x:v>1</x:v>
      </x:c>
      <x:c r="K1928" s="85" t="b">
        <x:v>0</x:v>
      </x:c>
      <x:c r="L1928" s="56" t="str">
        <x:f>'Test Builds'!N13</x:f>
        <x:v>OK</x:v>
      </x:c>
      <x:c r="M1928" s="44" t="str">
        <x:v>Источник Test Builds.Tactic ID</x:v>
      </x:c>
    </x:row>
    <x:row r="1929" ht="36" customHeight="1">
      <x:c r="A1929" s="118" t="n">
        <x:v>1924</x:v>
      </x:c>
      <x:c r="B1929" s="35" t="str">
        <x:v>test_build</x:v>
      </x:c>
      <x:c r="C1929" s="35" t="str">
        <x:v>build_gorilla_default</x:v>
      </x:c>
      <x:c r="D1929" s="35" t="str">
        <x:v>build_id</x:v>
      </x:c>
      <x:c r="E1929" s="38" t="str">
        <x:v>string</x:v>
      </x:c>
      <x:c r="F1929" s="56" t="str">
        <x:f>'Test Builds'!A14</x:f>
        <x:v>build_gorilla_default</x:v>
      </x:c>
      <x:c r="G1929" s="38" t="str"/>
      <x:c r="H1929" s="35" t="str">
        <x:v>Test Builds</x:v>
      </x:c>
      <x:c r="I1929" s="35" t="str">
        <x:v>A14</x:v>
      </x:c>
      <x:c r="J1929" s="85" t="b">
        <x:v>1</x:v>
      </x:c>
      <x:c r="K1929" s="85" t="b">
        <x:v>0</x:v>
      </x:c>
      <x:c r="L1929" s="56" t="str">
        <x:f>'Test Builds'!N14</x:f>
        <x:v>OK</x:v>
      </x:c>
      <x:c r="M1929" s="44" t="str">
        <x:v>Источник Test Builds.Build ID</x:v>
      </x:c>
    </x:row>
    <x:row r="1930" ht="36" customHeight="1">
      <x:c r="A1930" s="118" t="n">
        <x:v>1925</x:v>
      </x:c>
      <x:c r="B1930" s="35" t="str">
        <x:v>test_build</x:v>
      </x:c>
      <x:c r="C1930" s="35" t="str">
        <x:v>build_gorilla_default</x:v>
      </x:c>
      <x:c r="D1930" s="35" t="str">
        <x:v>animal_id</x:v>
      </x:c>
      <x:c r="E1930" s="38" t="str">
        <x:v>string</x:v>
      </x:c>
      <x:c r="F1930" s="56" t="str">
        <x:f>'Test Builds'!C14</x:f>
        <x:v>gorilla</x:v>
      </x:c>
      <x:c r="G1930" s="38" t="str"/>
      <x:c r="H1930" s="35" t="str">
        <x:v>Test Builds</x:v>
      </x:c>
      <x:c r="I1930" s="35" t="str">
        <x:v>C14</x:v>
      </x:c>
      <x:c r="J1930" s="85" t="b">
        <x:v>1</x:v>
      </x:c>
      <x:c r="K1930" s="85" t="b">
        <x:v>0</x:v>
      </x:c>
      <x:c r="L1930" s="56" t="str">
        <x:f>'Test Builds'!N14</x:f>
        <x:v>OK</x:v>
      </x:c>
      <x:c r="M1930" s="44" t="str">
        <x:v>Источник Test Builds.Animal ID</x:v>
      </x:c>
    </x:row>
    <x:row r="1931" ht="36" customHeight="1">
      <x:c r="A1931" s="118" t="n">
        <x:v>1926</x:v>
      </x:c>
      <x:c r="B1931" s="35" t="str">
        <x:v>test_build</x:v>
      </x:c>
      <x:c r="C1931" s="35" t="str">
        <x:v>build_gorilla_default</x:v>
      </x:c>
      <x:c r="D1931" s="35" t="str">
        <x:v>special1</x:v>
      </x:c>
      <x:c r="E1931" s="38" t="str">
        <x:v>string</x:v>
      </x:c>
      <x:c r="F1931" s="56" t="str">
        <x:f>'Test Builds'!D14</x:f>
        <x:v>gorilla_pivot_throw</x:v>
      </x:c>
      <x:c r="G1931" s="38" t="str"/>
      <x:c r="H1931" s="35" t="str">
        <x:v>Test Builds</x:v>
      </x:c>
      <x:c r="I1931" s="35" t="str">
        <x:v>D14</x:v>
      </x:c>
      <x:c r="J1931" s="85" t="b">
        <x:v>1</x:v>
      </x:c>
      <x:c r="K1931" s="85" t="b">
        <x:v>0</x:v>
      </x:c>
      <x:c r="L1931" s="56" t="str">
        <x:f>'Test Builds'!N14</x:f>
        <x:v>OK</x:v>
      </x:c>
      <x:c r="M1931" s="44" t="str">
        <x:v>Источник Test Builds.Special 1</x:v>
      </x:c>
    </x:row>
    <x:row r="1932" ht="36" customHeight="1">
      <x:c r="A1932" s="118" t="n">
        <x:v>1927</x:v>
      </x:c>
      <x:c r="B1932" s="35" t="str">
        <x:v>test_build</x:v>
      </x:c>
      <x:c r="C1932" s="35" t="str">
        <x:v>build_gorilla_default</x:v>
      </x:c>
      <x:c r="D1932" s="35" t="str">
        <x:v>special2</x:v>
      </x:c>
      <x:c r="E1932" s="38" t="str">
        <x:v>string</x:v>
      </x:c>
      <x:c r="F1932" s="56" t="str">
        <x:f>'Test Builds'!E14</x:f>
        <x:v>gorilla_wall_breaker</x:v>
      </x:c>
      <x:c r="G1932" s="38" t="str"/>
      <x:c r="H1932" s="35" t="str">
        <x:v>Test Builds</x:v>
      </x:c>
      <x:c r="I1932" s="35" t="str">
        <x:v>E14</x:v>
      </x:c>
      <x:c r="J1932" s="85" t="b">
        <x:v>1</x:v>
      </x:c>
      <x:c r="K1932" s="85" t="b">
        <x:v>0</x:v>
      </x:c>
      <x:c r="L1932" s="56" t="str">
        <x:f>'Test Builds'!N14</x:f>
        <x:v>OK</x:v>
      </x:c>
      <x:c r="M1932" s="44" t="str">
        <x:v>Источник Test Builds.Special 2</x:v>
      </x:c>
    </x:row>
    <x:row r="1933" ht="36" customHeight="1">
      <x:c r="A1933" s="118" t="n">
        <x:v>1928</x:v>
      </x:c>
      <x:c r="B1933" s="35" t="str">
        <x:v>test_build</x:v>
      </x:c>
      <x:c r="C1933" s="35" t="str">
        <x:v>build_gorilla_default</x:v>
      </x:c>
      <x:c r="D1933" s="35" t="str">
        <x:v>passive</x:v>
      </x:c>
      <x:c r="E1933" s="38" t="str">
        <x:v>string</x:v>
      </x:c>
      <x:c r="F1933" s="56" t="str">
        <x:f>'Test Builds'!F14</x:f>
        <x:v>gorilla_territorial_pressure</x:v>
      </x:c>
      <x:c r="G1933" s="38" t="str"/>
      <x:c r="H1933" s="35" t="str">
        <x:v>Test Builds</x:v>
      </x:c>
      <x:c r="I1933" s="35" t="str">
        <x:v>F14</x:v>
      </x:c>
      <x:c r="J1933" s="85" t="b">
        <x:v>1</x:v>
      </x:c>
      <x:c r="K1933" s="85" t="b">
        <x:v>0</x:v>
      </x:c>
      <x:c r="L1933" s="56" t="str">
        <x:f>'Test Builds'!N14</x:f>
        <x:v>OK</x:v>
      </x:c>
      <x:c r="M1933" s="44" t="str">
        <x:v>Источник Test Builds.Passive</x:v>
      </x:c>
    </x:row>
    <x:row r="1934" ht="36" customHeight="1">
      <x:c r="A1934" s="118" t="n">
        <x:v>1929</x:v>
      </x:c>
      <x:c r="B1934" s="35" t="str">
        <x:v>test_build</x:v>
      </x:c>
      <x:c r="C1934" s="35" t="str">
        <x:v>build_gorilla_default</x:v>
      </x:c>
      <x:c r="D1934" s="35" t="str">
        <x:v>offense_gear</x:v>
      </x:c>
      <x:c r="E1934" s="38" t="str">
        <x:v>string</x:v>
      </x:c>
      <x:c r="F1934" s="56" t="str">
        <x:f>'Test Builds'!G14</x:f>
        <x:v>gear_offense_guardbreaker</x:v>
      </x:c>
      <x:c r="G1934" s="38" t="str"/>
      <x:c r="H1934" s="35" t="str">
        <x:v>Test Builds</x:v>
      </x:c>
      <x:c r="I1934" s="35" t="str">
        <x:v>G14</x:v>
      </x:c>
      <x:c r="J1934" s="85" t="b">
        <x:v>1</x:v>
      </x:c>
      <x:c r="K1934" s="85" t="b">
        <x:v>0</x:v>
      </x:c>
      <x:c r="L1934" s="56" t="str">
        <x:f>'Test Builds'!N14</x:f>
        <x:v>OK</x:v>
      </x:c>
      <x:c r="M1934" s="44" t="str">
        <x:v>Источник Test Builds.Offense Gear</x:v>
      </x:c>
    </x:row>
    <x:row r="1935" ht="36" customHeight="1">
      <x:c r="A1935" s="118" t="n">
        <x:v>1930</x:v>
      </x:c>
      <x:c r="B1935" s="35" t="str">
        <x:v>test_build</x:v>
      </x:c>
      <x:c r="C1935" s="35" t="str">
        <x:v>build_gorilla_default</x:v>
      </x:c>
      <x:c r="D1935" s="35" t="str">
        <x:v>defense_gear</x:v>
      </x:c>
      <x:c r="E1935" s="38" t="str">
        <x:v>string</x:v>
      </x:c>
      <x:c r="F1935" s="56" t="str">
        <x:f>'Test Builds'!H14</x:f>
        <x:v>gear_defense_reinforced_hide</x:v>
      </x:c>
      <x:c r="G1935" s="38" t="str"/>
      <x:c r="H1935" s="35" t="str">
        <x:v>Test Builds</x:v>
      </x:c>
      <x:c r="I1935" s="35" t="str">
        <x:v>H14</x:v>
      </x:c>
      <x:c r="J1935" s="85" t="b">
        <x:v>1</x:v>
      </x:c>
      <x:c r="K1935" s="85" t="b">
        <x:v>0</x:v>
      </x:c>
      <x:c r="L1935" s="56" t="str">
        <x:f>'Test Builds'!N14</x:f>
        <x:v>OK</x:v>
      </x:c>
      <x:c r="M1935" s="44" t="str">
        <x:v>Источник Test Builds.Defense Gear</x:v>
      </x:c>
    </x:row>
    <x:row r="1936" ht="36" customHeight="1">
      <x:c r="A1936" s="118" t="n">
        <x:v>1931</x:v>
      </x:c>
      <x:c r="B1936" s="35" t="str">
        <x:v>test_build</x:v>
      </x:c>
      <x:c r="C1936" s="35" t="str">
        <x:v>build_gorilla_default</x:v>
      </x:c>
      <x:c r="D1936" s="35" t="str">
        <x:v>utility_gear</x:v>
      </x:c>
      <x:c r="E1936" s="38" t="str">
        <x:v>string</x:v>
      </x:c>
      <x:c r="F1936" s="56" t="str">
        <x:f>'Test Builds'!I14</x:f>
        <x:v>gear_utility_energy_cell</x:v>
      </x:c>
      <x:c r="G1936" s="38" t="str"/>
      <x:c r="H1936" s="35" t="str">
        <x:v>Test Builds</x:v>
      </x:c>
      <x:c r="I1936" s="35" t="str">
        <x:v>I14</x:v>
      </x:c>
      <x:c r="J1936" s="85" t="b">
        <x:v>1</x:v>
      </x:c>
      <x:c r="K1936" s="85" t="b">
        <x:v>0</x:v>
      </x:c>
      <x:c r="L1936" s="56" t="str">
        <x:f>'Test Builds'!N14</x:f>
        <x:v>OK</x:v>
      </x:c>
      <x:c r="M1936" s="44" t="str">
        <x:v>Источник Test Builds.Utility Gear</x:v>
      </x:c>
    </x:row>
    <x:row r="1937" ht="36" customHeight="1">
      <x:c r="A1937" s="118" t="n">
        <x:v>1932</x:v>
      </x:c>
      <x:c r="B1937" s="35" t="str">
        <x:v>test_build</x:v>
      </x:c>
      <x:c r="C1937" s="35" t="str">
        <x:v>build_gorilla_default</x:v>
      </x:c>
      <x:c r="D1937" s="35" t="str">
        <x:v>tactic_id</x:v>
      </x:c>
      <x:c r="E1937" s="38" t="str">
        <x:v>string</x:v>
      </x:c>
      <x:c r="F1937" s="56" t="str">
        <x:f>'Test Builds'!J14</x:f>
        <x:v>tactic_pressure</x:v>
      </x:c>
      <x:c r="G1937" s="38" t="str"/>
      <x:c r="H1937" s="35" t="str">
        <x:v>Test Builds</x:v>
      </x:c>
      <x:c r="I1937" s="35" t="str">
        <x:v>J14</x:v>
      </x:c>
      <x:c r="J1937" s="85" t="b">
        <x:v>1</x:v>
      </x:c>
      <x:c r="K1937" s="85" t="b">
        <x:v>0</x:v>
      </x:c>
      <x:c r="L1937" s="56" t="str">
        <x:f>'Test Builds'!N14</x:f>
        <x:v>OK</x:v>
      </x:c>
      <x:c r="M1937" s="44" t="str">
        <x:v>Источник Test Builds.Tactic ID</x:v>
      </x:c>
    </x:row>
    <x:row r="1938" ht="36" customHeight="1">
      <x:c r="A1938" s="118" t="n">
        <x:v>1933</x:v>
      </x:c>
      <x:c r="B1938" s="35" t="str">
        <x:v>test_build</x:v>
      </x:c>
      <x:c r="C1938" s="35" t="str">
        <x:v>build_gorilla_anti_heavy</x:v>
      </x:c>
      <x:c r="D1938" s="35" t="str">
        <x:v>build_id</x:v>
      </x:c>
      <x:c r="E1938" s="38" t="str">
        <x:v>string</x:v>
      </x:c>
      <x:c r="F1938" s="56" t="str">
        <x:f>'Test Builds'!A15</x:f>
        <x:v>build_gorilla_anti_heavy</x:v>
      </x:c>
      <x:c r="G1938" s="38" t="str"/>
      <x:c r="H1938" s="35" t="str">
        <x:v>Test Builds</x:v>
      </x:c>
      <x:c r="I1938" s="35" t="str">
        <x:v>A15</x:v>
      </x:c>
      <x:c r="J1938" s="85" t="b">
        <x:v>1</x:v>
      </x:c>
      <x:c r="K1938" s="85" t="b">
        <x:v>0</x:v>
      </x:c>
      <x:c r="L1938" s="56" t="str">
        <x:f>'Test Builds'!N15</x:f>
        <x:v>OK</x:v>
      </x:c>
      <x:c r="M1938" s="44" t="str">
        <x:v>Источник Test Builds.Build ID</x:v>
      </x:c>
    </x:row>
    <x:row r="1939" ht="36" customHeight="1">
      <x:c r="A1939" s="118" t="n">
        <x:v>1934</x:v>
      </x:c>
      <x:c r="B1939" s="35" t="str">
        <x:v>test_build</x:v>
      </x:c>
      <x:c r="C1939" s="35" t="str">
        <x:v>build_gorilla_anti_heavy</x:v>
      </x:c>
      <x:c r="D1939" s="35" t="str">
        <x:v>animal_id</x:v>
      </x:c>
      <x:c r="E1939" s="38" t="str">
        <x:v>string</x:v>
      </x:c>
      <x:c r="F1939" s="56" t="str">
        <x:f>'Test Builds'!C15</x:f>
        <x:v>gorilla</x:v>
      </x:c>
      <x:c r="G1939" s="38" t="str"/>
      <x:c r="H1939" s="35" t="str">
        <x:v>Test Builds</x:v>
      </x:c>
      <x:c r="I1939" s="35" t="str">
        <x:v>C15</x:v>
      </x:c>
      <x:c r="J1939" s="85" t="b">
        <x:v>1</x:v>
      </x:c>
      <x:c r="K1939" s="85" t="b">
        <x:v>0</x:v>
      </x:c>
      <x:c r="L1939" s="56" t="str">
        <x:f>'Test Builds'!N15</x:f>
        <x:v>OK</x:v>
      </x:c>
      <x:c r="M1939" s="44" t="str">
        <x:v>Источник Test Builds.Animal ID</x:v>
      </x:c>
    </x:row>
    <x:row r="1940" ht="36" customHeight="1">
      <x:c r="A1940" s="118" t="n">
        <x:v>1935</x:v>
      </x:c>
      <x:c r="B1940" s="35" t="str">
        <x:v>test_build</x:v>
      </x:c>
      <x:c r="C1940" s="35" t="str">
        <x:v>build_gorilla_anti_heavy</x:v>
      </x:c>
      <x:c r="D1940" s="35" t="str">
        <x:v>special1</x:v>
      </x:c>
      <x:c r="E1940" s="38" t="str">
        <x:v>string</x:v>
      </x:c>
      <x:c r="F1940" s="56" t="str">
        <x:f>'Test Builds'!D15</x:f>
        <x:v>gorilla_pivot_throw</x:v>
      </x:c>
      <x:c r="G1940" s="38" t="str"/>
      <x:c r="H1940" s="35" t="str">
        <x:v>Test Builds</x:v>
      </x:c>
      <x:c r="I1940" s="35" t="str">
        <x:v>D15</x:v>
      </x:c>
      <x:c r="J1940" s="85" t="b">
        <x:v>1</x:v>
      </x:c>
      <x:c r="K1940" s="85" t="b">
        <x:v>0</x:v>
      </x:c>
      <x:c r="L1940" s="56" t="str">
        <x:f>'Test Builds'!N15</x:f>
        <x:v>OK</x:v>
      </x:c>
      <x:c r="M1940" s="44" t="str">
        <x:v>Источник Test Builds.Special 1</x:v>
      </x:c>
    </x:row>
    <x:row r="1941" ht="36" customHeight="1">
      <x:c r="A1941" s="118" t="n">
        <x:v>1936</x:v>
      </x:c>
      <x:c r="B1941" s="35" t="str">
        <x:v>test_build</x:v>
      </x:c>
      <x:c r="C1941" s="35" t="str">
        <x:v>build_gorilla_anti_heavy</x:v>
      </x:c>
      <x:c r="D1941" s="35" t="str">
        <x:v>special2</x:v>
      </x:c>
      <x:c r="E1941" s="38" t="str">
        <x:v>string</x:v>
      </x:c>
      <x:c r="F1941" s="56" t="str">
        <x:f>'Test Builds'!E15</x:f>
        <x:v>gorilla_overhead_pound</x:v>
      </x:c>
      <x:c r="G1941" s="38" t="str"/>
      <x:c r="H1941" s="35" t="str">
        <x:v>Test Builds</x:v>
      </x:c>
      <x:c r="I1941" s="35" t="str">
        <x:v>E15</x:v>
      </x:c>
      <x:c r="J1941" s="85" t="b">
        <x:v>1</x:v>
      </x:c>
      <x:c r="K1941" s="85" t="b">
        <x:v>0</x:v>
      </x:c>
      <x:c r="L1941" s="56" t="str">
        <x:f>'Test Builds'!N15</x:f>
        <x:v>OK</x:v>
      </x:c>
      <x:c r="M1941" s="44" t="str">
        <x:v>Источник Test Builds.Special 2</x:v>
      </x:c>
    </x:row>
    <x:row r="1942" ht="36" customHeight="1">
      <x:c r="A1942" s="118" t="n">
        <x:v>1937</x:v>
      </x:c>
      <x:c r="B1942" s="35" t="str">
        <x:v>test_build</x:v>
      </x:c>
      <x:c r="C1942" s="35" t="str">
        <x:v>build_gorilla_anti_heavy</x:v>
      </x:c>
      <x:c r="D1942" s="35" t="str">
        <x:v>passive</x:v>
      </x:c>
      <x:c r="E1942" s="38" t="str">
        <x:v>string</x:v>
      </x:c>
      <x:c r="F1942" s="56" t="str">
        <x:f>'Test Builds'!F15</x:f>
        <x:v>gorilla_iron_grip</x:v>
      </x:c>
      <x:c r="G1942" s="38" t="str"/>
      <x:c r="H1942" s="35" t="str">
        <x:v>Test Builds</x:v>
      </x:c>
      <x:c r="I1942" s="35" t="str">
        <x:v>F15</x:v>
      </x:c>
      <x:c r="J1942" s="85" t="b">
        <x:v>1</x:v>
      </x:c>
      <x:c r="K1942" s="85" t="b">
        <x:v>0</x:v>
      </x:c>
      <x:c r="L1942" s="56" t="str">
        <x:f>'Test Builds'!N15</x:f>
        <x:v>OK</x:v>
      </x:c>
      <x:c r="M1942" s="44" t="str">
        <x:v>Источник Test Builds.Passive</x:v>
      </x:c>
    </x:row>
    <x:row r="1943" ht="36" customHeight="1">
      <x:c r="A1943" s="118" t="n">
        <x:v>1938</x:v>
      </x:c>
      <x:c r="B1943" s="35" t="str">
        <x:v>test_build</x:v>
      </x:c>
      <x:c r="C1943" s="35" t="str">
        <x:v>build_gorilla_anti_heavy</x:v>
      </x:c>
      <x:c r="D1943" s="35" t="str">
        <x:v>offense_gear</x:v>
      </x:c>
      <x:c r="E1943" s="38" t="str">
        <x:v>string</x:v>
      </x:c>
      <x:c r="F1943" s="56" t="str">
        <x:f>'Test Builds'!G15</x:f>
        <x:v>gear_offense_power_wraps</x:v>
      </x:c>
      <x:c r="G1943" s="38" t="str"/>
      <x:c r="H1943" s="35" t="str">
        <x:v>Test Builds</x:v>
      </x:c>
      <x:c r="I1943" s="35" t="str">
        <x:v>G15</x:v>
      </x:c>
      <x:c r="J1943" s="85" t="b">
        <x:v>1</x:v>
      </x:c>
      <x:c r="K1943" s="85" t="b">
        <x:v>0</x:v>
      </x:c>
      <x:c r="L1943" s="56" t="str">
        <x:f>'Test Builds'!N15</x:f>
        <x:v>OK</x:v>
      </x:c>
      <x:c r="M1943" s="44" t="str">
        <x:v>Источник Test Builds.Offense Gear</x:v>
      </x:c>
    </x:row>
    <x:row r="1944" ht="36" customHeight="1">
      <x:c r="A1944" s="118" t="n">
        <x:v>1939</x:v>
      </x:c>
      <x:c r="B1944" s="35" t="str">
        <x:v>test_build</x:v>
      </x:c>
      <x:c r="C1944" s="35" t="str">
        <x:v>build_gorilla_anti_heavy</x:v>
      </x:c>
      <x:c r="D1944" s="35" t="str">
        <x:v>defense_gear</x:v>
      </x:c>
      <x:c r="E1944" s="38" t="str">
        <x:v>string</x:v>
      </x:c>
      <x:c r="F1944" s="56" t="str">
        <x:f>'Test Builds'!H15</x:f>
        <x:v>gear_defense_control_brace</x:v>
      </x:c>
      <x:c r="G1944" s="38" t="str"/>
      <x:c r="H1944" s="35" t="str">
        <x:v>Test Builds</x:v>
      </x:c>
      <x:c r="I1944" s="35" t="str">
        <x:v>H15</x:v>
      </x:c>
      <x:c r="J1944" s="85" t="b">
        <x:v>1</x:v>
      </x:c>
      <x:c r="K1944" s="85" t="b">
        <x:v>0</x:v>
      </x:c>
      <x:c r="L1944" s="56" t="str">
        <x:f>'Test Builds'!N15</x:f>
        <x:v>OK</x:v>
      </x:c>
      <x:c r="M1944" s="44" t="str">
        <x:v>Источник Test Builds.Defense Gear</x:v>
      </x:c>
    </x:row>
    <x:row r="1945" ht="36" customHeight="1">
      <x:c r="A1945" s="118" t="n">
        <x:v>1940</x:v>
      </x:c>
      <x:c r="B1945" s="35" t="str">
        <x:v>test_build</x:v>
      </x:c>
      <x:c r="C1945" s="35" t="str">
        <x:v>build_gorilla_anti_heavy</x:v>
      </x:c>
      <x:c r="D1945" s="35" t="str">
        <x:v>utility_gear</x:v>
      </x:c>
      <x:c r="E1945" s="38" t="str">
        <x:v>string</x:v>
      </x:c>
      <x:c r="F1945" s="56" t="str">
        <x:f>'Test Builds'!I15</x:f>
        <x:v>gear_utility_quickening_cord</x:v>
      </x:c>
      <x:c r="G1945" s="38" t="str"/>
      <x:c r="H1945" s="35" t="str">
        <x:v>Test Builds</x:v>
      </x:c>
      <x:c r="I1945" s="35" t="str">
        <x:v>I15</x:v>
      </x:c>
      <x:c r="J1945" s="85" t="b">
        <x:v>1</x:v>
      </x:c>
      <x:c r="K1945" s="85" t="b">
        <x:v>0</x:v>
      </x:c>
      <x:c r="L1945" s="56" t="str">
        <x:f>'Test Builds'!N15</x:f>
        <x:v>OK</x:v>
      </x:c>
      <x:c r="M1945" s="44" t="str">
        <x:v>Источник Test Builds.Utility Gear</x:v>
      </x:c>
    </x:row>
    <x:row r="1946" ht="36" customHeight="1">
      <x:c r="A1946" s="118" t="n">
        <x:v>1941</x:v>
      </x:c>
      <x:c r="B1946" s="35" t="str">
        <x:v>test_build</x:v>
      </x:c>
      <x:c r="C1946" s="35" t="str">
        <x:v>build_gorilla_anti_heavy</x:v>
      </x:c>
      <x:c r="D1946" s="35" t="str">
        <x:v>tactic_id</x:v>
      </x:c>
      <x:c r="E1946" s="38" t="str">
        <x:v>string</x:v>
      </x:c>
      <x:c r="F1946" s="56" t="str">
        <x:f>'Test Builds'!J15</x:f>
        <x:v>tactic_counter</x:v>
      </x:c>
      <x:c r="G1946" s="38" t="str"/>
      <x:c r="H1946" s="35" t="str">
        <x:v>Test Builds</x:v>
      </x:c>
      <x:c r="I1946" s="35" t="str">
        <x:v>J15</x:v>
      </x:c>
      <x:c r="J1946" s="85" t="b">
        <x:v>1</x:v>
      </x:c>
      <x:c r="K1946" s="85" t="b">
        <x:v>0</x:v>
      </x:c>
      <x:c r="L1946" s="56" t="str">
        <x:f>'Test Builds'!N15</x:f>
        <x:v>OK</x:v>
      </x:c>
      <x:c r="M1946" s="44" t="str">
        <x:v>Источник Test Builds.Tactic ID</x:v>
      </x:c>
    </x:row>
    <x:row r="1947" ht="36" customHeight="1">
      <x:c r="A1947" s="118" t="n">
        <x:v>1942</x:v>
      </x:c>
      <x:c r="B1947" s="35" t="str">
        <x:v>test_build</x:v>
      </x:c>
      <x:c r="C1947" s="35" t="str">
        <x:v>build_gorilla_wall_pressure</x:v>
      </x:c>
      <x:c r="D1947" s="35" t="str">
        <x:v>build_id</x:v>
      </x:c>
      <x:c r="E1947" s="38" t="str">
        <x:v>string</x:v>
      </x:c>
      <x:c r="F1947" s="56" t="str">
        <x:f>'Test Builds'!A16</x:f>
        <x:v>build_gorilla_wall_pressure</x:v>
      </x:c>
      <x:c r="G1947" s="38" t="str"/>
      <x:c r="H1947" s="35" t="str">
        <x:v>Test Builds</x:v>
      </x:c>
      <x:c r="I1947" s="35" t="str">
        <x:v>A16</x:v>
      </x:c>
      <x:c r="J1947" s="85" t="b">
        <x:v>1</x:v>
      </x:c>
      <x:c r="K1947" s="85" t="b">
        <x:v>0</x:v>
      </x:c>
      <x:c r="L1947" s="56" t="str">
        <x:f>'Test Builds'!N16</x:f>
        <x:v>OK</x:v>
      </x:c>
      <x:c r="M1947" s="44" t="str">
        <x:v>Источник Test Builds.Build ID</x:v>
      </x:c>
    </x:row>
    <x:row r="1948" ht="36" customHeight="1">
      <x:c r="A1948" s="118" t="n">
        <x:v>1943</x:v>
      </x:c>
      <x:c r="B1948" s="35" t="str">
        <x:v>test_build</x:v>
      </x:c>
      <x:c r="C1948" s="35" t="str">
        <x:v>build_gorilla_wall_pressure</x:v>
      </x:c>
      <x:c r="D1948" s="35" t="str">
        <x:v>animal_id</x:v>
      </x:c>
      <x:c r="E1948" s="38" t="str">
        <x:v>string</x:v>
      </x:c>
      <x:c r="F1948" s="56" t="str">
        <x:f>'Test Builds'!C16</x:f>
        <x:v>gorilla</x:v>
      </x:c>
      <x:c r="G1948" s="38" t="str"/>
      <x:c r="H1948" s="35" t="str">
        <x:v>Test Builds</x:v>
      </x:c>
      <x:c r="I1948" s="35" t="str">
        <x:v>C16</x:v>
      </x:c>
      <x:c r="J1948" s="85" t="b">
        <x:v>1</x:v>
      </x:c>
      <x:c r="K1948" s="85" t="b">
        <x:v>0</x:v>
      </x:c>
      <x:c r="L1948" s="56" t="str">
        <x:f>'Test Builds'!N16</x:f>
        <x:v>OK</x:v>
      </x:c>
      <x:c r="M1948" s="44" t="str">
        <x:v>Источник Test Builds.Animal ID</x:v>
      </x:c>
    </x:row>
    <x:row r="1949" ht="36" customHeight="1">
      <x:c r="A1949" s="118" t="n">
        <x:v>1944</x:v>
      </x:c>
      <x:c r="B1949" s="35" t="str">
        <x:v>test_build</x:v>
      </x:c>
      <x:c r="C1949" s="35" t="str">
        <x:v>build_gorilla_wall_pressure</x:v>
      </x:c>
      <x:c r="D1949" s="35" t="str">
        <x:v>special1</x:v>
      </x:c>
      <x:c r="E1949" s="38" t="str">
        <x:v>string</x:v>
      </x:c>
      <x:c r="F1949" s="56" t="str">
        <x:f>'Test Builds'!D16</x:f>
        <x:v>gorilla_pivot_throw</x:v>
      </x:c>
      <x:c r="G1949" s="38" t="str"/>
      <x:c r="H1949" s="35" t="str">
        <x:v>Test Builds</x:v>
      </x:c>
      <x:c r="I1949" s="35" t="str">
        <x:v>D16</x:v>
      </x:c>
      <x:c r="J1949" s="85" t="b">
        <x:v>1</x:v>
      </x:c>
      <x:c r="K1949" s="85" t="b">
        <x:v>0</x:v>
      </x:c>
      <x:c r="L1949" s="56" t="str">
        <x:f>'Test Builds'!N16</x:f>
        <x:v>OK</x:v>
      </x:c>
      <x:c r="M1949" s="44" t="str">
        <x:v>Источник Test Builds.Special 1</x:v>
      </x:c>
    </x:row>
    <x:row r="1950" ht="36" customHeight="1">
      <x:c r="A1950" s="118" t="n">
        <x:v>1945</x:v>
      </x:c>
      <x:c r="B1950" s="35" t="str">
        <x:v>test_build</x:v>
      </x:c>
      <x:c r="C1950" s="35" t="str">
        <x:v>build_gorilla_wall_pressure</x:v>
      </x:c>
      <x:c r="D1950" s="35" t="str">
        <x:v>special2</x:v>
      </x:c>
      <x:c r="E1950" s="38" t="str">
        <x:v>string</x:v>
      </x:c>
      <x:c r="F1950" s="56" t="str">
        <x:f>'Test Builds'!E16</x:f>
        <x:v>gorilla_wall_breaker</x:v>
      </x:c>
      <x:c r="G1950" s="38" t="str"/>
      <x:c r="H1950" s="35" t="str">
        <x:v>Test Builds</x:v>
      </x:c>
      <x:c r="I1950" s="35" t="str">
        <x:v>E16</x:v>
      </x:c>
      <x:c r="J1950" s="85" t="b">
        <x:v>1</x:v>
      </x:c>
      <x:c r="K1950" s="85" t="b">
        <x:v>0</x:v>
      </x:c>
      <x:c r="L1950" s="56" t="str">
        <x:f>'Test Builds'!N16</x:f>
        <x:v>OK</x:v>
      </x:c>
      <x:c r="M1950" s="44" t="str">
        <x:v>Источник Test Builds.Special 2</x:v>
      </x:c>
    </x:row>
    <x:row r="1951" ht="36" customHeight="1">
      <x:c r="A1951" s="118" t="n">
        <x:v>1946</x:v>
      </x:c>
      <x:c r="B1951" s="35" t="str">
        <x:v>test_build</x:v>
      </x:c>
      <x:c r="C1951" s="35" t="str">
        <x:v>build_gorilla_wall_pressure</x:v>
      </x:c>
      <x:c r="D1951" s="35" t="str">
        <x:v>passive</x:v>
      </x:c>
      <x:c r="E1951" s="38" t="str">
        <x:v>string</x:v>
      </x:c>
      <x:c r="F1951" s="56" t="str">
        <x:f>'Test Builds'!F16</x:f>
        <x:v>gorilla_territorial_pressure</x:v>
      </x:c>
      <x:c r="G1951" s="38" t="str"/>
      <x:c r="H1951" s="35" t="str">
        <x:v>Test Builds</x:v>
      </x:c>
      <x:c r="I1951" s="35" t="str">
        <x:v>F16</x:v>
      </x:c>
      <x:c r="J1951" s="85" t="b">
        <x:v>1</x:v>
      </x:c>
      <x:c r="K1951" s="85" t="b">
        <x:v>0</x:v>
      </x:c>
      <x:c r="L1951" s="56" t="str">
        <x:f>'Test Builds'!N16</x:f>
        <x:v>OK</x:v>
      </x:c>
      <x:c r="M1951" s="44" t="str">
        <x:v>Источник Test Builds.Passive</x:v>
      </x:c>
    </x:row>
    <x:row r="1952" ht="36" customHeight="1">
      <x:c r="A1952" s="118" t="n">
        <x:v>1947</x:v>
      </x:c>
      <x:c r="B1952" s="35" t="str">
        <x:v>test_build</x:v>
      </x:c>
      <x:c r="C1952" s="35" t="str">
        <x:v>build_gorilla_wall_pressure</x:v>
      </x:c>
      <x:c r="D1952" s="35" t="str">
        <x:v>offense_gear</x:v>
      </x:c>
      <x:c r="E1952" s="38" t="str">
        <x:v>string</x:v>
      </x:c>
      <x:c r="F1952" s="56" t="str">
        <x:f>'Test Builds'!G16</x:f>
        <x:v>gear_offense_guardbreaker</x:v>
      </x:c>
      <x:c r="G1952" s="38" t="str"/>
      <x:c r="H1952" s="35" t="str">
        <x:v>Test Builds</x:v>
      </x:c>
      <x:c r="I1952" s="35" t="str">
        <x:v>G16</x:v>
      </x:c>
      <x:c r="J1952" s="85" t="b">
        <x:v>1</x:v>
      </x:c>
      <x:c r="K1952" s="85" t="b">
        <x:v>0</x:v>
      </x:c>
      <x:c r="L1952" s="56" t="str">
        <x:f>'Test Builds'!N16</x:f>
        <x:v>OK</x:v>
      </x:c>
      <x:c r="M1952" s="44" t="str">
        <x:v>Источник Test Builds.Offense Gear</x:v>
      </x:c>
    </x:row>
    <x:row r="1953" ht="36" customHeight="1">
      <x:c r="A1953" s="118" t="n">
        <x:v>1948</x:v>
      </x:c>
      <x:c r="B1953" s="35" t="str">
        <x:v>test_build</x:v>
      </x:c>
      <x:c r="C1953" s="35" t="str">
        <x:v>build_gorilla_wall_pressure</x:v>
      </x:c>
      <x:c r="D1953" s="35" t="str">
        <x:v>defense_gear</x:v>
      </x:c>
      <x:c r="E1953" s="38" t="str">
        <x:v>string</x:v>
      </x:c>
      <x:c r="F1953" s="56" t="str">
        <x:f>'Test Builds'!H16</x:f>
        <x:v>gear_defense_vital_harness</x:v>
      </x:c>
      <x:c r="G1953" s="38" t="str"/>
      <x:c r="H1953" s="35" t="str">
        <x:v>Test Builds</x:v>
      </x:c>
      <x:c r="I1953" s="35" t="str">
        <x:v>H16</x:v>
      </x:c>
      <x:c r="J1953" s="85" t="b">
        <x:v>1</x:v>
      </x:c>
      <x:c r="K1953" s="85" t="b">
        <x:v>0</x:v>
      </x:c>
      <x:c r="L1953" s="56" t="str">
        <x:f>'Test Builds'!N16</x:f>
        <x:v>OK</x:v>
      </x:c>
      <x:c r="M1953" s="44" t="str">
        <x:v>Источник Test Builds.Defense Gear</x:v>
      </x:c>
    </x:row>
    <x:row r="1954" ht="36" customHeight="1">
      <x:c r="A1954" s="118" t="n">
        <x:v>1949</x:v>
      </x:c>
      <x:c r="B1954" s="35" t="str">
        <x:v>test_build</x:v>
      </x:c>
      <x:c r="C1954" s="35" t="str">
        <x:v>build_gorilla_wall_pressure</x:v>
      </x:c>
      <x:c r="D1954" s="35" t="str">
        <x:v>utility_gear</x:v>
      </x:c>
      <x:c r="E1954" s="38" t="str">
        <x:v>string</x:v>
      </x:c>
      <x:c r="F1954" s="56" t="str">
        <x:f>'Test Builds'!I16</x:f>
        <x:v>gear_utility_sprint_soles</x:v>
      </x:c>
      <x:c r="G1954" s="38" t="str"/>
      <x:c r="H1954" s="35" t="str">
        <x:v>Test Builds</x:v>
      </x:c>
      <x:c r="I1954" s="35" t="str">
        <x:v>I16</x:v>
      </x:c>
      <x:c r="J1954" s="85" t="b">
        <x:v>1</x:v>
      </x:c>
      <x:c r="K1954" s="85" t="b">
        <x:v>0</x:v>
      </x:c>
      <x:c r="L1954" s="56" t="str">
        <x:f>'Test Builds'!N16</x:f>
        <x:v>OK</x:v>
      </x:c>
      <x:c r="M1954" s="44" t="str">
        <x:v>Источник Test Builds.Utility Gear</x:v>
      </x:c>
    </x:row>
    <x:row r="1955" ht="36" customHeight="1">
      <x:c r="A1955" s="118" t="n">
        <x:v>1950</x:v>
      </x:c>
      <x:c r="B1955" s="35" t="str">
        <x:v>test_build</x:v>
      </x:c>
      <x:c r="C1955" s="35" t="str">
        <x:v>build_gorilla_wall_pressure</x:v>
      </x:c>
      <x:c r="D1955" s="35" t="str">
        <x:v>tactic_id</x:v>
      </x:c>
      <x:c r="E1955" s="38" t="str">
        <x:v>string</x:v>
      </x:c>
      <x:c r="F1955" s="56" t="str">
        <x:f>'Test Builds'!J16</x:f>
        <x:v>tactic_position</x:v>
      </x:c>
      <x:c r="G1955" s="38" t="str"/>
      <x:c r="H1955" s="35" t="str">
        <x:v>Test Builds</x:v>
      </x:c>
      <x:c r="I1955" s="35" t="str">
        <x:v>J16</x:v>
      </x:c>
      <x:c r="J1955" s="85" t="b">
        <x:v>1</x:v>
      </x:c>
      <x:c r="K1955" s="85" t="b">
        <x:v>0</x:v>
      </x:c>
      <x:c r="L1955" s="56" t="str">
        <x:f>'Test Builds'!N16</x:f>
        <x:v>OK</x:v>
      </x:c>
      <x:c r="M1955" s="44" t="str">
        <x:v>Источник Test Builds.Tactic ID</x:v>
      </x:c>
    </x:row>
    <x:row r="1956" ht="36" customHeight="1">
      <x:c r="A1956" s="118" t="n">
        <x:v>1951</x:v>
      </x:c>
      <x:c r="B1956" s="35" t="str">
        <x:v>test_build</x:v>
      </x:c>
      <x:c r="C1956" s="35" t="str">
        <x:v>build_gorilla_signature</x:v>
      </x:c>
      <x:c r="D1956" s="35" t="str">
        <x:v>build_id</x:v>
      </x:c>
      <x:c r="E1956" s="38" t="str">
        <x:v>string</x:v>
      </x:c>
      <x:c r="F1956" s="56" t="str">
        <x:f>'Test Builds'!A17</x:f>
        <x:v>build_gorilla_signature</x:v>
      </x:c>
      <x:c r="G1956" s="38" t="str"/>
      <x:c r="H1956" s="35" t="str">
        <x:v>Test Builds</x:v>
      </x:c>
      <x:c r="I1956" s="35" t="str">
        <x:v>A17</x:v>
      </x:c>
      <x:c r="J1956" s="85" t="b">
        <x:v>1</x:v>
      </x:c>
      <x:c r="K1956" s="85" t="b">
        <x:v>0</x:v>
      </x:c>
      <x:c r="L1956" s="56" t="str">
        <x:f>'Test Builds'!N17</x:f>
        <x:v>OK</x:v>
      </x:c>
      <x:c r="M1956" s="44" t="str">
        <x:v>Источник Test Builds.Build ID</x:v>
      </x:c>
    </x:row>
    <x:row r="1957" ht="36" customHeight="1">
      <x:c r="A1957" s="118" t="n">
        <x:v>1952</x:v>
      </x:c>
      <x:c r="B1957" s="35" t="str">
        <x:v>test_build</x:v>
      </x:c>
      <x:c r="C1957" s="35" t="str">
        <x:v>build_gorilla_signature</x:v>
      </x:c>
      <x:c r="D1957" s="35" t="str">
        <x:v>animal_id</x:v>
      </x:c>
      <x:c r="E1957" s="38" t="str">
        <x:v>string</x:v>
      </x:c>
      <x:c r="F1957" s="56" t="str">
        <x:f>'Test Builds'!C17</x:f>
        <x:v>gorilla</x:v>
      </x:c>
      <x:c r="G1957" s="38" t="str"/>
      <x:c r="H1957" s="35" t="str">
        <x:v>Test Builds</x:v>
      </x:c>
      <x:c r="I1957" s="35" t="str">
        <x:v>C17</x:v>
      </x:c>
      <x:c r="J1957" s="85" t="b">
        <x:v>1</x:v>
      </x:c>
      <x:c r="K1957" s="85" t="b">
        <x:v>0</x:v>
      </x:c>
      <x:c r="L1957" s="56" t="str">
        <x:f>'Test Builds'!N17</x:f>
        <x:v>OK</x:v>
      </x:c>
      <x:c r="M1957" s="44" t="str">
        <x:v>Источник Test Builds.Animal ID</x:v>
      </x:c>
    </x:row>
    <x:row r="1958" ht="36" customHeight="1">
      <x:c r="A1958" s="118" t="n">
        <x:v>1953</x:v>
      </x:c>
      <x:c r="B1958" s="35" t="str">
        <x:v>test_build</x:v>
      </x:c>
      <x:c r="C1958" s="35" t="str">
        <x:v>build_gorilla_signature</x:v>
      </x:c>
      <x:c r="D1958" s="35" t="str">
        <x:v>special1</x:v>
      </x:c>
      <x:c r="E1958" s="38" t="str">
        <x:v>string</x:v>
      </x:c>
      <x:c r="F1958" s="56" t="str">
        <x:f>'Test Builds'!D17</x:f>
        <x:v>gorilla_overhead_pound</x:v>
      </x:c>
      <x:c r="G1958" s="38" t="str"/>
      <x:c r="H1958" s="35" t="str">
        <x:v>Test Builds</x:v>
      </x:c>
      <x:c r="I1958" s="35" t="str">
        <x:v>D17</x:v>
      </x:c>
      <x:c r="J1958" s="85" t="b">
        <x:v>1</x:v>
      </x:c>
      <x:c r="K1958" s="85" t="b">
        <x:v>0</x:v>
      </x:c>
      <x:c r="L1958" s="56" t="str">
        <x:f>'Test Builds'!N17</x:f>
        <x:v>OK</x:v>
      </x:c>
      <x:c r="M1958" s="44" t="str">
        <x:v>Источник Test Builds.Special 1</x:v>
      </x:c>
    </x:row>
    <x:row r="1959" ht="36" customHeight="1">
      <x:c r="A1959" s="118" t="n">
        <x:v>1954</x:v>
      </x:c>
      <x:c r="B1959" s="35" t="str">
        <x:v>test_build</x:v>
      </x:c>
      <x:c r="C1959" s="35" t="str">
        <x:v>build_gorilla_signature</x:v>
      </x:c>
      <x:c r="D1959" s="35" t="str">
        <x:v>special2</x:v>
      </x:c>
      <x:c r="E1959" s="38" t="str">
        <x:v>string</x:v>
      </x:c>
      <x:c r="F1959" s="56" t="str">
        <x:f>'Test Builds'!E17</x:f>
        <x:v>gorilla_wall_breaker</x:v>
      </x:c>
      <x:c r="G1959" s="38" t="str"/>
      <x:c r="H1959" s="35" t="str">
        <x:v>Test Builds</x:v>
      </x:c>
      <x:c r="I1959" s="35" t="str">
        <x:v>E17</x:v>
      </x:c>
      <x:c r="J1959" s="85" t="b">
        <x:v>1</x:v>
      </x:c>
      <x:c r="K1959" s="85" t="b">
        <x:v>0</x:v>
      </x:c>
      <x:c r="L1959" s="56" t="str">
        <x:f>'Test Builds'!N17</x:f>
        <x:v>OK</x:v>
      </x:c>
      <x:c r="M1959" s="44" t="str">
        <x:v>Источник Test Builds.Special 2</x:v>
      </x:c>
    </x:row>
    <x:row r="1960" ht="36" customHeight="1">
      <x:c r="A1960" s="118" t="n">
        <x:v>1955</x:v>
      </x:c>
      <x:c r="B1960" s="35" t="str">
        <x:v>test_build</x:v>
      </x:c>
      <x:c r="C1960" s="35" t="str">
        <x:v>build_gorilla_signature</x:v>
      </x:c>
      <x:c r="D1960" s="35" t="str">
        <x:v>passive</x:v>
      </x:c>
      <x:c r="E1960" s="38" t="str">
        <x:v>string</x:v>
      </x:c>
      <x:c r="F1960" s="56" t="str">
        <x:f>'Test Builds'!F17</x:f>
        <x:v>gorilla_iron_grip</x:v>
      </x:c>
      <x:c r="G1960" s="38" t="str"/>
      <x:c r="H1960" s="35" t="str">
        <x:v>Test Builds</x:v>
      </x:c>
      <x:c r="I1960" s="35" t="str">
        <x:v>F17</x:v>
      </x:c>
      <x:c r="J1960" s="85" t="b">
        <x:v>1</x:v>
      </x:c>
      <x:c r="K1960" s="85" t="b">
        <x:v>0</x:v>
      </x:c>
      <x:c r="L1960" s="56" t="str">
        <x:f>'Test Builds'!N17</x:f>
        <x:v>OK</x:v>
      </x:c>
      <x:c r="M1960" s="44" t="str">
        <x:v>Источник Test Builds.Passive</x:v>
      </x:c>
    </x:row>
    <x:row r="1961" ht="36" customHeight="1">
      <x:c r="A1961" s="118" t="n">
        <x:v>1956</x:v>
      </x:c>
      <x:c r="B1961" s="35" t="str">
        <x:v>test_build</x:v>
      </x:c>
      <x:c r="C1961" s="35" t="str">
        <x:v>build_gorilla_signature</x:v>
      </x:c>
      <x:c r="D1961" s="35" t="str">
        <x:v>offense_gear</x:v>
      </x:c>
      <x:c r="E1961" s="38" t="str">
        <x:v>string</x:v>
      </x:c>
      <x:c r="F1961" s="56" t="str">
        <x:f>'Test Builds'!G17</x:f>
        <x:v>gear_offense_power_wraps</x:v>
      </x:c>
      <x:c r="G1961" s="38" t="str"/>
      <x:c r="H1961" s="35" t="str">
        <x:v>Test Builds</x:v>
      </x:c>
      <x:c r="I1961" s="35" t="str">
        <x:v>G17</x:v>
      </x:c>
      <x:c r="J1961" s="85" t="b">
        <x:v>1</x:v>
      </x:c>
      <x:c r="K1961" s="85" t="b">
        <x:v>0</x:v>
      </x:c>
      <x:c r="L1961" s="56" t="str">
        <x:f>'Test Builds'!N17</x:f>
        <x:v>OK</x:v>
      </x:c>
      <x:c r="M1961" s="44" t="str">
        <x:v>Источник Test Builds.Offense Gear</x:v>
      </x:c>
    </x:row>
    <x:row r="1962" ht="36" customHeight="1">
      <x:c r="A1962" s="118" t="n">
        <x:v>1957</x:v>
      </x:c>
      <x:c r="B1962" s="35" t="str">
        <x:v>test_build</x:v>
      </x:c>
      <x:c r="C1962" s="35" t="str">
        <x:v>build_gorilla_signature</x:v>
      </x:c>
      <x:c r="D1962" s="35" t="str">
        <x:v>defense_gear</x:v>
      </x:c>
      <x:c r="E1962" s="38" t="str">
        <x:v>string</x:v>
      </x:c>
      <x:c r="F1962" s="56" t="str">
        <x:f>'Test Builds'!H17</x:f>
        <x:v>gear_defense_reinforced_hide</x:v>
      </x:c>
      <x:c r="G1962" s="38" t="str"/>
      <x:c r="H1962" s="35" t="str">
        <x:v>Test Builds</x:v>
      </x:c>
      <x:c r="I1962" s="35" t="str">
        <x:v>H17</x:v>
      </x:c>
      <x:c r="J1962" s="85" t="b">
        <x:v>1</x:v>
      </x:c>
      <x:c r="K1962" s="85" t="b">
        <x:v>0</x:v>
      </x:c>
      <x:c r="L1962" s="56" t="str">
        <x:f>'Test Builds'!N17</x:f>
        <x:v>OK</x:v>
      </x:c>
      <x:c r="M1962" s="44" t="str">
        <x:v>Источник Test Builds.Defense Gear</x:v>
      </x:c>
    </x:row>
    <x:row r="1963" ht="36" customHeight="1">
      <x:c r="A1963" s="118" t="n">
        <x:v>1958</x:v>
      </x:c>
      <x:c r="B1963" s="35" t="str">
        <x:v>test_build</x:v>
      </x:c>
      <x:c r="C1963" s="35" t="str">
        <x:v>build_gorilla_signature</x:v>
      </x:c>
      <x:c r="D1963" s="35" t="str">
        <x:v>utility_gear</x:v>
      </x:c>
      <x:c r="E1963" s="38" t="str">
        <x:v>string</x:v>
      </x:c>
      <x:c r="F1963" s="56" t="str">
        <x:f>'Test Builds'!I17</x:f>
        <x:v>gear_utility_energy_cell</x:v>
      </x:c>
      <x:c r="G1963" s="38" t="str"/>
      <x:c r="H1963" s="35" t="str">
        <x:v>Test Builds</x:v>
      </x:c>
      <x:c r="I1963" s="35" t="str">
        <x:v>I17</x:v>
      </x:c>
      <x:c r="J1963" s="85" t="b">
        <x:v>1</x:v>
      </x:c>
      <x:c r="K1963" s="85" t="b">
        <x:v>0</x:v>
      </x:c>
      <x:c r="L1963" s="56" t="str">
        <x:f>'Test Builds'!N17</x:f>
        <x:v>OK</x:v>
      </x:c>
      <x:c r="M1963" s="44" t="str">
        <x:v>Источник Test Builds.Utility Gear</x:v>
      </x:c>
    </x:row>
    <x:row r="1964" ht="36" customHeight="1">
      <x:c r="A1964" s="118" t="n">
        <x:v>1959</x:v>
      </x:c>
      <x:c r="B1964" s="35" t="str">
        <x:v>test_build</x:v>
      </x:c>
      <x:c r="C1964" s="35" t="str">
        <x:v>build_gorilla_signature</x:v>
      </x:c>
      <x:c r="D1964" s="35" t="str">
        <x:v>tactic_id</x:v>
      </x:c>
      <x:c r="E1964" s="38" t="str">
        <x:v>string</x:v>
      </x:c>
      <x:c r="F1964" s="56" t="str">
        <x:f>'Test Builds'!J17</x:f>
        <x:v>tactic_signature</x:v>
      </x:c>
      <x:c r="G1964" s="38" t="str"/>
      <x:c r="H1964" s="35" t="str">
        <x:v>Test Builds</x:v>
      </x:c>
      <x:c r="I1964" s="35" t="str">
        <x:v>J17</x:v>
      </x:c>
      <x:c r="J1964" s="85" t="b">
        <x:v>1</x:v>
      </x:c>
      <x:c r="K1964" s="85" t="b">
        <x:v>0</x:v>
      </x:c>
      <x:c r="L1964" s="56" t="str">
        <x:f>'Test Builds'!N17</x:f>
        <x:v>OK</x:v>
      </x:c>
      <x:c r="M1964" s="44" t="str">
        <x:v>Источник Test Builds.Tactic ID</x:v>
      </x:c>
    </x:row>
    <x:row r="1965" ht="36" customHeight="1">
      <x:c r="A1965" s="118" t="n">
        <x:v>1960</x:v>
      </x:c>
      <x:c r="B1965" s="35" t="str">
        <x:v>matchup_test</x:v>
      </x:c>
      <x:c r="C1965" s="35" t="str">
        <x:v>bear_vs_bear</x:v>
      </x:c>
      <x:c r="D1965" s="35" t="str">
        <x:v>matchup_id</x:v>
      </x:c>
      <x:c r="E1965" s="38" t="str">
        <x:v>string</x:v>
      </x:c>
      <x:c r="F1965" s="56" t="str">
        <x:f>'Expected Matchups'!A6</x:f>
        <x:v>bear_vs_bear</x:v>
      </x:c>
      <x:c r="G1965" s="38" t="str"/>
      <x:c r="H1965" s="35" t="str">
        <x:v>Expected Matchups</x:v>
      </x:c>
      <x:c r="I1965" s="35" t="str">
        <x:v>A6</x:v>
      </x:c>
      <x:c r="J1965" s="85" t="b">
        <x:v>1</x:v>
      </x:c>
      <x:c r="K1965" s="85" t="b">
        <x:v>0</x:v>
      </x:c>
      <x:c r="L1965" s="56" t="str">
        <x:f>'Expected Matchups'!S6</x:f>
        <x:v>OK</x:v>
      </x:c>
      <x:c r="M1965" s="44" t="str">
        <x:v>Источник Expected Matchups.Matchup ID</x:v>
      </x:c>
    </x:row>
    <x:row r="1966" ht="36" customHeight="1">
      <x:c r="A1966" s="118" t="n">
        <x:v>1961</x:v>
      </x:c>
      <x:c r="B1966" s="35" t="str">
        <x:v>matchup_test</x:v>
      </x:c>
      <x:c r="C1966" s="35" t="str">
        <x:v>bear_vs_bear</x:v>
      </x:c>
      <x:c r="D1966" s="35" t="str">
        <x:v>animal_a</x:v>
      </x:c>
      <x:c r="E1966" s="38" t="str">
        <x:v>string</x:v>
      </x:c>
      <x:c r="F1966" s="56" t="str">
        <x:f>'Expected Matchups'!B6</x:f>
        <x:v>bear</x:v>
      </x:c>
      <x:c r="G1966" s="38" t="str"/>
      <x:c r="H1966" s="35" t="str">
        <x:v>Expected Matchups</x:v>
      </x:c>
      <x:c r="I1966" s="35" t="str">
        <x:v>B6</x:v>
      </x:c>
      <x:c r="J1966" s="85" t="b">
        <x:v>1</x:v>
      </x:c>
      <x:c r="K1966" s="85" t="b">
        <x:v>0</x:v>
      </x:c>
      <x:c r="L1966" s="56" t="str">
        <x:f>'Expected Matchups'!S6</x:f>
        <x:v>OK</x:v>
      </x:c>
      <x:c r="M1966" s="44" t="str">
        <x:v>Источник Expected Matchups.Animal A</x:v>
      </x:c>
    </x:row>
    <x:row r="1967" ht="36" customHeight="1">
      <x:c r="A1967" s="118" t="n">
        <x:v>1962</x:v>
      </x:c>
      <x:c r="B1967" s="35" t="str">
        <x:v>matchup_test</x:v>
      </x:c>
      <x:c r="C1967" s="35" t="str">
        <x:v>bear_vs_bear</x:v>
      </x:c>
      <x:c r="D1967" s="35" t="str">
        <x:v>animal_b</x:v>
      </x:c>
      <x:c r="E1967" s="38" t="str">
        <x:v>string</x:v>
      </x:c>
      <x:c r="F1967" s="56" t="str">
        <x:f>'Expected Matchups'!C6</x:f>
        <x:v>bear</x:v>
      </x:c>
      <x:c r="G1967" s="38" t="str"/>
      <x:c r="H1967" s="35" t="str">
        <x:v>Expected Matchups</x:v>
      </x:c>
      <x:c r="I1967" s="35" t="str">
        <x:v>C6</x:v>
      </x:c>
      <x:c r="J1967" s="85" t="b">
        <x:v>1</x:v>
      </x:c>
      <x:c r="K1967" s="85" t="b">
        <x:v>0</x:v>
      </x:c>
      <x:c r="L1967" s="56" t="str">
        <x:f>'Expected Matchups'!S6</x:f>
        <x:v>OK</x:v>
      </x:c>
      <x:c r="M1967" s="44" t="str">
        <x:v>Источник Expected Matchups.Animal B</x:v>
      </x:c>
    </x:row>
    <x:row r="1968" ht="36" customHeight="1">
      <x:c r="A1968" s="118" t="n">
        <x:v>1963</x:v>
      </x:c>
      <x:c r="B1968" s="35" t="str">
        <x:v>matchup_test</x:v>
      </x:c>
      <x:c r="C1968" s="35" t="str">
        <x:v>bear_vs_bear</x:v>
      </x:c>
      <x:c r="D1968" s="35" t="str">
        <x:v>target_win_rate_a</x:v>
      </x:c>
      <x:c r="E1968" s="38" t="str">
        <x:v>number</x:v>
      </x:c>
      <x:c r="F1968" s="56" t="n">
        <x:f>'Expected Matchups'!D6</x:f>
        <x:v>0.5</x:v>
      </x:c>
      <x:c r="G1968" s="38" t="str"/>
      <x:c r="H1968" s="35" t="str">
        <x:v>Expected Matchups</x:v>
      </x:c>
      <x:c r="I1968" s="35" t="str">
        <x:v>D6</x:v>
      </x:c>
      <x:c r="J1968" s="85" t="b">
        <x:v>1</x:v>
      </x:c>
      <x:c r="K1968" s="85" t="b">
        <x:v>0</x:v>
      </x:c>
      <x:c r="L1968" s="56" t="str">
        <x:f>'Expected Matchups'!S6</x:f>
        <x:v>OK</x:v>
      </x:c>
      <x:c r="M1968" s="44" t="str">
        <x:v>Источник Expected Matchups.Target Win Rate A</x:v>
      </x:c>
    </x:row>
    <x:row r="1969" ht="36" customHeight="1">
      <x:c r="A1969" s="118" t="n">
        <x:v>1964</x:v>
      </x:c>
      <x:c r="B1969" s="35" t="str">
        <x:v>matchup_test</x:v>
      </x:c>
      <x:c r="C1969" s="35" t="str">
        <x:v>bear_vs_bear</x:v>
      </x:c>
      <x:c r="D1969" s="35" t="str">
        <x:v>min_win_rate_a</x:v>
      </x:c>
      <x:c r="E1969" s="38" t="str">
        <x:v>number</x:v>
      </x:c>
      <x:c r="F1969" s="56" t="n">
        <x:f>'Expected Matchups'!E6</x:f>
        <x:v>0.47</x:v>
      </x:c>
      <x:c r="G1969" s="38" t="str"/>
      <x:c r="H1969" s="35" t="str">
        <x:v>Expected Matchups</x:v>
      </x:c>
      <x:c r="I1969" s="35" t="str">
        <x:v>E6</x:v>
      </x:c>
      <x:c r="J1969" s="85" t="b">
        <x:v>1</x:v>
      </x:c>
      <x:c r="K1969" s="85" t="b">
        <x:v>0</x:v>
      </x:c>
      <x:c r="L1969" s="56" t="str">
        <x:f>'Expected Matchups'!S6</x:f>
        <x:v>OK</x:v>
      </x:c>
      <x:c r="M1969" s="44" t="str">
        <x:v>Источник Expected Matchups.Min Win Rate A</x:v>
      </x:c>
    </x:row>
    <x:row r="1970" ht="36" customHeight="1">
      <x:c r="A1970" s="118" t="n">
        <x:v>1965</x:v>
      </x:c>
      <x:c r="B1970" s="35" t="str">
        <x:v>matchup_test</x:v>
      </x:c>
      <x:c r="C1970" s="35" t="str">
        <x:v>bear_vs_bear</x:v>
      </x:c>
      <x:c r="D1970" s="35" t="str">
        <x:v>max_win_rate_a</x:v>
      </x:c>
      <x:c r="E1970" s="38" t="str">
        <x:v>number</x:v>
      </x:c>
      <x:c r="F1970" s="56" t="n">
        <x:f>'Expected Matchups'!F6</x:f>
        <x:v>0.53</x:v>
      </x:c>
      <x:c r="G1970" s="38" t="str"/>
      <x:c r="H1970" s="35" t="str">
        <x:v>Expected Matchups</x:v>
      </x:c>
      <x:c r="I1970" s="35" t="str">
        <x:v>F6</x:v>
      </x:c>
      <x:c r="J1970" s="85" t="b">
        <x:v>1</x:v>
      </x:c>
      <x:c r="K1970" s="85" t="b">
        <x:v>0</x:v>
      </x:c>
      <x:c r="L1970" s="56" t="str">
        <x:f>'Expected Matchups'!S6</x:f>
        <x:v>OK</x:v>
      </x:c>
      <x:c r="M1970" s="44" t="str">
        <x:v>Источник Expected Matchups.Max Win Rate A</x:v>
      </x:c>
    </x:row>
    <x:row r="1971" ht="36" customHeight="1">
      <x:c r="A1971" s="118" t="n">
        <x:v>1966</x:v>
      </x:c>
      <x:c r="B1971" s="35" t="str">
        <x:v>matchup_test</x:v>
      </x:c>
      <x:c r="C1971" s="35" t="str">
        <x:v>bear_vs_bear</x:v>
      </x:c>
      <x:c r="D1971" s="35" t="str">
        <x:v>target_draw_rate_max</x:v>
      </x:c>
      <x:c r="E1971" s="38" t="str">
        <x:v>number</x:v>
      </x:c>
      <x:c r="F1971" s="56" t="n">
        <x:f>'Expected Matchups'!G6</x:f>
        <x:v>0.02</x:v>
      </x:c>
      <x:c r="G1971" s="38" t="str"/>
      <x:c r="H1971" s="35" t="str">
        <x:v>Expected Matchups</x:v>
      </x:c>
      <x:c r="I1971" s="35" t="str">
        <x:v>G6</x:v>
      </x:c>
      <x:c r="J1971" s="85" t="b">
        <x:v>1</x:v>
      </x:c>
      <x:c r="K1971" s="85" t="b">
        <x:v>0</x:v>
      </x:c>
      <x:c r="L1971" s="56" t="str">
        <x:f>'Expected Matchups'!S6</x:f>
        <x:v>OK</x:v>
      </x:c>
      <x:c r="M1971" s="44" t="str">
        <x:v>Источник Expected Matchups.Draw Rate Max</x:v>
      </x:c>
    </x:row>
    <x:row r="1972" ht="36" customHeight="1">
      <x:c r="A1972" s="118" t="n">
        <x:v>1967</x:v>
      </x:c>
      <x:c r="B1972" s="35" t="str">
        <x:v>matchup_test</x:v>
      </x:c>
      <x:c r="C1972" s="35" t="str">
        <x:v>bear_vs_bear</x:v>
      </x:c>
      <x:c r="D1972" s="35" t="str">
        <x:v>target_timeout_rate_max</x:v>
      </x:c>
      <x:c r="E1972" s="38" t="str">
        <x:v>number</x:v>
      </x:c>
      <x:c r="F1972" s="56" t="n">
        <x:f>'Expected Matchups'!H6</x:f>
        <x:v>0.02</x:v>
      </x:c>
      <x:c r="G1972" s="38" t="str"/>
      <x:c r="H1972" s="35" t="str">
        <x:v>Expected Matchups</x:v>
      </x:c>
      <x:c r="I1972" s="35" t="str">
        <x:v>H6</x:v>
      </x:c>
      <x:c r="J1972" s="85" t="b">
        <x:v>1</x:v>
      </x:c>
      <x:c r="K1972" s="85" t="b">
        <x:v>0</x:v>
      </x:c>
      <x:c r="L1972" s="56" t="str">
        <x:f>'Expected Matchups'!S6</x:f>
        <x:v>OK</x:v>
      </x:c>
      <x:c r="M1972" s="44" t="str">
        <x:v>Источник Expected Matchups.Timeout Rate Max</x:v>
      </x:c>
    </x:row>
    <x:row r="1973" ht="36" customHeight="1">
      <x:c r="A1973" s="118" t="n">
        <x:v>1968</x:v>
      </x:c>
      <x:c r="B1973" s="35" t="str">
        <x:v>matchup_test</x:v>
      </x:c>
      <x:c r="C1973" s="35" t="str">
        <x:v>bear_vs_bear</x:v>
      </x:c>
      <x:c r="D1973" s="35" t="str">
        <x:v>target_duration_min_sec</x:v>
      </x:c>
      <x:c r="E1973" s="38" t="str">
        <x:v>int</x:v>
      </x:c>
      <x:c r="F1973" s="56" t="n">
        <x:f>'Expected Matchups'!I6</x:f>
        <x:v>35</x:v>
      </x:c>
      <x:c r="G1973" s="38" t="str"/>
      <x:c r="H1973" s="35" t="str">
        <x:v>Expected Matchups</x:v>
      </x:c>
      <x:c r="I1973" s="35" t="str">
        <x:v>I6</x:v>
      </x:c>
      <x:c r="J1973" s="85" t="b">
        <x:v>1</x:v>
      </x:c>
      <x:c r="K1973" s="85" t="b">
        <x:v>0</x:v>
      </x:c>
      <x:c r="L1973" s="56" t="str">
        <x:f>'Expected Matchups'!S6</x:f>
        <x:v>OK</x:v>
      </x:c>
      <x:c r="M1973" s="44" t="str">
        <x:v>Источник Expected Matchups.Duration Min Sec</x:v>
      </x:c>
    </x:row>
    <x:row r="1974" ht="36" customHeight="1">
      <x:c r="A1974" s="118" t="n">
        <x:v>1969</x:v>
      </x:c>
      <x:c r="B1974" s="35" t="str">
        <x:v>matchup_test</x:v>
      </x:c>
      <x:c r="C1974" s="35" t="str">
        <x:v>bear_vs_bear</x:v>
      </x:c>
      <x:c r="D1974" s="35" t="str">
        <x:v>target_duration_max_sec</x:v>
      </x:c>
      <x:c r="E1974" s="38" t="str">
        <x:v>int</x:v>
      </x:c>
      <x:c r="F1974" s="56" t="n">
        <x:f>'Expected Matchups'!J6</x:f>
        <x:v>60</x:v>
      </x:c>
      <x:c r="G1974" s="38" t="str"/>
      <x:c r="H1974" s="35" t="str">
        <x:v>Expected Matchups</x:v>
      </x:c>
      <x:c r="I1974" s="35" t="str">
        <x:v>J6</x:v>
      </x:c>
      <x:c r="J1974" s="85" t="b">
        <x:v>1</x:v>
      </x:c>
      <x:c r="K1974" s="85" t="b">
        <x:v>0</x:v>
      </x:c>
      <x:c r="L1974" s="56" t="str">
        <x:f>'Expected Matchups'!S6</x:f>
        <x:v>OK</x:v>
      </x:c>
      <x:c r="M1974" s="44" t="str">
        <x:v>Источник Expected Matchups.Duration Max Sec</x:v>
      </x:c>
    </x:row>
    <x:row r="1975" ht="36" customHeight="1">
      <x:c r="A1975" s="118" t="n">
        <x:v>1970</x:v>
      </x:c>
      <x:c r="B1975" s="35" t="str">
        <x:v>matchup_test</x:v>
      </x:c>
      <x:c r="C1975" s="35" t="str">
        <x:v>bear_vs_bear</x:v>
      </x:c>
      <x:c r="D1975" s="35" t="str">
        <x:v>target_signature_use_min</x:v>
      </x:c>
      <x:c r="E1975" s="38" t="str">
        <x:v>number</x:v>
      </x:c>
      <x:c r="F1975" s="56" t="n">
        <x:f>'Expected Matchups'!K6</x:f>
        <x:v>0.15</x:v>
      </x:c>
      <x:c r="G1975" s="38" t="str"/>
      <x:c r="H1975" s="35" t="str">
        <x:v>Expected Matchups</x:v>
      </x:c>
      <x:c r="I1975" s="35" t="str">
        <x:v>K6</x:v>
      </x:c>
      <x:c r="J1975" s="85" t="b">
        <x:v>1</x:v>
      </x:c>
      <x:c r="K1975" s="85" t="b">
        <x:v>0</x:v>
      </x:c>
      <x:c r="L1975" s="56" t="str">
        <x:f>'Expected Matchups'!S6</x:f>
        <x:v>OK</x:v>
      </x:c>
      <x:c r="M1975" s="44" t="str">
        <x:v>Источник Expected Matchups.Signature Use Min</x:v>
      </x:c>
    </x:row>
    <x:row r="1976" ht="36" customHeight="1">
      <x:c r="A1976" s="118" t="n">
        <x:v>1971</x:v>
      </x:c>
      <x:c r="B1976" s="35" t="str">
        <x:v>matchup_test</x:v>
      </x:c>
      <x:c r="C1976" s="35" t="str">
        <x:v>bear_vs_bear</x:v>
      </x:c>
      <x:c r="D1976" s="35" t="str">
        <x:v>target_signature_use_max</x:v>
      </x:c>
      <x:c r="E1976" s="38" t="str">
        <x:v>number</x:v>
      </x:c>
      <x:c r="F1976" s="56" t="n">
        <x:f>'Expected Matchups'!L6</x:f>
        <x:v>0.35</x:v>
      </x:c>
      <x:c r="G1976" s="38" t="str"/>
      <x:c r="H1976" s="35" t="str">
        <x:v>Expected Matchups</x:v>
      </x:c>
      <x:c r="I1976" s="35" t="str">
        <x:v>L6</x:v>
      </x:c>
      <x:c r="J1976" s="85" t="b">
        <x:v>1</x:v>
      </x:c>
      <x:c r="K1976" s="85" t="b">
        <x:v>0</x:v>
      </x:c>
      <x:c r="L1976" s="56" t="str">
        <x:f>'Expected Matchups'!S6</x:f>
        <x:v>OK</x:v>
      </x:c>
      <x:c r="M1976" s="44" t="str">
        <x:v>Источник Expected Matchups.Signature Use Max</x:v>
      </x:c>
    </x:row>
    <x:row r="1977" ht="36" customHeight="1">
      <x:c r="A1977" s="118" t="n">
        <x:v>1972</x:v>
      </x:c>
      <x:c r="B1977" s="35" t="str">
        <x:v>matchup_test</x:v>
      </x:c>
      <x:c r="C1977" s="35" t="str">
        <x:v>bear_vs_bear</x:v>
      </x:c>
      <x:c r="D1977" s="35" t="str">
        <x:v>expected_edge</x:v>
      </x:c>
      <x:c r="E1977" s="38" t="str">
        <x:v>string</x:v>
      </x:c>
      <x:c r="F1977" s="56" t="str">
        <x:f>'Expected Matchups'!M6</x:f>
        <x:v>Neutral</x:v>
      </x:c>
      <x:c r="G1977" s="38" t="str"/>
      <x:c r="H1977" s="35" t="str">
        <x:v>Expected Matchups</x:v>
      </x:c>
      <x:c r="I1977" s="35" t="str">
        <x:v>M6</x:v>
      </x:c>
      <x:c r="J1977" s="85" t="b">
        <x:v>1</x:v>
      </x:c>
      <x:c r="K1977" s="85" t="b">
        <x:v>0</x:v>
      </x:c>
      <x:c r="L1977" s="56" t="str">
        <x:f>'Expected Matchups'!S6</x:f>
        <x:v>OK</x:v>
      </x:c>
      <x:c r="M1977" s="44" t="str">
        <x:v>Источник Expected Matchups.Expected Edge</x:v>
      </x:c>
    </x:row>
    <x:row r="1978" ht="36" customHeight="1">
      <x:c r="A1978" s="118" t="n">
        <x:v>1973</x:v>
      </x:c>
      <x:c r="B1978" s="35" t="str">
        <x:v>matchup_test</x:v>
      </x:c>
      <x:c r="C1978" s="35" t="str">
        <x:v>bear_vs_bear</x:v>
      </x:c>
      <x:c r="D1978" s="35" t="str">
        <x:v>control_build_a</x:v>
      </x:c>
      <x:c r="E1978" s="38" t="str">
        <x:v>string</x:v>
      </x:c>
      <x:c r="F1978" s="56" t="str">
        <x:f>'Expected Matchups'!N6</x:f>
        <x:v>build_bear_default</x:v>
      </x:c>
      <x:c r="G1978" s="38" t="str"/>
      <x:c r="H1978" s="35" t="str">
        <x:v>Expected Matchups</x:v>
      </x:c>
      <x:c r="I1978" s="35" t="str">
        <x:v>N6</x:v>
      </x:c>
      <x:c r="J1978" s="85" t="b">
        <x:v>1</x:v>
      </x:c>
      <x:c r="K1978" s="85" t="b">
        <x:v>0</x:v>
      </x:c>
      <x:c r="L1978" s="56" t="str">
        <x:f>'Expected Matchups'!S6</x:f>
        <x:v>OK</x:v>
      </x:c>
      <x:c r="M1978" s="44" t="str">
        <x:v>Источник Expected Matchups.Control Build A</x:v>
      </x:c>
    </x:row>
    <x:row r="1979" ht="36" customHeight="1">
      <x:c r="A1979" s="118" t="n">
        <x:v>1974</x:v>
      </x:c>
      <x:c r="B1979" s="35" t="str">
        <x:v>matchup_test</x:v>
      </x:c>
      <x:c r="C1979" s="35" t="str">
        <x:v>bear_vs_bear</x:v>
      </x:c>
      <x:c r="D1979" s="35" t="str">
        <x:v>control_build_b</x:v>
      </x:c>
      <x:c r="E1979" s="38" t="str">
        <x:v>string</x:v>
      </x:c>
      <x:c r="F1979" s="56" t="str">
        <x:f>'Expected Matchups'!O6</x:f>
        <x:v>build_bear_default</x:v>
      </x:c>
      <x:c r="G1979" s="38" t="str"/>
      <x:c r="H1979" s="35" t="str">
        <x:v>Expected Matchups</x:v>
      </x:c>
      <x:c r="I1979" s="35" t="str">
        <x:v>O6</x:v>
      </x:c>
      <x:c r="J1979" s="85" t="b">
        <x:v>1</x:v>
      </x:c>
      <x:c r="K1979" s="85" t="b">
        <x:v>0</x:v>
      </x:c>
      <x:c r="L1979" s="56" t="str">
        <x:f>'Expected Matchups'!S6</x:f>
        <x:v>OK</x:v>
      </x:c>
      <x:c r="M1979" s="44" t="str">
        <x:v>Источник Expected Matchups.Control Build B</x:v>
      </x:c>
    </x:row>
    <x:row r="1980" ht="36" customHeight="1">
      <x:c r="A1980" s="118" t="n">
        <x:v>1975</x:v>
      </x:c>
      <x:c r="B1980" s="35" t="str">
        <x:v>matchup_test</x:v>
      </x:c>
      <x:c r="C1980" s="35" t="str">
        <x:v>bear_vs_kangaroo</x:v>
      </x:c>
      <x:c r="D1980" s="35" t="str">
        <x:v>matchup_id</x:v>
      </x:c>
      <x:c r="E1980" s="38" t="str">
        <x:v>string</x:v>
      </x:c>
      <x:c r="F1980" s="56" t="str">
        <x:f>'Expected Matchups'!A7</x:f>
        <x:v>bear_vs_kangaroo</x:v>
      </x:c>
      <x:c r="G1980" s="38" t="str"/>
      <x:c r="H1980" s="35" t="str">
        <x:v>Expected Matchups</x:v>
      </x:c>
      <x:c r="I1980" s="35" t="str">
        <x:v>A7</x:v>
      </x:c>
      <x:c r="J1980" s="85" t="b">
        <x:v>1</x:v>
      </x:c>
      <x:c r="K1980" s="85" t="b">
        <x:v>0</x:v>
      </x:c>
      <x:c r="L1980" s="56" t="str">
        <x:f>'Expected Matchups'!S7</x:f>
        <x:v>OK</x:v>
      </x:c>
      <x:c r="M1980" s="44" t="str">
        <x:v>Источник Expected Matchups.Matchup ID</x:v>
      </x:c>
    </x:row>
    <x:row r="1981" ht="36" customHeight="1">
      <x:c r="A1981" s="118" t="n">
        <x:v>1976</x:v>
      </x:c>
      <x:c r="B1981" s="35" t="str">
        <x:v>matchup_test</x:v>
      </x:c>
      <x:c r="C1981" s="35" t="str">
        <x:v>bear_vs_kangaroo</x:v>
      </x:c>
      <x:c r="D1981" s="35" t="str">
        <x:v>animal_a</x:v>
      </x:c>
      <x:c r="E1981" s="38" t="str">
        <x:v>string</x:v>
      </x:c>
      <x:c r="F1981" s="56" t="str">
        <x:f>'Expected Matchups'!B7</x:f>
        <x:v>bear</x:v>
      </x:c>
      <x:c r="G1981" s="38" t="str"/>
      <x:c r="H1981" s="35" t="str">
        <x:v>Expected Matchups</x:v>
      </x:c>
      <x:c r="I1981" s="35" t="str">
        <x:v>B7</x:v>
      </x:c>
      <x:c r="J1981" s="85" t="b">
        <x:v>1</x:v>
      </x:c>
      <x:c r="K1981" s="85" t="b">
        <x:v>0</x:v>
      </x:c>
      <x:c r="L1981" s="56" t="str">
        <x:f>'Expected Matchups'!S7</x:f>
        <x:v>OK</x:v>
      </x:c>
      <x:c r="M1981" s="44" t="str">
        <x:v>Источник Expected Matchups.Animal A</x:v>
      </x:c>
    </x:row>
    <x:row r="1982" ht="36" customHeight="1">
      <x:c r="A1982" s="118" t="n">
        <x:v>1977</x:v>
      </x:c>
      <x:c r="B1982" s="35" t="str">
        <x:v>matchup_test</x:v>
      </x:c>
      <x:c r="C1982" s="35" t="str">
        <x:v>bear_vs_kangaroo</x:v>
      </x:c>
      <x:c r="D1982" s="35" t="str">
        <x:v>animal_b</x:v>
      </x:c>
      <x:c r="E1982" s="38" t="str">
        <x:v>string</x:v>
      </x:c>
      <x:c r="F1982" s="56" t="str">
        <x:f>'Expected Matchups'!C7</x:f>
        <x:v>kangaroo</x:v>
      </x:c>
      <x:c r="G1982" s="38" t="str"/>
      <x:c r="H1982" s="35" t="str">
        <x:v>Expected Matchups</x:v>
      </x:c>
      <x:c r="I1982" s="35" t="str">
        <x:v>C7</x:v>
      </x:c>
      <x:c r="J1982" s="85" t="b">
        <x:v>1</x:v>
      </x:c>
      <x:c r="K1982" s="85" t="b">
        <x:v>0</x:v>
      </x:c>
      <x:c r="L1982" s="56" t="str">
        <x:f>'Expected Matchups'!S7</x:f>
        <x:v>OK</x:v>
      </x:c>
      <x:c r="M1982" s="44" t="str">
        <x:v>Источник Expected Matchups.Animal B</x:v>
      </x:c>
    </x:row>
    <x:row r="1983" ht="36" customHeight="1">
      <x:c r="A1983" s="118" t="n">
        <x:v>1978</x:v>
      </x:c>
      <x:c r="B1983" s="35" t="str">
        <x:v>matchup_test</x:v>
      </x:c>
      <x:c r="C1983" s="35" t="str">
        <x:v>bear_vs_kangaroo</x:v>
      </x:c>
      <x:c r="D1983" s="35" t="str">
        <x:v>target_win_rate_a</x:v>
      </x:c>
      <x:c r="E1983" s="38" t="str">
        <x:v>number</x:v>
      </x:c>
      <x:c r="F1983" s="56" t="n">
        <x:f>'Expected Matchups'!D7</x:f>
        <x:v>0.53</x:v>
      </x:c>
      <x:c r="G1983" s="38" t="str"/>
      <x:c r="H1983" s="35" t="str">
        <x:v>Expected Matchups</x:v>
      </x:c>
      <x:c r="I1983" s="35" t="str">
        <x:v>D7</x:v>
      </x:c>
      <x:c r="J1983" s="85" t="b">
        <x:v>1</x:v>
      </x:c>
      <x:c r="K1983" s="85" t="b">
        <x:v>0</x:v>
      </x:c>
      <x:c r="L1983" s="56" t="str">
        <x:f>'Expected Matchups'!S7</x:f>
        <x:v>OK</x:v>
      </x:c>
      <x:c r="M1983" s="44" t="str">
        <x:v>Источник Expected Matchups.Target Win Rate A</x:v>
      </x:c>
    </x:row>
    <x:row r="1984" ht="36" customHeight="1">
      <x:c r="A1984" s="118" t="n">
        <x:v>1979</x:v>
      </x:c>
      <x:c r="B1984" s="35" t="str">
        <x:v>matchup_test</x:v>
      </x:c>
      <x:c r="C1984" s="35" t="str">
        <x:v>bear_vs_kangaroo</x:v>
      </x:c>
      <x:c r="D1984" s="35" t="str">
        <x:v>min_win_rate_a</x:v>
      </x:c>
      <x:c r="E1984" s="38" t="str">
        <x:v>number</x:v>
      </x:c>
      <x:c r="F1984" s="56" t="n">
        <x:f>'Expected Matchups'!E7</x:f>
        <x:v>0.5</x:v>
      </x:c>
      <x:c r="G1984" s="38" t="str"/>
      <x:c r="H1984" s="35" t="str">
        <x:v>Expected Matchups</x:v>
      </x:c>
      <x:c r="I1984" s="35" t="str">
        <x:v>E7</x:v>
      </x:c>
      <x:c r="J1984" s="85" t="b">
        <x:v>1</x:v>
      </x:c>
      <x:c r="K1984" s="85" t="b">
        <x:v>0</x:v>
      </x:c>
      <x:c r="L1984" s="56" t="str">
        <x:f>'Expected Matchups'!S7</x:f>
        <x:v>OK</x:v>
      </x:c>
      <x:c r="M1984" s="44" t="str">
        <x:v>Источник Expected Matchups.Min Win Rate A</x:v>
      </x:c>
    </x:row>
    <x:row r="1985" ht="36" customHeight="1">
      <x:c r="A1985" s="118" t="n">
        <x:v>1980</x:v>
      </x:c>
      <x:c r="B1985" s="35" t="str">
        <x:v>matchup_test</x:v>
      </x:c>
      <x:c r="C1985" s="35" t="str">
        <x:v>bear_vs_kangaroo</x:v>
      </x:c>
      <x:c r="D1985" s="35" t="str">
        <x:v>max_win_rate_a</x:v>
      </x:c>
      <x:c r="E1985" s="38" t="str">
        <x:v>number</x:v>
      </x:c>
      <x:c r="F1985" s="56" t="n">
        <x:f>'Expected Matchups'!F7</x:f>
        <x:v>0.56</x:v>
      </x:c>
      <x:c r="G1985" s="38" t="str"/>
      <x:c r="H1985" s="35" t="str">
        <x:v>Expected Matchups</x:v>
      </x:c>
      <x:c r="I1985" s="35" t="str">
        <x:v>F7</x:v>
      </x:c>
      <x:c r="J1985" s="85" t="b">
        <x:v>1</x:v>
      </x:c>
      <x:c r="K1985" s="85" t="b">
        <x:v>0</x:v>
      </x:c>
      <x:c r="L1985" s="56" t="str">
        <x:f>'Expected Matchups'!S7</x:f>
        <x:v>OK</x:v>
      </x:c>
      <x:c r="M1985" s="44" t="str">
        <x:v>Источник Expected Matchups.Max Win Rate A</x:v>
      </x:c>
    </x:row>
    <x:row r="1986" ht="36" customHeight="1">
      <x:c r="A1986" s="118" t="n">
        <x:v>1981</x:v>
      </x:c>
      <x:c r="B1986" s="35" t="str">
        <x:v>matchup_test</x:v>
      </x:c>
      <x:c r="C1986" s="35" t="str">
        <x:v>bear_vs_kangaroo</x:v>
      </x:c>
      <x:c r="D1986" s="35" t="str">
        <x:v>target_draw_rate_max</x:v>
      </x:c>
      <x:c r="E1986" s="38" t="str">
        <x:v>number</x:v>
      </x:c>
      <x:c r="F1986" s="56" t="n">
        <x:f>'Expected Matchups'!G7</x:f>
        <x:v>0.02</x:v>
      </x:c>
      <x:c r="G1986" s="38" t="str"/>
      <x:c r="H1986" s="35" t="str">
        <x:v>Expected Matchups</x:v>
      </x:c>
      <x:c r="I1986" s="35" t="str">
        <x:v>G7</x:v>
      </x:c>
      <x:c r="J1986" s="85" t="b">
        <x:v>1</x:v>
      </x:c>
      <x:c r="K1986" s="85" t="b">
        <x:v>0</x:v>
      </x:c>
      <x:c r="L1986" s="56" t="str">
        <x:f>'Expected Matchups'!S7</x:f>
        <x:v>OK</x:v>
      </x:c>
      <x:c r="M1986" s="44" t="str">
        <x:v>Источник Expected Matchups.Draw Rate Max</x:v>
      </x:c>
    </x:row>
    <x:row r="1987" ht="36" customHeight="1">
      <x:c r="A1987" s="118" t="n">
        <x:v>1982</x:v>
      </x:c>
      <x:c r="B1987" s="35" t="str">
        <x:v>matchup_test</x:v>
      </x:c>
      <x:c r="C1987" s="35" t="str">
        <x:v>bear_vs_kangaroo</x:v>
      </x:c>
      <x:c r="D1987" s="35" t="str">
        <x:v>target_timeout_rate_max</x:v>
      </x:c>
      <x:c r="E1987" s="38" t="str">
        <x:v>number</x:v>
      </x:c>
      <x:c r="F1987" s="56" t="n">
        <x:f>'Expected Matchups'!H7</x:f>
        <x:v>0.02</x:v>
      </x:c>
      <x:c r="G1987" s="38" t="str"/>
      <x:c r="H1987" s="35" t="str">
        <x:v>Expected Matchups</x:v>
      </x:c>
      <x:c r="I1987" s="35" t="str">
        <x:v>H7</x:v>
      </x:c>
      <x:c r="J1987" s="85" t="b">
        <x:v>1</x:v>
      </x:c>
      <x:c r="K1987" s="85" t="b">
        <x:v>0</x:v>
      </x:c>
      <x:c r="L1987" s="56" t="str">
        <x:f>'Expected Matchups'!S7</x:f>
        <x:v>OK</x:v>
      </x:c>
      <x:c r="M1987" s="44" t="str">
        <x:v>Источник Expected Matchups.Timeout Rate Max</x:v>
      </x:c>
    </x:row>
    <x:row r="1988" ht="36" customHeight="1">
      <x:c r="A1988" s="118" t="n">
        <x:v>1983</x:v>
      </x:c>
      <x:c r="B1988" s="35" t="str">
        <x:v>matchup_test</x:v>
      </x:c>
      <x:c r="C1988" s="35" t="str">
        <x:v>bear_vs_kangaroo</x:v>
      </x:c>
      <x:c r="D1988" s="35" t="str">
        <x:v>target_duration_min_sec</x:v>
      </x:c>
      <x:c r="E1988" s="38" t="str">
        <x:v>int</x:v>
      </x:c>
      <x:c r="F1988" s="56" t="n">
        <x:f>'Expected Matchups'!I7</x:f>
        <x:v>35</x:v>
      </x:c>
      <x:c r="G1988" s="38" t="str"/>
      <x:c r="H1988" s="35" t="str">
        <x:v>Expected Matchups</x:v>
      </x:c>
      <x:c r="I1988" s="35" t="str">
        <x:v>I7</x:v>
      </x:c>
      <x:c r="J1988" s="85" t="b">
        <x:v>1</x:v>
      </x:c>
      <x:c r="K1988" s="85" t="b">
        <x:v>0</x:v>
      </x:c>
      <x:c r="L1988" s="56" t="str">
        <x:f>'Expected Matchups'!S7</x:f>
        <x:v>OK</x:v>
      </x:c>
      <x:c r="M1988" s="44" t="str">
        <x:v>Источник Expected Matchups.Duration Min Sec</x:v>
      </x:c>
    </x:row>
    <x:row r="1989" ht="36" customHeight="1">
      <x:c r="A1989" s="118" t="n">
        <x:v>1984</x:v>
      </x:c>
      <x:c r="B1989" s="35" t="str">
        <x:v>matchup_test</x:v>
      </x:c>
      <x:c r="C1989" s="35" t="str">
        <x:v>bear_vs_kangaroo</x:v>
      </x:c>
      <x:c r="D1989" s="35" t="str">
        <x:v>target_duration_max_sec</x:v>
      </x:c>
      <x:c r="E1989" s="38" t="str">
        <x:v>int</x:v>
      </x:c>
      <x:c r="F1989" s="56" t="n">
        <x:f>'Expected Matchups'!J7</x:f>
        <x:v>60</x:v>
      </x:c>
      <x:c r="G1989" s="38" t="str"/>
      <x:c r="H1989" s="35" t="str">
        <x:v>Expected Matchups</x:v>
      </x:c>
      <x:c r="I1989" s="35" t="str">
        <x:v>J7</x:v>
      </x:c>
      <x:c r="J1989" s="85" t="b">
        <x:v>1</x:v>
      </x:c>
      <x:c r="K1989" s="85" t="b">
        <x:v>0</x:v>
      </x:c>
      <x:c r="L1989" s="56" t="str">
        <x:f>'Expected Matchups'!S7</x:f>
        <x:v>OK</x:v>
      </x:c>
      <x:c r="M1989" s="44" t="str">
        <x:v>Источник Expected Matchups.Duration Max Sec</x:v>
      </x:c>
    </x:row>
    <x:row r="1990" ht="36" customHeight="1">
      <x:c r="A1990" s="118" t="n">
        <x:v>1985</x:v>
      </x:c>
      <x:c r="B1990" s="35" t="str">
        <x:v>matchup_test</x:v>
      </x:c>
      <x:c r="C1990" s="35" t="str">
        <x:v>bear_vs_kangaroo</x:v>
      </x:c>
      <x:c r="D1990" s="35" t="str">
        <x:v>target_signature_use_min</x:v>
      </x:c>
      <x:c r="E1990" s="38" t="str">
        <x:v>number</x:v>
      </x:c>
      <x:c r="F1990" s="56" t="n">
        <x:f>'Expected Matchups'!K7</x:f>
        <x:v>0.15</x:v>
      </x:c>
      <x:c r="G1990" s="38" t="str"/>
      <x:c r="H1990" s="35" t="str">
        <x:v>Expected Matchups</x:v>
      </x:c>
      <x:c r="I1990" s="35" t="str">
        <x:v>K7</x:v>
      </x:c>
      <x:c r="J1990" s="85" t="b">
        <x:v>1</x:v>
      </x:c>
      <x:c r="K1990" s="85" t="b">
        <x:v>0</x:v>
      </x:c>
      <x:c r="L1990" s="56" t="str">
        <x:f>'Expected Matchups'!S7</x:f>
        <x:v>OK</x:v>
      </x:c>
      <x:c r="M1990" s="44" t="str">
        <x:v>Источник Expected Matchups.Signature Use Min</x:v>
      </x:c>
    </x:row>
    <x:row r="1991" ht="36" customHeight="1">
      <x:c r="A1991" s="118" t="n">
        <x:v>1986</x:v>
      </x:c>
      <x:c r="B1991" s="35" t="str">
        <x:v>matchup_test</x:v>
      </x:c>
      <x:c r="C1991" s="35" t="str">
        <x:v>bear_vs_kangaroo</x:v>
      </x:c>
      <x:c r="D1991" s="35" t="str">
        <x:v>target_signature_use_max</x:v>
      </x:c>
      <x:c r="E1991" s="38" t="str">
        <x:v>number</x:v>
      </x:c>
      <x:c r="F1991" s="56" t="n">
        <x:f>'Expected Matchups'!L7</x:f>
        <x:v>0.35</x:v>
      </x:c>
      <x:c r="G1991" s="38" t="str"/>
      <x:c r="H1991" s="35" t="str">
        <x:v>Expected Matchups</x:v>
      </x:c>
      <x:c r="I1991" s="35" t="str">
        <x:v>L7</x:v>
      </x:c>
      <x:c r="J1991" s="85" t="b">
        <x:v>1</x:v>
      </x:c>
      <x:c r="K1991" s="85" t="b">
        <x:v>0</x:v>
      </x:c>
      <x:c r="L1991" s="56" t="str">
        <x:f>'Expected Matchups'!S7</x:f>
        <x:v>OK</x:v>
      </x:c>
      <x:c r="M1991" s="44" t="str">
        <x:v>Источник Expected Matchups.Signature Use Max</x:v>
      </x:c>
    </x:row>
    <x:row r="1992" ht="36" customHeight="1">
      <x:c r="A1992" s="118" t="n">
        <x:v>1987</x:v>
      </x:c>
      <x:c r="B1992" s="35" t="str">
        <x:v>matchup_test</x:v>
      </x:c>
      <x:c r="C1992" s="35" t="str">
        <x:v>bear_vs_kangaroo</x:v>
      </x:c>
      <x:c r="D1992" s="35" t="str">
        <x:v>expected_edge</x:v>
      </x:c>
      <x:c r="E1992" s="38" t="str">
        <x:v>string</x:v>
      </x:c>
      <x:c r="F1992" s="56" t="str">
        <x:f>'Expected Matchups'!M7</x:f>
        <x:v>Small A edge</x:v>
      </x:c>
      <x:c r="G1992" s="38" t="str"/>
      <x:c r="H1992" s="35" t="str">
        <x:v>Expected Matchups</x:v>
      </x:c>
      <x:c r="I1992" s="35" t="str">
        <x:v>M7</x:v>
      </x:c>
      <x:c r="J1992" s="85" t="b">
        <x:v>1</x:v>
      </x:c>
      <x:c r="K1992" s="85" t="b">
        <x:v>0</x:v>
      </x:c>
      <x:c r="L1992" s="56" t="str">
        <x:f>'Expected Matchups'!S7</x:f>
        <x:v>OK</x:v>
      </x:c>
      <x:c r="M1992" s="44" t="str">
        <x:v>Источник Expected Matchups.Expected Edge</x:v>
      </x:c>
    </x:row>
    <x:row r="1993" ht="36" customHeight="1">
      <x:c r="A1993" s="118" t="n">
        <x:v>1988</x:v>
      </x:c>
      <x:c r="B1993" s="35" t="str">
        <x:v>matchup_test</x:v>
      </x:c>
      <x:c r="C1993" s="35" t="str">
        <x:v>bear_vs_kangaroo</x:v>
      </x:c>
      <x:c r="D1993" s="35" t="str">
        <x:v>control_build_a</x:v>
      </x:c>
      <x:c r="E1993" s="38" t="str">
        <x:v>string</x:v>
      </x:c>
      <x:c r="F1993" s="56" t="str">
        <x:f>'Expected Matchups'!N7</x:f>
        <x:v>build_bear_default</x:v>
      </x:c>
      <x:c r="G1993" s="38" t="str"/>
      <x:c r="H1993" s="35" t="str">
        <x:v>Expected Matchups</x:v>
      </x:c>
      <x:c r="I1993" s="35" t="str">
        <x:v>N7</x:v>
      </x:c>
      <x:c r="J1993" s="85" t="b">
        <x:v>1</x:v>
      </x:c>
      <x:c r="K1993" s="85" t="b">
        <x:v>0</x:v>
      </x:c>
      <x:c r="L1993" s="56" t="str">
        <x:f>'Expected Matchups'!S7</x:f>
        <x:v>OK</x:v>
      </x:c>
      <x:c r="M1993" s="44" t="str">
        <x:v>Источник Expected Matchups.Control Build A</x:v>
      </x:c>
    </x:row>
    <x:row r="1994" ht="36" customHeight="1">
      <x:c r="A1994" s="118" t="n">
        <x:v>1989</x:v>
      </x:c>
      <x:c r="B1994" s="35" t="str">
        <x:v>matchup_test</x:v>
      </x:c>
      <x:c r="C1994" s="35" t="str">
        <x:v>bear_vs_kangaroo</x:v>
      </x:c>
      <x:c r="D1994" s="35" t="str">
        <x:v>control_build_b</x:v>
      </x:c>
      <x:c r="E1994" s="38" t="str">
        <x:v>string</x:v>
      </x:c>
      <x:c r="F1994" s="56" t="str">
        <x:f>'Expected Matchups'!O7</x:f>
        <x:v>build_kangaroo_default</x:v>
      </x:c>
      <x:c r="G1994" s="38" t="str"/>
      <x:c r="H1994" s="35" t="str">
        <x:v>Expected Matchups</x:v>
      </x:c>
      <x:c r="I1994" s="35" t="str">
        <x:v>O7</x:v>
      </x:c>
      <x:c r="J1994" s="85" t="b">
        <x:v>1</x:v>
      </x:c>
      <x:c r="K1994" s="85" t="b">
        <x:v>0</x:v>
      </x:c>
      <x:c r="L1994" s="56" t="str">
        <x:f>'Expected Matchups'!S7</x:f>
        <x:v>OK</x:v>
      </x:c>
      <x:c r="M1994" s="44" t="str">
        <x:v>Источник Expected Matchups.Control Build B</x:v>
      </x:c>
    </x:row>
    <x:row r="1995" ht="36" customHeight="1">
      <x:c r="A1995" s="118" t="n">
        <x:v>1990</x:v>
      </x:c>
      <x:c r="B1995" s="35" t="str">
        <x:v>matchup_test</x:v>
      </x:c>
      <x:c r="C1995" s="35" t="str">
        <x:v>bear_vs_gorilla</x:v>
      </x:c>
      <x:c r="D1995" s="35" t="str">
        <x:v>matchup_id</x:v>
      </x:c>
      <x:c r="E1995" s="38" t="str">
        <x:v>string</x:v>
      </x:c>
      <x:c r="F1995" s="56" t="str">
        <x:f>'Expected Matchups'!A8</x:f>
        <x:v>bear_vs_gorilla</x:v>
      </x:c>
      <x:c r="G1995" s="38" t="str"/>
      <x:c r="H1995" s="35" t="str">
        <x:v>Expected Matchups</x:v>
      </x:c>
      <x:c r="I1995" s="35" t="str">
        <x:v>A8</x:v>
      </x:c>
      <x:c r="J1995" s="85" t="b">
        <x:v>1</x:v>
      </x:c>
      <x:c r="K1995" s="85" t="b">
        <x:v>0</x:v>
      </x:c>
      <x:c r="L1995" s="56" t="str">
        <x:f>'Expected Matchups'!S8</x:f>
        <x:v>OK</x:v>
      </x:c>
      <x:c r="M1995" s="44" t="str">
        <x:v>Источник Expected Matchups.Matchup ID</x:v>
      </x:c>
    </x:row>
    <x:row r="1996" ht="36" customHeight="1">
      <x:c r="A1996" s="118" t="n">
        <x:v>1991</x:v>
      </x:c>
      <x:c r="B1996" s="35" t="str">
        <x:v>matchup_test</x:v>
      </x:c>
      <x:c r="C1996" s="35" t="str">
        <x:v>bear_vs_gorilla</x:v>
      </x:c>
      <x:c r="D1996" s="35" t="str">
        <x:v>animal_a</x:v>
      </x:c>
      <x:c r="E1996" s="38" t="str">
        <x:v>string</x:v>
      </x:c>
      <x:c r="F1996" s="56" t="str">
        <x:f>'Expected Matchups'!B8</x:f>
        <x:v>bear</x:v>
      </x:c>
      <x:c r="G1996" s="38" t="str"/>
      <x:c r="H1996" s="35" t="str">
        <x:v>Expected Matchups</x:v>
      </x:c>
      <x:c r="I1996" s="35" t="str">
        <x:v>B8</x:v>
      </x:c>
      <x:c r="J1996" s="85" t="b">
        <x:v>1</x:v>
      </x:c>
      <x:c r="K1996" s="85" t="b">
        <x:v>0</x:v>
      </x:c>
      <x:c r="L1996" s="56" t="str">
        <x:f>'Expected Matchups'!S8</x:f>
        <x:v>OK</x:v>
      </x:c>
      <x:c r="M1996" s="44" t="str">
        <x:v>Источник Expected Matchups.Animal A</x:v>
      </x:c>
    </x:row>
    <x:row r="1997" ht="36" customHeight="1">
      <x:c r="A1997" s="118" t="n">
        <x:v>1992</x:v>
      </x:c>
      <x:c r="B1997" s="35" t="str">
        <x:v>matchup_test</x:v>
      </x:c>
      <x:c r="C1997" s="35" t="str">
        <x:v>bear_vs_gorilla</x:v>
      </x:c>
      <x:c r="D1997" s="35" t="str">
        <x:v>animal_b</x:v>
      </x:c>
      <x:c r="E1997" s="38" t="str">
        <x:v>string</x:v>
      </x:c>
      <x:c r="F1997" s="56" t="str">
        <x:f>'Expected Matchups'!C8</x:f>
        <x:v>gorilla</x:v>
      </x:c>
      <x:c r="G1997" s="38" t="str"/>
      <x:c r="H1997" s="35" t="str">
        <x:v>Expected Matchups</x:v>
      </x:c>
      <x:c r="I1997" s="35" t="str">
        <x:v>C8</x:v>
      </x:c>
      <x:c r="J1997" s="85" t="b">
        <x:v>1</x:v>
      </x:c>
      <x:c r="K1997" s="85" t="b">
        <x:v>0</x:v>
      </x:c>
      <x:c r="L1997" s="56" t="str">
        <x:f>'Expected Matchups'!S8</x:f>
        <x:v>OK</x:v>
      </x:c>
      <x:c r="M1997" s="44" t="str">
        <x:v>Источник Expected Matchups.Animal B</x:v>
      </x:c>
    </x:row>
    <x:row r="1998" ht="36" customHeight="1">
      <x:c r="A1998" s="118" t="n">
        <x:v>1993</x:v>
      </x:c>
      <x:c r="B1998" s="35" t="str">
        <x:v>matchup_test</x:v>
      </x:c>
      <x:c r="C1998" s="35" t="str">
        <x:v>bear_vs_gorilla</x:v>
      </x:c>
      <x:c r="D1998" s="35" t="str">
        <x:v>target_win_rate_a</x:v>
      </x:c>
      <x:c r="E1998" s="38" t="str">
        <x:v>number</x:v>
      </x:c>
      <x:c r="F1998" s="56" t="n">
        <x:f>'Expected Matchups'!D8</x:f>
        <x:v>0.47</x:v>
      </x:c>
      <x:c r="G1998" s="38" t="str"/>
      <x:c r="H1998" s="35" t="str">
        <x:v>Expected Matchups</x:v>
      </x:c>
      <x:c r="I1998" s="35" t="str">
        <x:v>D8</x:v>
      </x:c>
      <x:c r="J1998" s="85" t="b">
        <x:v>1</x:v>
      </x:c>
      <x:c r="K1998" s="85" t="b">
        <x:v>0</x:v>
      </x:c>
      <x:c r="L1998" s="56" t="str">
        <x:f>'Expected Matchups'!S8</x:f>
        <x:v>OK</x:v>
      </x:c>
      <x:c r="M1998" s="44" t="str">
        <x:v>Источник Expected Matchups.Target Win Rate A</x:v>
      </x:c>
    </x:row>
    <x:row r="1999" ht="36" customHeight="1">
      <x:c r="A1999" s="118" t="n">
        <x:v>1994</x:v>
      </x:c>
      <x:c r="B1999" s="35" t="str">
        <x:v>matchup_test</x:v>
      </x:c>
      <x:c r="C1999" s="35" t="str">
        <x:v>bear_vs_gorilla</x:v>
      </x:c>
      <x:c r="D1999" s="35" t="str">
        <x:v>min_win_rate_a</x:v>
      </x:c>
      <x:c r="E1999" s="38" t="str">
        <x:v>number</x:v>
      </x:c>
      <x:c r="F1999" s="56" t="n">
        <x:f>'Expected Matchups'!E8</x:f>
        <x:v>0.44</x:v>
      </x:c>
      <x:c r="G1999" s="38" t="str"/>
      <x:c r="H1999" s="35" t="str">
        <x:v>Expected Matchups</x:v>
      </x:c>
      <x:c r="I1999" s="35" t="str">
        <x:v>E8</x:v>
      </x:c>
      <x:c r="J1999" s="85" t="b">
        <x:v>1</x:v>
      </x:c>
      <x:c r="K1999" s="85" t="b">
        <x:v>0</x:v>
      </x:c>
      <x:c r="L1999" s="56" t="str">
        <x:f>'Expected Matchups'!S8</x:f>
        <x:v>OK</x:v>
      </x:c>
      <x:c r="M1999" s="44" t="str">
        <x:v>Источник Expected Matchups.Min Win Rate A</x:v>
      </x:c>
    </x:row>
    <x:row r="2000" ht="36" customHeight="1">
      <x:c r="A2000" s="118" t="n">
        <x:v>1995</x:v>
      </x:c>
      <x:c r="B2000" s="35" t="str">
        <x:v>matchup_test</x:v>
      </x:c>
      <x:c r="C2000" s="35" t="str">
        <x:v>bear_vs_gorilla</x:v>
      </x:c>
      <x:c r="D2000" s="35" t="str">
        <x:v>max_win_rate_a</x:v>
      </x:c>
      <x:c r="E2000" s="38" t="str">
        <x:v>number</x:v>
      </x:c>
      <x:c r="F2000" s="56" t="n">
        <x:f>'Expected Matchups'!F8</x:f>
        <x:v>0.5</x:v>
      </x:c>
      <x:c r="G2000" s="38" t="str"/>
      <x:c r="H2000" s="35" t="str">
        <x:v>Expected Matchups</x:v>
      </x:c>
      <x:c r="I2000" s="35" t="str">
        <x:v>F8</x:v>
      </x:c>
      <x:c r="J2000" s="85" t="b">
        <x:v>1</x:v>
      </x:c>
      <x:c r="K2000" s="85" t="b">
        <x:v>0</x:v>
      </x:c>
      <x:c r="L2000" s="56" t="str">
        <x:f>'Expected Matchups'!S8</x:f>
        <x:v>OK</x:v>
      </x:c>
      <x:c r="M2000" s="44" t="str">
        <x:v>Источник Expected Matchups.Max Win Rate A</x:v>
      </x:c>
    </x:row>
    <x:row r="2001" ht="36" customHeight="1">
      <x:c r="A2001" s="118" t="n">
        <x:v>1996</x:v>
      </x:c>
      <x:c r="B2001" s="35" t="str">
        <x:v>matchup_test</x:v>
      </x:c>
      <x:c r="C2001" s="35" t="str">
        <x:v>bear_vs_gorilla</x:v>
      </x:c>
      <x:c r="D2001" s="35" t="str">
        <x:v>target_draw_rate_max</x:v>
      </x:c>
      <x:c r="E2001" s="38" t="str">
        <x:v>number</x:v>
      </x:c>
      <x:c r="F2001" s="56" t="n">
        <x:f>'Expected Matchups'!G8</x:f>
        <x:v>0.02</x:v>
      </x:c>
      <x:c r="G2001" s="38" t="str"/>
      <x:c r="H2001" s="35" t="str">
        <x:v>Expected Matchups</x:v>
      </x:c>
      <x:c r="I2001" s="35" t="str">
        <x:v>G8</x:v>
      </x:c>
      <x:c r="J2001" s="85" t="b">
        <x:v>1</x:v>
      </x:c>
      <x:c r="K2001" s="85" t="b">
        <x:v>0</x:v>
      </x:c>
      <x:c r="L2001" s="56" t="str">
        <x:f>'Expected Matchups'!S8</x:f>
        <x:v>OK</x:v>
      </x:c>
      <x:c r="M2001" s="44" t="str">
        <x:v>Источник Expected Matchups.Draw Rate Max</x:v>
      </x:c>
    </x:row>
    <x:row r="2002" ht="36" customHeight="1">
      <x:c r="A2002" s="118" t="n">
        <x:v>1997</x:v>
      </x:c>
      <x:c r="B2002" s="35" t="str">
        <x:v>matchup_test</x:v>
      </x:c>
      <x:c r="C2002" s="35" t="str">
        <x:v>bear_vs_gorilla</x:v>
      </x:c>
      <x:c r="D2002" s="35" t="str">
        <x:v>target_timeout_rate_max</x:v>
      </x:c>
      <x:c r="E2002" s="38" t="str">
        <x:v>number</x:v>
      </x:c>
      <x:c r="F2002" s="56" t="n">
        <x:f>'Expected Matchups'!H8</x:f>
        <x:v>0.02</x:v>
      </x:c>
      <x:c r="G2002" s="38" t="str"/>
      <x:c r="H2002" s="35" t="str">
        <x:v>Expected Matchups</x:v>
      </x:c>
      <x:c r="I2002" s="35" t="str">
        <x:v>H8</x:v>
      </x:c>
      <x:c r="J2002" s="85" t="b">
        <x:v>1</x:v>
      </x:c>
      <x:c r="K2002" s="85" t="b">
        <x:v>0</x:v>
      </x:c>
      <x:c r="L2002" s="56" t="str">
        <x:f>'Expected Matchups'!S8</x:f>
        <x:v>OK</x:v>
      </x:c>
      <x:c r="M2002" s="44" t="str">
        <x:v>Источник Expected Matchups.Timeout Rate Max</x:v>
      </x:c>
    </x:row>
    <x:row r="2003" ht="36" customHeight="1">
      <x:c r="A2003" s="118" t="n">
        <x:v>1998</x:v>
      </x:c>
      <x:c r="B2003" s="35" t="str">
        <x:v>matchup_test</x:v>
      </x:c>
      <x:c r="C2003" s="35" t="str">
        <x:v>bear_vs_gorilla</x:v>
      </x:c>
      <x:c r="D2003" s="35" t="str">
        <x:v>target_duration_min_sec</x:v>
      </x:c>
      <x:c r="E2003" s="38" t="str">
        <x:v>int</x:v>
      </x:c>
      <x:c r="F2003" s="56" t="n">
        <x:f>'Expected Matchups'!I8</x:f>
        <x:v>35</x:v>
      </x:c>
      <x:c r="G2003" s="38" t="str"/>
      <x:c r="H2003" s="35" t="str">
        <x:v>Expected Matchups</x:v>
      </x:c>
      <x:c r="I2003" s="35" t="str">
        <x:v>I8</x:v>
      </x:c>
      <x:c r="J2003" s="85" t="b">
        <x:v>1</x:v>
      </x:c>
      <x:c r="K2003" s="85" t="b">
        <x:v>0</x:v>
      </x:c>
      <x:c r="L2003" s="56" t="str">
        <x:f>'Expected Matchups'!S8</x:f>
        <x:v>OK</x:v>
      </x:c>
      <x:c r="M2003" s="44" t="str">
        <x:v>Источник Expected Matchups.Duration Min Sec</x:v>
      </x:c>
    </x:row>
    <x:row r="2004" ht="36" customHeight="1">
      <x:c r="A2004" s="118" t="n">
        <x:v>1999</x:v>
      </x:c>
      <x:c r="B2004" s="35" t="str">
        <x:v>matchup_test</x:v>
      </x:c>
      <x:c r="C2004" s="35" t="str">
        <x:v>bear_vs_gorilla</x:v>
      </x:c>
      <x:c r="D2004" s="35" t="str">
        <x:v>target_duration_max_sec</x:v>
      </x:c>
      <x:c r="E2004" s="38" t="str">
        <x:v>int</x:v>
      </x:c>
      <x:c r="F2004" s="56" t="n">
        <x:f>'Expected Matchups'!J8</x:f>
        <x:v>60</x:v>
      </x:c>
      <x:c r="G2004" s="38" t="str"/>
      <x:c r="H2004" s="35" t="str">
        <x:v>Expected Matchups</x:v>
      </x:c>
      <x:c r="I2004" s="35" t="str">
        <x:v>J8</x:v>
      </x:c>
      <x:c r="J2004" s="85" t="b">
        <x:v>1</x:v>
      </x:c>
      <x:c r="K2004" s="85" t="b">
        <x:v>0</x:v>
      </x:c>
      <x:c r="L2004" s="56" t="str">
        <x:f>'Expected Matchups'!S8</x:f>
        <x:v>OK</x:v>
      </x:c>
      <x:c r="M2004" s="44" t="str">
        <x:v>Источник Expected Matchups.Duration Max Sec</x:v>
      </x:c>
    </x:row>
    <x:row r="2005" ht="36" customHeight="1">
      <x:c r="A2005" s="118" t="n">
        <x:v>2000</x:v>
      </x:c>
      <x:c r="B2005" s="35" t="str">
        <x:v>matchup_test</x:v>
      </x:c>
      <x:c r="C2005" s="35" t="str">
        <x:v>bear_vs_gorilla</x:v>
      </x:c>
      <x:c r="D2005" s="35" t="str">
        <x:v>target_signature_use_min</x:v>
      </x:c>
      <x:c r="E2005" s="38" t="str">
        <x:v>number</x:v>
      </x:c>
      <x:c r="F2005" s="56" t="n">
        <x:f>'Expected Matchups'!K8</x:f>
        <x:v>0.15</x:v>
      </x:c>
      <x:c r="G2005" s="38" t="str"/>
      <x:c r="H2005" s="35" t="str">
        <x:v>Expected Matchups</x:v>
      </x:c>
      <x:c r="I2005" s="35" t="str">
        <x:v>K8</x:v>
      </x:c>
      <x:c r="J2005" s="85" t="b">
        <x:v>1</x:v>
      </x:c>
      <x:c r="K2005" s="85" t="b">
        <x:v>0</x:v>
      </x:c>
      <x:c r="L2005" s="56" t="str">
        <x:f>'Expected Matchups'!S8</x:f>
        <x:v>OK</x:v>
      </x:c>
      <x:c r="M2005" s="44" t="str">
        <x:v>Источник Expected Matchups.Signature Use Min</x:v>
      </x:c>
    </x:row>
    <x:row r="2006" ht="36" customHeight="1">
      <x:c r="A2006" s="118" t="n">
        <x:v>2001</x:v>
      </x:c>
      <x:c r="B2006" s="35" t="str">
        <x:v>matchup_test</x:v>
      </x:c>
      <x:c r="C2006" s="35" t="str">
        <x:v>bear_vs_gorilla</x:v>
      </x:c>
      <x:c r="D2006" s="35" t="str">
        <x:v>target_signature_use_max</x:v>
      </x:c>
      <x:c r="E2006" s="38" t="str">
        <x:v>number</x:v>
      </x:c>
      <x:c r="F2006" s="56" t="n">
        <x:f>'Expected Matchups'!L8</x:f>
        <x:v>0.35</x:v>
      </x:c>
      <x:c r="G2006" s="38" t="str"/>
      <x:c r="H2006" s="35" t="str">
        <x:v>Expected Matchups</x:v>
      </x:c>
      <x:c r="I2006" s="35" t="str">
        <x:v>L8</x:v>
      </x:c>
      <x:c r="J2006" s="85" t="b">
        <x:v>1</x:v>
      </x:c>
      <x:c r="K2006" s="85" t="b">
        <x:v>0</x:v>
      </x:c>
      <x:c r="L2006" s="56" t="str">
        <x:f>'Expected Matchups'!S8</x:f>
        <x:v>OK</x:v>
      </x:c>
      <x:c r="M2006" s="44" t="str">
        <x:v>Источник Expected Matchups.Signature Use Max</x:v>
      </x:c>
    </x:row>
    <x:row r="2007" ht="36" customHeight="1">
      <x:c r="A2007" s="118" t="n">
        <x:v>2002</x:v>
      </x:c>
      <x:c r="B2007" s="35" t="str">
        <x:v>matchup_test</x:v>
      </x:c>
      <x:c r="C2007" s="35" t="str">
        <x:v>bear_vs_gorilla</x:v>
      </x:c>
      <x:c r="D2007" s="35" t="str">
        <x:v>expected_edge</x:v>
      </x:c>
      <x:c r="E2007" s="38" t="str">
        <x:v>string</x:v>
      </x:c>
      <x:c r="F2007" s="56" t="str">
        <x:f>'Expected Matchups'!M8</x:f>
        <x:v>Small B edge</x:v>
      </x:c>
      <x:c r="G2007" s="38" t="str"/>
      <x:c r="H2007" s="35" t="str">
        <x:v>Expected Matchups</x:v>
      </x:c>
      <x:c r="I2007" s="35" t="str">
        <x:v>M8</x:v>
      </x:c>
      <x:c r="J2007" s="85" t="b">
        <x:v>1</x:v>
      </x:c>
      <x:c r="K2007" s="85" t="b">
        <x:v>0</x:v>
      </x:c>
      <x:c r="L2007" s="56" t="str">
        <x:f>'Expected Matchups'!S8</x:f>
        <x:v>OK</x:v>
      </x:c>
      <x:c r="M2007" s="44" t="str">
        <x:v>Источник Expected Matchups.Expected Edge</x:v>
      </x:c>
    </x:row>
    <x:row r="2008" ht="36" customHeight="1">
      <x:c r="A2008" s="118" t="n">
        <x:v>2003</x:v>
      </x:c>
      <x:c r="B2008" s="35" t="str">
        <x:v>matchup_test</x:v>
      </x:c>
      <x:c r="C2008" s="35" t="str">
        <x:v>bear_vs_gorilla</x:v>
      </x:c>
      <x:c r="D2008" s="35" t="str">
        <x:v>control_build_a</x:v>
      </x:c>
      <x:c r="E2008" s="38" t="str">
        <x:v>string</x:v>
      </x:c>
      <x:c r="F2008" s="56" t="str">
        <x:f>'Expected Matchups'!N8</x:f>
        <x:v>build_bear_default</x:v>
      </x:c>
      <x:c r="G2008" s="38" t="str"/>
      <x:c r="H2008" s="35" t="str">
        <x:v>Expected Matchups</x:v>
      </x:c>
      <x:c r="I2008" s="35" t="str">
        <x:v>N8</x:v>
      </x:c>
      <x:c r="J2008" s="85" t="b">
        <x:v>1</x:v>
      </x:c>
      <x:c r="K2008" s="85" t="b">
        <x:v>0</x:v>
      </x:c>
      <x:c r="L2008" s="56" t="str">
        <x:f>'Expected Matchups'!S8</x:f>
        <x:v>OK</x:v>
      </x:c>
      <x:c r="M2008" s="44" t="str">
        <x:v>Источник Expected Matchups.Control Build A</x:v>
      </x:c>
    </x:row>
    <x:row r="2009" ht="36" customHeight="1">
      <x:c r="A2009" s="118" t="n">
        <x:v>2004</x:v>
      </x:c>
      <x:c r="B2009" s="35" t="str">
        <x:v>matchup_test</x:v>
      </x:c>
      <x:c r="C2009" s="35" t="str">
        <x:v>bear_vs_gorilla</x:v>
      </x:c>
      <x:c r="D2009" s="35" t="str">
        <x:v>control_build_b</x:v>
      </x:c>
      <x:c r="E2009" s="38" t="str">
        <x:v>string</x:v>
      </x:c>
      <x:c r="F2009" s="56" t="str">
        <x:f>'Expected Matchups'!O8</x:f>
        <x:v>build_gorilla_default</x:v>
      </x:c>
      <x:c r="G2009" s="38" t="str"/>
      <x:c r="H2009" s="35" t="str">
        <x:v>Expected Matchups</x:v>
      </x:c>
      <x:c r="I2009" s="35" t="str">
        <x:v>O8</x:v>
      </x:c>
      <x:c r="J2009" s="85" t="b">
        <x:v>1</x:v>
      </x:c>
      <x:c r="K2009" s="85" t="b">
        <x:v>0</x:v>
      </x:c>
      <x:c r="L2009" s="56" t="str">
        <x:f>'Expected Matchups'!S8</x:f>
        <x:v>OK</x:v>
      </x:c>
      <x:c r="M2009" s="44" t="str">
        <x:v>Источник Expected Matchups.Control Build B</x:v>
      </x:c>
    </x:row>
    <x:row r="2010" ht="36" customHeight="1">
      <x:c r="A2010" s="118" t="n">
        <x:v>2005</x:v>
      </x:c>
      <x:c r="B2010" s="35" t="str">
        <x:v>matchup_test</x:v>
      </x:c>
      <x:c r="C2010" s="35" t="str">
        <x:v>kangaroo_vs_bear</x:v>
      </x:c>
      <x:c r="D2010" s="35" t="str">
        <x:v>matchup_id</x:v>
      </x:c>
      <x:c r="E2010" s="38" t="str">
        <x:v>string</x:v>
      </x:c>
      <x:c r="F2010" s="56" t="str">
        <x:f>'Expected Matchups'!A9</x:f>
        <x:v>kangaroo_vs_bear</x:v>
      </x:c>
      <x:c r="G2010" s="38" t="str"/>
      <x:c r="H2010" s="35" t="str">
        <x:v>Expected Matchups</x:v>
      </x:c>
      <x:c r="I2010" s="35" t="str">
        <x:v>A9</x:v>
      </x:c>
      <x:c r="J2010" s="85" t="b">
        <x:v>1</x:v>
      </x:c>
      <x:c r="K2010" s="85" t="b">
        <x:v>0</x:v>
      </x:c>
      <x:c r="L2010" s="56" t="str">
        <x:f>'Expected Matchups'!S9</x:f>
        <x:v>OK</x:v>
      </x:c>
      <x:c r="M2010" s="44" t="str">
        <x:v>Источник Expected Matchups.Matchup ID</x:v>
      </x:c>
    </x:row>
    <x:row r="2011" ht="36" customHeight="1">
      <x:c r="A2011" s="118" t="n">
        <x:v>2006</x:v>
      </x:c>
      <x:c r="B2011" s="35" t="str">
        <x:v>matchup_test</x:v>
      </x:c>
      <x:c r="C2011" s="35" t="str">
        <x:v>kangaroo_vs_bear</x:v>
      </x:c>
      <x:c r="D2011" s="35" t="str">
        <x:v>animal_a</x:v>
      </x:c>
      <x:c r="E2011" s="38" t="str">
        <x:v>string</x:v>
      </x:c>
      <x:c r="F2011" s="56" t="str">
        <x:f>'Expected Matchups'!B9</x:f>
        <x:v>kangaroo</x:v>
      </x:c>
      <x:c r="G2011" s="38" t="str"/>
      <x:c r="H2011" s="35" t="str">
        <x:v>Expected Matchups</x:v>
      </x:c>
      <x:c r="I2011" s="35" t="str">
        <x:v>B9</x:v>
      </x:c>
      <x:c r="J2011" s="85" t="b">
        <x:v>1</x:v>
      </x:c>
      <x:c r="K2011" s="85" t="b">
        <x:v>0</x:v>
      </x:c>
      <x:c r="L2011" s="56" t="str">
        <x:f>'Expected Matchups'!S9</x:f>
        <x:v>OK</x:v>
      </x:c>
      <x:c r="M2011" s="44" t="str">
        <x:v>Источник Expected Matchups.Animal A</x:v>
      </x:c>
    </x:row>
    <x:row r="2012" ht="36" customHeight="1">
      <x:c r="A2012" s="118" t="n">
        <x:v>2007</x:v>
      </x:c>
      <x:c r="B2012" s="35" t="str">
        <x:v>matchup_test</x:v>
      </x:c>
      <x:c r="C2012" s="35" t="str">
        <x:v>kangaroo_vs_bear</x:v>
      </x:c>
      <x:c r="D2012" s="35" t="str">
        <x:v>animal_b</x:v>
      </x:c>
      <x:c r="E2012" s="38" t="str">
        <x:v>string</x:v>
      </x:c>
      <x:c r="F2012" s="56" t="str">
        <x:f>'Expected Matchups'!C9</x:f>
        <x:v>bear</x:v>
      </x:c>
      <x:c r="G2012" s="38" t="str"/>
      <x:c r="H2012" s="35" t="str">
        <x:v>Expected Matchups</x:v>
      </x:c>
      <x:c r="I2012" s="35" t="str">
        <x:v>C9</x:v>
      </x:c>
      <x:c r="J2012" s="85" t="b">
        <x:v>1</x:v>
      </x:c>
      <x:c r="K2012" s="85" t="b">
        <x:v>0</x:v>
      </x:c>
      <x:c r="L2012" s="56" t="str">
        <x:f>'Expected Matchups'!S9</x:f>
        <x:v>OK</x:v>
      </x:c>
      <x:c r="M2012" s="44" t="str">
        <x:v>Источник Expected Matchups.Animal B</x:v>
      </x:c>
    </x:row>
    <x:row r="2013" ht="36" customHeight="1">
      <x:c r="A2013" s="118" t="n">
        <x:v>2008</x:v>
      </x:c>
      <x:c r="B2013" s="35" t="str">
        <x:v>matchup_test</x:v>
      </x:c>
      <x:c r="C2013" s="35" t="str">
        <x:v>kangaroo_vs_bear</x:v>
      </x:c>
      <x:c r="D2013" s="35" t="str">
        <x:v>target_win_rate_a</x:v>
      </x:c>
      <x:c r="E2013" s="38" t="str">
        <x:v>number</x:v>
      </x:c>
      <x:c r="F2013" s="56" t="n">
        <x:f>'Expected Matchups'!D9</x:f>
        <x:v>0.47</x:v>
      </x:c>
      <x:c r="G2013" s="38" t="str"/>
      <x:c r="H2013" s="35" t="str">
        <x:v>Expected Matchups</x:v>
      </x:c>
      <x:c r="I2013" s="35" t="str">
        <x:v>D9</x:v>
      </x:c>
      <x:c r="J2013" s="85" t="b">
        <x:v>1</x:v>
      </x:c>
      <x:c r="K2013" s="85" t="b">
        <x:v>0</x:v>
      </x:c>
      <x:c r="L2013" s="56" t="str">
        <x:f>'Expected Matchups'!S9</x:f>
        <x:v>OK</x:v>
      </x:c>
      <x:c r="M2013" s="44" t="str">
        <x:v>Источник Expected Matchups.Target Win Rate A</x:v>
      </x:c>
    </x:row>
    <x:row r="2014" ht="36" customHeight="1">
      <x:c r="A2014" s="118" t="n">
        <x:v>2009</x:v>
      </x:c>
      <x:c r="B2014" s="35" t="str">
        <x:v>matchup_test</x:v>
      </x:c>
      <x:c r="C2014" s="35" t="str">
        <x:v>kangaroo_vs_bear</x:v>
      </x:c>
      <x:c r="D2014" s="35" t="str">
        <x:v>min_win_rate_a</x:v>
      </x:c>
      <x:c r="E2014" s="38" t="str">
        <x:v>number</x:v>
      </x:c>
      <x:c r="F2014" s="56" t="n">
        <x:f>'Expected Matchups'!E9</x:f>
        <x:v>0.44</x:v>
      </x:c>
      <x:c r="G2014" s="38" t="str"/>
      <x:c r="H2014" s="35" t="str">
        <x:v>Expected Matchups</x:v>
      </x:c>
      <x:c r="I2014" s="35" t="str">
        <x:v>E9</x:v>
      </x:c>
      <x:c r="J2014" s="85" t="b">
        <x:v>1</x:v>
      </x:c>
      <x:c r="K2014" s="85" t="b">
        <x:v>0</x:v>
      </x:c>
      <x:c r="L2014" s="56" t="str">
        <x:f>'Expected Matchups'!S9</x:f>
        <x:v>OK</x:v>
      </x:c>
      <x:c r="M2014" s="44" t="str">
        <x:v>Источник Expected Matchups.Min Win Rate A</x:v>
      </x:c>
    </x:row>
    <x:row r="2015" ht="36" customHeight="1">
      <x:c r="A2015" s="118" t="n">
        <x:v>2010</x:v>
      </x:c>
      <x:c r="B2015" s="35" t="str">
        <x:v>matchup_test</x:v>
      </x:c>
      <x:c r="C2015" s="35" t="str">
        <x:v>kangaroo_vs_bear</x:v>
      </x:c>
      <x:c r="D2015" s="35" t="str">
        <x:v>max_win_rate_a</x:v>
      </x:c>
      <x:c r="E2015" s="38" t="str">
        <x:v>number</x:v>
      </x:c>
      <x:c r="F2015" s="56" t="n">
        <x:f>'Expected Matchups'!F9</x:f>
        <x:v>0.5</x:v>
      </x:c>
      <x:c r="G2015" s="38" t="str"/>
      <x:c r="H2015" s="35" t="str">
        <x:v>Expected Matchups</x:v>
      </x:c>
      <x:c r="I2015" s="35" t="str">
        <x:v>F9</x:v>
      </x:c>
      <x:c r="J2015" s="85" t="b">
        <x:v>1</x:v>
      </x:c>
      <x:c r="K2015" s="85" t="b">
        <x:v>0</x:v>
      </x:c>
      <x:c r="L2015" s="56" t="str">
        <x:f>'Expected Matchups'!S9</x:f>
        <x:v>OK</x:v>
      </x:c>
      <x:c r="M2015" s="44" t="str">
        <x:v>Источник Expected Matchups.Max Win Rate A</x:v>
      </x:c>
    </x:row>
    <x:row r="2016" ht="36" customHeight="1">
      <x:c r="A2016" s="118" t="n">
        <x:v>2011</x:v>
      </x:c>
      <x:c r="B2016" s="35" t="str">
        <x:v>matchup_test</x:v>
      </x:c>
      <x:c r="C2016" s="35" t="str">
        <x:v>kangaroo_vs_bear</x:v>
      </x:c>
      <x:c r="D2016" s="35" t="str">
        <x:v>target_draw_rate_max</x:v>
      </x:c>
      <x:c r="E2016" s="38" t="str">
        <x:v>number</x:v>
      </x:c>
      <x:c r="F2016" s="56" t="n">
        <x:f>'Expected Matchups'!G9</x:f>
        <x:v>0.02</x:v>
      </x:c>
      <x:c r="G2016" s="38" t="str"/>
      <x:c r="H2016" s="35" t="str">
        <x:v>Expected Matchups</x:v>
      </x:c>
      <x:c r="I2016" s="35" t="str">
        <x:v>G9</x:v>
      </x:c>
      <x:c r="J2016" s="85" t="b">
        <x:v>1</x:v>
      </x:c>
      <x:c r="K2016" s="85" t="b">
        <x:v>0</x:v>
      </x:c>
      <x:c r="L2016" s="56" t="str">
        <x:f>'Expected Matchups'!S9</x:f>
        <x:v>OK</x:v>
      </x:c>
      <x:c r="M2016" s="44" t="str">
        <x:v>Источник Expected Matchups.Draw Rate Max</x:v>
      </x:c>
    </x:row>
    <x:row r="2017" ht="36" customHeight="1">
      <x:c r="A2017" s="118" t="n">
        <x:v>2012</x:v>
      </x:c>
      <x:c r="B2017" s="35" t="str">
        <x:v>matchup_test</x:v>
      </x:c>
      <x:c r="C2017" s="35" t="str">
        <x:v>kangaroo_vs_bear</x:v>
      </x:c>
      <x:c r="D2017" s="35" t="str">
        <x:v>target_timeout_rate_max</x:v>
      </x:c>
      <x:c r="E2017" s="38" t="str">
        <x:v>number</x:v>
      </x:c>
      <x:c r="F2017" s="56" t="n">
        <x:f>'Expected Matchups'!H9</x:f>
        <x:v>0.02</x:v>
      </x:c>
      <x:c r="G2017" s="38" t="str"/>
      <x:c r="H2017" s="35" t="str">
        <x:v>Expected Matchups</x:v>
      </x:c>
      <x:c r="I2017" s="35" t="str">
        <x:v>H9</x:v>
      </x:c>
      <x:c r="J2017" s="85" t="b">
        <x:v>1</x:v>
      </x:c>
      <x:c r="K2017" s="85" t="b">
        <x:v>0</x:v>
      </x:c>
      <x:c r="L2017" s="56" t="str">
        <x:f>'Expected Matchups'!S9</x:f>
        <x:v>OK</x:v>
      </x:c>
      <x:c r="M2017" s="44" t="str">
        <x:v>Источник Expected Matchups.Timeout Rate Max</x:v>
      </x:c>
    </x:row>
    <x:row r="2018" ht="36" customHeight="1">
      <x:c r="A2018" s="118" t="n">
        <x:v>2013</x:v>
      </x:c>
      <x:c r="B2018" s="35" t="str">
        <x:v>matchup_test</x:v>
      </x:c>
      <x:c r="C2018" s="35" t="str">
        <x:v>kangaroo_vs_bear</x:v>
      </x:c>
      <x:c r="D2018" s="35" t="str">
        <x:v>target_duration_min_sec</x:v>
      </x:c>
      <x:c r="E2018" s="38" t="str">
        <x:v>int</x:v>
      </x:c>
      <x:c r="F2018" s="56" t="n">
        <x:f>'Expected Matchups'!I9</x:f>
        <x:v>35</x:v>
      </x:c>
      <x:c r="G2018" s="38" t="str"/>
      <x:c r="H2018" s="35" t="str">
        <x:v>Expected Matchups</x:v>
      </x:c>
      <x:c r="I2018" s="35" t="str">
        <x:v>I9</x:v>
      </x:c>
      <x:c r="J2018" s="85" t="b">
        <x:v>1</x:v>
      </x:c>
      <x:c r="K2018" s="85" t="b">
        <x:v>0</x:v>
      </x:c>
      <x:c r="L2018" s="56" t="str">
        <x:f>'Expected Matchups'!S9</x:f>
        <x:v>OK</x:v>
      </x:c>
      <x:c r="M2018" s="44" t="str">
        <x:v>Источник Expected Matchups.Duration Min Sec</x:v>
      </x:c>
    </x:row>
    <x:row r="2019" ht="36" customHeight="1">
      <x:c r="A2019" s="118" t="n">
        <x:v>2014</x:v>
      </x:c>
      <x:c r="B2019" s="35" t="str">
        <x:v>matchup_test</x:v>
      </x:c>
      <x:c r="C2019" s="35" t="str">
        <x:v>kangaroo_vs_bear</x:v>
      </x:c>
      <x:c r="D2019" s="35" t="str">
        <x:v>target_duration_max_sec</x:v>
      </x:c>
      <x:c r="E2019" s="38" t="str">
        <x:v>int</x:v>
      </x:c>
      <x:c r="F2019" s="56" t="n">
        <x:f>'Expected Matchups'!J9</x:f>
        <x:v>60</x:v>
      </x:c>
      <x:c r="G2019" s="38" t="str"/>
      <x:c r="H2019" s="35" t="str">
        <x:v>Expected Matchups</x:v>
      </x:c>
      <x:c r="I2019" s="35" t="str">
        <x:v>J9</x:v>
      </x:c>
      <x:c r="J2019" s="85" t="b">
        <x:v>1</x:v>
      </x:c>
      <x:c r="K2019" s="85" t="b">
        <x:v>0</x:v>
      </x:c>
      <x:c r="L2019" s="56" t="str">
        <x:f>'Expected Matchups'!S9</x:f>
        <x:v>OK</x:v>
      </x:c>
      <x:c r="M2019" s="44" t="str">
        <x:v>Источник Expected Matchups.Duration Max Sec</x:v>
      </x:c>
    </x:row>
    <x:row r="2020" ht="36" customHeight="1">
      <x:c r="A2020" s="118" t="n">
        <x:v>2015</x:v>
      </x:c>
      <x:c r="B2020" s="35" t="str">
        <x:v>matchup_test</x:v>
      </x:c>
      <x:c r="C2020" s="35" t="str">
        <x:v>kangaroo_vs_bear</x:v>
      </x:c>
      <x:c r="D2020" s="35" t="str">
        <x:v>target_signature_use_min</x:v>
      </x:c>
      <x:c r="E2020" s="38" t="str">
        <x:v>number</x:v>
      </x:c>
      <x:c r="F2020" s="56" t="n">
        <x:f>'Expected Matchups'!K9</x:f>
        <x:v>0.15</x:v>
      </x:c>
      <x:c r="G2020" s="38" t="str"/>
      <x:c r="H2020" s="35" t="str">
        <x:v>Expected Matchups</x:v>
      </x:c>
      <x:c r="I2020" s="35" t="str">
        <x:v>K9</x:v>
      </x:c>
      <x:c r="J2020" s="85" t="b">
        <x:v>1</x:v>
      </x:c>
      <x:c r="K2020" s="85" t="b">
        <x:v>0</x:v>
      </x:c>
      <x:c r="L2020" s="56" t="str">
        <x:f>'Expected Matchups'!S9</x:f>
        <x:v>OK</x:v>
      </x:c>
      <x:c r="M2020" s="44" t="str">
        <x:v>Источник Expected Matchups.Signature Use Min</x:v>
      </x:c>
    </x:row>
    <x:row r="2021" ht="36" customHeight="1">
      <x:c r="A2021" s="118" t="n">
        <x:v>2016</x:v>
      </x:c>
      <x:c r="B2021" s="35" t="str">
        <x:v>matchup_test</x:v>
      </x:c>
      <x:c r="C2021" s="35" t="str">
        <x:v>kangaroo_vs_bear</x:v>
      </x:c>
      <x:c r="D2021" s="35" t="str">
        <x:v>target_signature_use_max</x:v>
      </x:c>
      <x:c r="E2021" s="38" t="str">
        <x:v>number</x:v>
      </x:c>
      <x:c r="F2021" s="56" t="n">
        <x:f>'Expected Matchups'!L9</x:f>
        <x:v>0.35</x:v>
      </x:c>
      <x:c r="G2021" s="38" t="str"/>
      <x:c r="H2021" s="35" t="str">
        <x:v>Expected Matchups</x:v>
      </x:c>
      <x:c r="I2021" s="35" t="str">
        <x:v>L9</x:v>
      </x:c>
      <x:c r="J2021" s="85" t="b">
        <x:v>1</x:v>
      </x:c>
      <x:c r="K2021" s="85" t="b">
        <x:v>0</x:v>
      </x:c>
      <x:c r="L2021" s="56" t="str">
        <x:f>'Expected Matchups'!S9</x:f>
        <x:v>OK</x:v>
      </x:c>
      <x:c r="M2021" s="44" t="str">
        <x:v>Источник Expected Matchups.Signature Use Max</x:v>
      </x:c>
    </x:row>
    <x:row r="2022" ht="36" customHeight="1">
      <x:c r="A2022" s="118" t="n">
        <x:v>2017</x:v>
      </x:c>
      <x:c r="B2022" s="35" t="str">
        <x:v>matchup_test</x:v>
      </x:c>
      <x:c r="C2022" s="35" t="str">
        <x:v>kangaroo_vs_bear</x:v>
      </x:c>
      <x:c r="D2022" s="35" t="str">
        <x:v>expected_edge</x:v>
      </x:c>
      <x:c r="E2022" s="38" t="str">
        <x:v>string</x:v>
      </x:c>
      <x:c r="F2022" s="56" t="str">
        <x:f>'Expected Matchups'!M9</x:f>
        <x:v>Small B edge</x:v>
      </x:c>
      <x:c r="G2022" s="38" t="str"/>
      <x:c r="H2022" s="35" t="str">
        <x:v>Expected Matchups</x:v>
      </x:c>
      <x:c r="I2022" s="35" t="str">
        <x:v>M9</x:v>
      </x:c>
      <x:c r="J2022" s="85" t="b">
        <x:v>1</x:v>
      </x:c>
      <x:c r="K2022" s="85" t="b">
        <x:v>0</x:v>
      </x:c>
      <x:c r="L2022" s="56" t="str">
        <x:f>'Expected Matchups'!S9</x:f>
        <x:v>OK</x:v>
      </x:c>
      <x:c r="M2022" s="44" t="str">
        <x:v>Источник Expected Matchups.Expected Edge</x:v>
      </x:c>
    </x:row>
    <x:row r="2023" ht="36" customHeight="1">
      <x:c r="A2023" s="118" t="n">
        <x:v>2018</x:v>
      </x:c>
      <x:c r="B2023" s="35" t="str">
        <x:v>matchup_test</x:v>
      </x:c>
      <x:c r="C2023" s="35" t="str">
        <x:v>kangaroo_vs_bear</x:v>
      </x:c>
      <x:c r="D2023" s="35" t="str">
        <x:v>control_build_a</x:v>
      </x:c>
      <x:c r="E2023" s="38" t="str">
        <x:v>string</x:v>
      </x:c>
      <x:c r="F2023" s="56" t="str">
        <x:f>'Expected Matchups'!N9</x:f>
        <x:v>build_kangaroo_default</x:v>
      </x:c>
      <x:c r="G2023" s="38" t="str"/>
      <x:c r="H2023" s="35" t="str">
        <x:v>Expected Matchups</x:v>
      </x:c>
      <x:c r="I2023" s="35" t="str">
        <x:v>N9</x:v>
      </x:c>
      <x:c r="J2023" s="85" t="b">
        <x:v>1</x:v>
      </x:c>
      <x:c r="K2023" s="85" t="b">
        <x:v>0</x:v>
      </x:c>
      <x:c r="L2023" s="56" t="str">
        <x:f>'Expected Matchups'!S9</x:f>
        <x:v>OK</x:v>
      </x:c>
      <x:c r="M2023" s="44" t="str">
        <x:v>Источник Expected Matchups.Control Build A</x:v>
      </x:c>
    </x:row>
    <x:row r="2024" ht="36" customHeight="1">
      <x:c r="A2024" s="118" t="n">
        <x:v>2019</x:v>
      </x:c>
      <x:c r="B2024" s="35" t="str">
        <x:v>matchup_test</x:v>
      </x:c>
      <x:c r="C2024" s="35" t="str">
        <x:v>kangaroo_vs_bear</x:v>
      </x:c>
      <x:c r="D2024" s="35" t="str">
        <x:v>control_build_b</x:v>
      </x:c>
      <x:c r="E2024" s="38" t="str">
        <x:v>string</x:v>
      </x:c>
      <x:c r="F2024" s="56" t="str">
        <x:f>'Expected Matchups'!O9</x:f>
        <x:v>build_bear_default</x:v>
      </x:c>
      <x:c r="G2024" s="38" t="str"/>
      <x:c r="H2024" s="35" t="str">
        <x:v>Expected Matchups</x:v>
      </x:c>
      <x:c r="I2024" s="35" t="str">
        <x:v>O9</x:v>
      </x:c>
      <x:c r="J2024" s="85" t="b">
        <x:v>1</x:v>
      </x:c>
      <x:c r="K2024" s="85" t="b">
        <x:v>0</x:v>
      </x:c>
      <x:c r="L2024" s="56" t="str">
        <x:f>'Expected Matchups'!S9</x:f>
        <x:v>OK</x:v>
      </x:c>
      <x:c r="M2024" s="44" t="str">
        <x:v>Источник Expected Matchups.Control Build B</x:v>
      </x:c>
    </x:row>
    <x:row r="2025" ht="36" customHeight="1">
      <x:c r="A2025" s="118" t="n">
        <x:v>2020</x:v>
      </x:c>
      <x:c r="B2025" s="35" t="str">
        <x:v>matchup_test</x:v>
      </x:c>
      <x:c r="C2025" s="35" t="str">
        <x:v>kangaroo_vs_kangaroo</x:v>
      </x:c>
      <x:c r="D2025" s="35" t="str">
        <x:v>matchup_id</x:v>
      </x:c>
      <x:c r="E2025" s="38" t="str">
        <x:v>string</x:v>
      </x:c>
      <x:c r="F2025" s="56" t="str">
        <x:f>'Expected Matchups'!A10</x:f>
        <x:v>kangaroo_vs_kangaroo</x:v>
      </x:c>
      <x:c r="G2025" s="38" t="str"/>
      <x:c r="H2025" s="35" t="str">
        <x:v>Expected Matchups</x:v>
      </x:c>
      <x:c r="I2025" s="35" t="str">
        <x:v>A10</x:v>
      </x:c>
      <x:c r="J2025" s="85" t="b">
        <x:v>1</x:v>
      </x:c>
      <x:c r="K2025" s="85" t="b">
        <x:v>0</x:v>
      </x:c>
      <x:c r="L2025" s="56" t="str">
        <x:f>'Expected Matchups'!S10</x:f>
        <x:v>OK</x:v>
      </x:c>
      <x:c r="M2025" s="44" t="str">
        <x:v>Источник Expected Matchups.Matchup ID</x:v>
      </x:c>
    </x:row>
    <x:row r="2026" ht="36" customHeight="1">
      <x:c r="A2026" s="118" t="n">
        <x:v>2021</x:v>
      </x:c>
      <x:c r="B2026" s="35" t="str">
        <x:v>matchup_test</x:v>
      </x:c>
      <x:c r="C2026" s="35" t="str">
        <x:v>kangaroo_vs_kangaroo</x:v>
      </x:c>
      <x:c r="D2026" s="35" t="str">
        <x:v>animal_a</x:v>
      </x:c>
      <x:c r="E2026" s="38" t="str">
        <x:v>string</x:v>
      </x:c>
      <x:c r="F2026" s="56" t="str">
        <x:f>'Expected Matchups'!B10</x:f>
        <x:v>kangaroo</x:v>
      </x:c>
      <x:c r="G2026" s="38" t="str"/>
      <x:c r="H2026" s="35" t="str">
        <x:v>Expected Matchups</x:v>
      </x:c>
      <x:c r="I2026" s="35" t="str">
        <x:v>B10</x:v>
      </x:c>
      <x:c r="J2026" s="85" t="b">
        <x:v>1</x:v>
      </x:c>
      <x:c r="K2026" s="85" t="b">
        <x:v>0</x:v>
      </x:c>
      <x:c r="L2026" s="56" t="str">
        <x:f>'Expected Matchups'!S10</x:f>
        <x:v>OK</x:v>
      </x:c>
      <x:c r="M2026" s="44" t="str">
        <x:v>Источник Expected Matchups.Animal A</x:v>
      </x:c>
    </x:row>
    <x:row r="2027" ht="36" customHeight="1">
      <x:c r="A2027" s="118" t="n">
        <x:v>2022</x:v>
      </x:c>
      <x:c r="B2027" s="35" t="str">
        <x:v>matchup_test</x:v>
      </x:c>
      <x:c r="C2027" s="35" t="str">
        <x:v>kangaroo_vs_kangaroo</x:v>
      </x:c>
      <x:c r="D2027" s="35" t="str">
        <x:v>animal_b</x:v>
      </x:c>
      <x:c r="E2027" s="38" t="str">
        <x:v>string</x:v>
      </x:c>
      <x:c r="F2027" s="56" t="str">
        <x:f>'Expected Matchups'!C10</x:f>
        <x:v>kangaroo</x:v>
      </x:c>
      <x:c r="G2027" s="38" t="str"/>
      <x:c r="H2027" s="35" t="str">
        <x:v>Expected Matchups</x:v>
      </x:c>
      <x:c r="I2027" s="35" t="str">
        <x:v>C10</x:v>
      </x:c>
      <x:c r="J2027" s="85" t="b">
        <x:v>1</x:v>
      </x:c>
      <x:c r="K2027" s="85" t="b">
        <x:v>0</x:v>
      </x:c>
      <x:c r="L2027" s="56" t="str">
        <x:f>'Expected Matchups'!S10</x:f>
        <x:v>OK</x:v>
      </x:c>
      <x:c r="M2027" s="44" t="str">
        <x:v>Источник Expected Matchups.Animal B</x:v>
      </x:c>
    </x:row>
    <x:row r="2028" ht="36" customHeight="1">
      <x:c r="A2028" s="118" t="n">
        <x:v>2023</x:v>
      </x:c>
      <x:c r="B2028" s="35" t="str">
        <x:v>matchup_test</x:v>
      </x:c>
      <x:c r="C2028" s="35" t="str">
        <x:v>kangaroo_vs_kangaroo</x:v>
      </x:c>
      <x:c r="D2028" s="35" t="str">
        <x:v>target_win_rate_a</x:v>
      </x:c>
      <x:c r="E2028" s="38" t="str">
        <x:v>number</x:v>
      </x:c>
      <x:c r="F2028" s="56" t="n">
        <x:f>'Expected Matchups'!D10</x:f>
        <x:v>0.5</x:v>
      </x:c>
      <x:c r="G2028" s="38" t="str"/>
      <x:c r="H2028" s="35" t="str">
        <x:v>Expected Matchups</x:v>
      </x:c>
      <x:c r="I2028" s="35" t="str">
        <x:v>D10</x:v>
      </x:c>
      <x:c r="J2028" s="85" t="b">
        <x:v>1</x:v>
      </x:c>
      <x:c r="K2028" s="85" t="b">
        <x:v>0</x:v>
      </x:c>
      <x:c r="L2028" s="56" t="str">
        <x:f>'Expected Matchups'!S10</x:f>
        <x:v>OK</x:v>
      </x:c>
      <x:c r="M2028" s="44" t="str">
        <x:v>Источник Expected Matchups.Target Win Rate A</x:v>
      </x:c>
    </x:row>
    <x:row r="2029" ht="36" customHeight="1">
      <x:c r="A2029" s="118" t="n">
        <x:v>2024</x:v>
      </x:c>
      <x:c r="B2029" s="35" t="str">
        <x:v>matchup_test</x:v>
      </x:c>
      <x:c r="C2029" s="35" t="str">
        <x:v>kangaroo_vs_kangaroo</x:v>
      </x:c>
      <x:c r="D2029" s="35" t="str">
        <x:v>min_win_rate_a</x:v>
      </x:c>
      <x:c r="E2029" s="38" t="str">
        <x:v>number</x:v>
      </x:c>
      <x:c r="F2029" s="56" t="n">
        <x:f>'Expected Matchups'!E10</x:f>
        <x:v>0.47</x:v>
      </x:c>
      <x:c r="G2029" s="38" t="str"/>
      <x:c r="H2029" s="35" t="str">
        <x:v>Expected Matchups</x:v>
      </x:c>
      <x:c r="I2029" s="35" t="str">
        <x:v>E10</x:v>
      </x:c>
      <x:c r="J2029" s="85" t="b">
        <x:v>1</x:v>
      </x:c>
      <x:c r="K2029" s="85" t="b">
        <x:v>0</x:v>
      </x:c>
      <x:c r="L2029" s="56" t="str">
        <x:f>'Expected Matchups'!S10</x:f>
        <x:v>OK</x:v>
      </x:c>
      <x:c r="M2029" s="44" t="str">
        <x:v>Источник Expected Matchups.Min Win Rate A</x:v>
      </x:c>
    </x:row>
    <x:row r="2030" ht="36" customHeight="1">
      <x:c r="A2030" s="118" t="n">
        <x:v>2025</x:v>
      </x:c>
      <x:c r="B2030" s="35" t="str">
        <x:v>matchup_test</x:v>
      </x:c>
      <x:c r="C2030" s="35" t="str">
        <x:v>kangaroo_vs_kangaroo</x:v>
      </x:c>
      <x:c r="D2030" s="35" t="str">
        <x:v>max_win_rate_a</x:v>
      </x:c>
      <x:c r="E2030" s="38" t="str">
        <x:v>number</x:v>
      </x:c>
      <x:c r="F2030" s="56" t="n">
        <x:f>'Expected Matchups'!F10</x:f>
        <x:v>0.53</x:v>
      </x:c>
      <x:c r="G2030" s="38" t="str"/>
      <x:c r="H2030" s="35" t="str">
        <x:v>Expected Matchups</x:v>
      </x:c>
      <x:c r="I2030" s="35" t="str">
        <x:v>F10</x:v>
      </x:c>
      <x:c r="J2030" s="85" t="b">
        <x:v>1</x:v>
      </x:c>
      <x:c r="K2030" s="85" t="b">
        <x:v>0</x:v>
      </x:c>
      <x:c r="L2030" s="56" t="str">
        <x:f>'Expected Matchups'!S10</x:f>
        <x:v>OK</x:v>
      </x:c>
      <x:c r="M2030" s="44" t="str">
        <x:v>Источник Expected Matchups.Max Win Rate A</x:v>
      </x:c>
    </x:row>
    <x:row r="2031" ht="36" customHeight="1">
      <x:c r="A2031" s="118" t="n">
        <x:v>2026</x:v>
      </x:c>
      <x:c r="B2031" s="35" t="str">
        <x:v>matchup_test</x:v>
      </x:c>
      <x:c r="C2031" s="35" t="str">
        <x:v>kangaroo_vs_kangaroo</x:v>
      </x:c>
      <x:c r="D2031" s="35" t="str">
        <x:v>target_draw_rate_max</x:v>
      </x:c>
      <x:c r="E2031" s="38" t="str">
        <x:v>number</x:v>
      </x:c>
      <x:c r="F2031" s="56" t="n">
        <x:f>'Expected Matchups'!G10</x:f>
        <x:v>0.02</x:v>
      </x:c>
      <x:c r="G2031" s="38" t="str"/>
      <x:c r="H2031" s="35" t="str">
        <x:v>Expected Matchups</x:v>
      </x:c>
      <x:c r="I2031" s="35" t="str">
        <x:v>G10</x:v>
      </x:c>
      <x:c r="J2031" s="85" t="b">
        <x:v>1</x:v>
      </x:c>
      <x:c r="K2031" s="85" t="b">
        <x:v>0</x:v>
      </x:c>
      <x:c r="L2031" s="56" t="str">
        <x:f>'Expected Matchups'!S10</x:f>
        <x:v>OK</x:v>
      </x:c>
      <x:c r="M2031" s="44" t="str">
        <x:v>Источник Expected Matchups.Draw Rate Max</x:v>
      </x:c>
    </x:row>
    <x:row r="2032" ht="36" customHeight="1">
      <x:c r="A2032" s="118" t="n">
        <x:v>2027</x:v>
      </x:c>
      <x:c r="B2032" s="35" t="str">
        <x:v>matchup_test</x:v>
      </x:c>
      <x:c r="C2032" s="35" t="str">
        <x:v>kangaroo_vs_kangaroo</x:v>
      </x:c>
      <x:c r="D2032" s="35" t="str">
        <x:v>target_timeout_rate_max</x:v>
      </x:c>
      <x:c r="E2032" s="38" t="str">
        <x:v>number</x:v>
      </x:c>
      <x:c r="F2032" s="56" t="n">
        <x:f>'Expected Matchups'!H10</x:f>
        <x:v>0.02</x:v>
      </x:c>
      <x:c r="G2032" s="38" t="str"/>
      <x:c r="H2032" s="35" t="str">
        <x:v>Expected Matchups</x:v>
      </x:c>
      <x:c r="I2032" s="35" t="str">
        <x:v>H10</x:v>
      </x:c>
      <x:c r="J2032" s="85" t="b">
        <x:v>1</x:v>
      </x:c>
      <x:c r="K2032" s="85" t="b">
        <x:v>0</x:v>
      </x:c>
      <x:c r="L2032" s="56" t="str">
        <x:f>'Expected Matchups'!S10</x:f>
        <x:v>OK</x:v>
      </x:c>
      <x:c r="M2032" s="44" t="str">
        <x:v>Источник Expected Matchups.Timeout Rate Max</x:v>
      </x:c>
    </x:row>
    <x:row r="2033" ht="36" customHeight="1">
      <x:c r="A2033" s="118" t="n">
        <x:v>2028</x:v>
      </x:c>
      <x:c r="B2033" s="35" t="str">
        <x:v>matchup_test</x:v>
      </x:c>
      <x:c r="C2033" s="35" t="str">
        <x:v>kangaroo_vs_kangaroo</x:v>
      </x:c>
      <x:c r="D2033" s="35" t="str">
        <x:v>target_duration_min_sec</x:v>
      </x:c>
      <x:c r="E2033" s="38" t="str">
        <x:v>int</x:v>
      </x:c>
      <x:c r="F2033" s="56" t="n">
        <x:f>'Expected Matchups'!I10</x:f>
        <x:v>35</x:v>
      </x:c>
      <x:c r="G2033" s="38" t="str"/>
      <x:c r="H2033" s="35" t="str">
        <x:v>Expected Matchups</x:v>
      </x:c>
      <x:c r="I2033" s="35" t="str">
        <x:v>I10</x:v>
      </x:c>
      <x:c r="J2033" s="85" t="b">
        <x:v>1</x:v>
      </x:c>
      <x:c r="K2033" s="85" t="b">
        <x:v>0</x:v>
      </x:c>
      <x:c r="L2033" s="56" t="str">
        <x:f>'Expected Matchups'!S10</x:f>
        <x:v>OK</x:v>
      </x:c>
      <x:c r="M2033" s="44" t="str">
        <x:v>Источник Expected Matchups.Duration Min Sec</x:v>
      </x:c>
    </x:row>
    <x:row r="2034" ht="36" customHeight="1">
      <x:c r="A2034" s="118" t="n">
        <x:v>2029</x:v>
      </x:c>
      <x:c r="B2034" s="35" t="str">
        <x:v>matchup_test</x:v>
      </x:c>
      <x:c r="C2034" s="35" t="str">
        <x:v>kangaroo_vs_kangaroo</x:v>
      </x:c>
      <x:c r="D2034" s="35" t="str">
        <x:v>target_duration_max_sec</x:v>
      </x:c>
      <x:c r="E2034" s="38" t="str">
        <x:v>int</x:v>
      </x:c>
      <x:c r="F2034" s="56" t="n">
        <x:f>'Expected Matchups'!J10</x:f>
        <x:v>60</x:v>
      </x:c>
      <x:c r="G2034" s="38" t="str"/>
      <x:c r="H2034" s="35" t="str">
        <x:v>Expected Matchups</x:v>
      </x:c>
      <x:c r="I2034" s="35" t="str">
        <x:v>J10</x:v>
      </x:c>
      <x:c r="J2034" s="85" t="b">
        <x:v>1</x:v>
      </x:c>
      <x:c r="K2034" s="85" t="b">
        <x:v>0</x:v>
      </x:c>
      <x:c r="L2034" s="56" t="str">
        <x:f>'Expected Matchups'!S10</x:f>
        <x:v>OK</x:v>
      </x:c>
      <x:c r="M2034" s="44" t="str">
        <x:v>Источник Expected Matchups.Duration Max Sec</x:v>
      </x:c>
    </x:row>
    <x:row r="2035" ht="36" customHeight="1">
      <x:c r="A2035" s="118" t="n">
        <x:v>2030</x:v>
      </x:c>
      <x:c r="B2035" s="35" t="str">
        <x:v>matchup_test</x:v>
      </x:c>
      <x:c r="C2035" s="35" t="str">
        <x:v>kangaroo_vs_kangaroo</x:v>
      </x:c>
      <x:c r="D2035" s="35" t="str">
        <x:v>target_signature_use_min</x:v>
      </x:c>
      <x:c r="E2035" s="38" t="str">
        <x:v>number</x:v>
      </x:c>
      <x:c r="F2035" s="56" t="n">
        <x:f>'Expected Matchups'!K10</x:f>
        <x:v>0.15</x:v>
      </x:c>
      <x:c r="G2035" s="38" t="str"/>
      <x:c r="H2035" s="35" t="str">
        <x:v>Expected Matchups</x:v>
      </x:c>
      <x:c r="I2035" s="35" t="str">
        <x:v>K10</x:v>
      </x:c>
      <x:c r="J2035" s="85" t="b">
        <x:v>1</x:v>
      </x:c>
      <x:c r="K2035" s="85" t="b">
        <x:v>0</x:v>
      </x:c>
      <x:c r="L2035" s="56" t="str">
        <x:f>'Expected Matchups'!S10</x:f>
        <x:v>OK</x:v>
      </x:c>
      <x:c r="M2035" s="44" t="str">
        <x:v>Источник Expected Matchups.Signature Use Min</x:v>
      </x:c>
    </x:row>
    <x:row r="2036" ht="36" customHeight="1">
      <x:c r="A2036" s="118" t="n">
        <x:v>2031</x:v>
      </x:c>
      <x:c r="B2036" s="35" t="str">
        <x:v>matchup_test</x:v>
      </x:c>
      <x:c r="C2036" s="35" t="str">
        <x:v>kangaroo_vs_kangaroo</x:v>
      </x:c>
      <x:c r="D2036" s="35" t="str">
        <x:v>target_signature_use_max</x:v>
      </x:c>
      <x:c r="E2036" s="38" t="str">
        <x:v>number</x:v>
      </x:c>
      <x:c r="F2036" s="56" t="n">
        <x:f>'Expected Matchups'!L10</x:f>
        <x:v>0.35</x:v>
      </x:c>
      <x:c r="G2036" s="38" t="str"/>
      <x:c r="H2036" s="35" t="str">
        <x:v>Expected Matchups</x:v>
      </x:c>
      <x:c r="I2036" s="35" t="str">
        <x:v>L10</x:v>
      </x:c>
      <x:c r="J2036" s="85" t="b">
        <x:v>1</x:v>
      </x:c>
      <x:c r="K2036" s="85" t="b">
        <x:v>0</x:v>
      </x:c>
      <x:c r="L2036" s="56" t="str">
        <x:f>'Expected Matchups'!S10</x:f>
        <x:v>OK</x:v>
      </x:c>
      <x:c r="M2036" s="44" t="str">
        <x:v>Источник Expected Matchups.Signature Use Max</x:v>
      </x:c>
    </x:row>
    <x:row r="2037" ht="36" customHeight="1">
      <x:c r="A2037" s="118" t="n">
        <x:v>2032</x:v>
      </x:c>
      <x:c r="B2037" s="35" t="str">
        <x:v>matchup_test</x:v>
      </x:c>
      <x:c r="C2037" s="35" t="str">
        <x:v>kangaroo_vs_kangaroo</x:v>
      </x:c>
      <x:c r="D2037" s="35" t="str">
        <x:v>expected_edge</x:v>
      </x:c>
      <x:c r="E2037" s="38" t="str">
        <x:v>string</x:v>
      </x:c>
      <x:c r="F2037" s="56" t="str">
        <x:f>'Expected Matchups'!M10</x:f>
        <x:v>Neutral</x:v>
      </x:c>
      <x:c r="G2037" s="38" t="str"/>
      <x:c r="H2037" s="35" t="str">
        <x:v>Expected Matchups</x:v>
      </x:c>
      <x:c r="I2037" s="35" t="str">
        <x:v>M10</x:v>
      </x:c>
      <x:c r="J2037" s="85" t="b">
        <x:v>1</x:v>
      </x:c>
      <x:c r="K2037" s="85" t="b">
        <x:v>0</x:v>
      </x:c>
      <x:c r="L2037" s="56" t="str">
        <x:f>'Expected Matchups'!S10</x:f>
        <x:v>OK</x:v>
      </x:c>
      <x:c r="M2037" s="44" t="str">
        <x:v>Источник Expected Matchups.Expected Edge</x:v>
      </x:c>
    </x:row>
    <x:row r="2038" ht="36" customHeight="1">
      <x:c r="A2038" s="118" t="n">
        <x:v>2033</x:v>
      </x:c>
      <x:c r="B2038" s="35" t="str">
        <x:v>matchup_test</x:v>
      </x:c>
      <x:c r="C2038" s="35" t="str">
        <x:v>kangaroo_vs_kangaroo</x:v>
      </x:c>
      <x:c r="D2038" s="35" t="str">
        <x:v>control_build_a</x:v>
      </x:c>
      <x:c r="E2038" s="38" t="str">
        <x:v>string</x:v>
      </x:c>
      <x:c r="F2038" s="56" t="str">
        <x:f>'Expected Matchups'!N10</x:f>
        <x:v>build_kangaroo_default</x:v>
      </x:c>
      <x:c r="G2038" s="38" t="str"/>
      <x:c r="H2038" s="35" t="str">
        <x:v>Expected Matchups</x:v>
      </x:c>
      <x:c r="I2038" s="35" t="str">
        <x:v>N10</x:v>
      </x:c>
      <x:c r="J2038" s="85" t="b">
        <x:v>1</x:v>
      </x:c>
      <x:c r="K2038" s="85" t="b">
        <x:v>0</x:v>
      </x:c>
      <x:c r="L2038" s="56" t="str">
        <x:f>'Expected Matchups'!S10</x:f>
        <x:v>OK</x:v>
      </x:c>
      <x:c r="M2038" s="44" t="str">
        <x:v>Источник Expected Matchups.Control Build A</x:v>
      </x:c>
    </x:row>
    <x:row r="2039" ht="36" customHeight="1">
      <x:c r="A2039" s="118" t="n">
        <x:v>2034</x:v>
      </x:c>
      <x:c r="B2039" s="35" t="str">
        <x:v>matchup_test</x:v>
      </x:c>
      <x:c r="C2039" s="35" t="str">
        <x:v>kangaroo_vs_kangaroo</x:v>
      </x:c>
      <x:c r="D2039" s="35" t="str">
        <x:v>control_build_b</x:v>
      </x:c>
      <x:c r="E2039" s="38" t="str">
        <x:v>string</x:v>
      </x:c>
      <x:c r="F2039" s="56" t="str">
        <x:f>'Expected Matchups'!O10</x:f>
        <x:v>build_kangaroo_default</x:v>
      </x:c>
      <x:c r="G2039" s="38" t="str"/>
      <x:c r="H2039" s="35" t="str">
        <x:v>Expected Matchups</x:v>
      </x:c>
      <x:c r="I2039" s="35" t="str">
        <x:v>O10</x:v>
      </x:c>
      <x:c r="J2039" s="85" t="b">
        <x:v>1</x:v>
      </x:c>
      <x:c r="K2039" s="85" t="b">
        <x:v>0</x:v>
      </x:c>
      <x:c r="L2039" s="56" t="str">
        <x:f>'Expected Matchups'!S10</x:f>
        <x:v>OK</x:v>
      </x:c>
      <x:c r="M2039" s="44" t="str">
        <x:v>Источник Expected Matchups.Control Build B</x:v>
      </x:c>
    </x:row>
    <x:row r="2040" ht="36" customHeight="1">
      <x:c r="A2040" s="118" t="n">
        <x:v>2035</x:v>
      </x:c>
      <x:c r="B2040" s="35" t="str">
        <x:v>matchup_test</x:v>
      </x:c>
      <x:c r="C2040" s="35" t="str">
        <x:v>kangaroo_vs_gorilla</x:v>
      </x:c>
      <x:c r="D2040" s="35" t="str">
        <x:v>matchup_id</x:v>
      </x:c>
      <x:c r="E2040" s="38" t="str">
        <x:v>string</x:v>
      </x:c>
      <x:c r="F2040" s="56" t="str">
        <x:f>'Expected Matchups'!A11</x:f>
        <x:v>kangaroo_vs_gorilla</x:v>
      </x:c>
      <x:c r="G2040" s="38" t="str"/>
      <x:c r="H2040" s="35" t="str">
        <x:v>Expected Matchups</x:v>
      </x:c>
      <x:c r="I2040" s="35" t="str">
        <x:v>A11</x:v>
      </x:c>
      <x:c r="J2040" s="85" t="b">
        <x:v>1</x:v>
      </x:c>
      <x:c r="K2040" s="85" t="b">
        <x:v>0</x:v>
      </x:c>
      <x:c r="L2040" s="56" t="str">
        <x:f>'Expected Matchups'!S11</x:f>
        <x:v>OK</x:v>
      </x:c>
      <x:c r="M2040" s="44" t="str">
        <x:v>Источник Expected Matchups.Matchup ID</x:v>
      </x:c>
    </x:row>
    <x:row r="2041" ht="36" customHeight="1">
      <x:c r="A2041" s="118" t="n">
        <x:v>2036</x:v>
      </x:c>
      <x:c r="B2041" s="35" t="str">
        <x:v>matchup_test</x:v>
      </x:c>
      <x:c r="C2041" s="35" t="str">
        <x:v>kangaroo_vs_gorilla</x:v>
      </x:c>
      <x:c r="D2041" s="35" t="str">
        <x:v>animal_a</x:v>
      </x:c>
      <x:c r="E2041" s="38" t="str">
        <x:v>string</x:v>
      </x:c>
      <x:c r="F2041" s="56" t="str">
        <x:f>'Expected Matchups'!B11</x:f>
        <x:v>kangaroo</x:v>
      </x:c>
      <x:c r="G2041" s="38" t="str"/>
      <x:c r="H2041" s="35" t="str">
        <x:v>Expected Matchups</x:v>
      </x:c>
      <x:c r="I2041" s="35" t="str">
        <x:v>B11</x:v>
      </x:c>
      <x:c r="J2041" s="85" t="b">
        <x:v>1</x:v>
      </x:c>
      <x:c r="K2041" s="85" t="b">
        <x:v>0</x:v>
      </x:c>
      <x:c r="L2041" s="56" t="str">
        <x:f>'Expected Matchups'!S11</x:f>
        <x:v>OK</x:v>
      </x:c>
      <x:c r="M2041" s="44" t="str">
        <x:v>Источник Expected Matchups.Animal A</x:v>
      </x:c>
    </x:row>
    <x:row r="2042" ht="36" customHeight="1">
      <x:c r="A2042" s="118" t="n">
        <x:v>2037</x:v>
      </x:c>
      <x:c r="B2042" s="35" t="str">
        <x:v>matchup_test</x:v>
      </x:c>
      <x:c r="C2042" s="35" t="str">
        <x:v>kangaroo_vs_gorilla</x:v>
      </x:c>
      <x:c r="D2042" s="35" t="str">
        <x:v>animal_b</x:v>
      </x:c>
      <x:c r="E2042" s="38" t="str">
        <x:v>string</x:v>
      </x:c>
      <x:c r="F2042" s="56" t="str">
        <x:f>'Expected Matchups'!C11</x:f>
        <x:v>gorilla</x:v>
      </x:c>
      <x:c r="G2042" s="38" t="str"/>
      <x:c r="H2042" s="35" t="str">
        <x:v>Expected Matchups</x:v>
      </x:c>
      <x:c r="I2042" s="35" t="str">
        <x:v>C11</x:v>
      </x:c>
      <x:c r="J2042" s="85" t="b">
        <x:v>1</x:v>
      </x:c>
      <x:c r="K2042" s="85" t="b">
        <x:v>0</x:v>
      </x:c>
      <x:c r="L2042" s="56" t="str">
        <x:f>'Expected Matchups'!S11</x:f>
        <x:v>OK</x:v>
      </x:c>
      <x:c r="M2042" s="44" t="str">
        <x:v>Источник Expected Matchups.Animal B</x:v>
      </x:c>
    </x:row>
    <x:row r="2043" ht="36" customHeight="1">
      <x:c r="A2043" s="118" t="n">
        <x:v>2038</x:v>
      </x:c>
      <x:c r="B2043" s="35" t="str">
        <x:v>matchup_test</x:v>
      </x:c>
      <x:c r="C2043" s="35" t="str">
        <x:v>kangaroo_vs_gorilla</x:v>
      </x:c>
      <x:c r="D2043" s="35" t="str">
        <x:v>target_win_rate_a</x:v>
      </x:c>
      <x:c r="E2043" s="38" t="str">
        <x:v>number</x:v>
      </x:c>
      <x:c r="F2043" s="56" t="n">
        <x:f>'Expected Matchups'!D11</x:f>
        <x:v>0.53</x:v>
      </x:c>
      <x:c r="G2043" s="38" t="str"/>
      <x:c r="H2043" s="35" t="str">
        <x:v>Expected Matchups</x:v>
      </x:c>
      <x:c r="I2043" s="35" t="str">
        <x:v>D11</x:v>
      </x:c>
      <x:c r="J2043" s="85" t="b">
        <x:v>1</x:v>
      </x:c>
      <x:c r="K2043" s="85" t="b">
        <x:v>0</x:v>
      </x:c>
      <x:c r="L2043" s="56" t="str">
        <x:f>'Expected Matchups'!S11</x:f>
        <x:v>OK</x:v>
      </x:c>
      <x:c r="M2043" s="44" t="str">
        <x:v>Источник Expected Matchups.Target Win Rate A</x:v>
      </x:c>
    </x:row>
    <x:row r="2044" ht="36" customHeight="1">
      <x:c r="A2044" s="118" t="n">
        <x:v>2039</x:v>
      </x:c>
      <x:c r="B2044" s="35" t="str">
        <x:v>matchup_test</x:v>
      </x:c>
      <x:c r="C2044" s="35" t="str">
        <x:v>kangaroo_vs_gorilla</x:v>
      </x:c>
      <x:c r="D2044" s="35" t="str">
        <x:v>min_win_rate_a</x:v>
      </x:c>
      <x:c r="E2044" s="38" t="str">
        <x:v>number</x:v>
      </x:c>
      <x:c r="F2044" s="56" t="n">
        <x:f>'Expected Matchups'!E11</x:f>
        <x:v>0.5</x:v>
      </x:c>
      <x:c r="G2044" s="38" t="str"/>
      <x:c r="H2044" s="35" t="str">
        <x:v>Expected Matchups</x:v>
      </x:c>
      <x:c r="I2044" s="35" t="str">
        <x:v>E11</x:v>
      </x:c>
      <x:c r="J2044" s="85" t="b">
        <x:v>1</x:v>
      </x:c>
      <x:c r="K2044" s="85" t="b">
        <x:v>0</x:v>
      </x:c>
      <x:c r="L2044" s="56" t="str">
        <x:f>'Expected Matchups'!S11</x:f>
        <x:v>OK</x:v>
      </x:c>
      <x:c r="M2044" s="44" t="str">
        <x:v>Источник Expected Matchups.Min Win Rate A</x:v>
      </x:c>
    </x:row>
    <x:row r="2045" ht="36" customHeight="1">
      <x:c r="A2045" s="118" t="n">
        <x:v>2040</x:v>
      </x:c>
      <x:c r="B2045" s="35" t="str">
        <x:v>matchup_test</x:v>
      </x:c>
      <x:c r="C2045" s="35" t="str">
        <x:v>kangaroo_vs_gorilla</x:v>
      </x:c>
      <x:c r="D2045" s="35" t="str">
        <x:v>max_win_rate_a</x:v>
      </x:c>
      <x:c r="E2045" s="38" t="str">
        <x:v>number</x:v>
      </x:c>
      <x:c r="F2045" s="56" t="n">
        <x:f>'Expected Matchups'!F11</x:f>
        <x:v>0.56</x:v>
      </x:c>
      <x:c r="G2045" s="38" t="str"/>
      <x:c r="H2045" s="35" t="str">
        <x:v>Expected Matchups</x:v>
      </x:c>
      <x:c r="I2045" s="35" t="str">
        <x:v>F11</x:v>
      </x:c>
      <x:c r="J2045" s="85" t="b">
        <x:v>1</x:v>
      </x:c>
      <x:c r="K2045" s="85" t="b">
        <x:v>0</x:v>
      </x:c>
      <x:c r="L2045" s="56" t="str">
        <x:f>'Expected Matchups'!S11</x:f>
        <x:v>OK</x:v>
      </x:c>
      <x:c r="M2045" s="44" t="str">
        <x:v>Источник Expected Matchups.Max Win Rate A</x:v>
      </x:c>
    </x:row>
    <x:row r="2046" ht="36" customHeight="1">
      <x:c r="A2046" s="118" t="n">
        <x:v>2041</x:v>
      </x:c>
      <x:c r="B2046" s="35" t="str">
        <x:v>matchup_test</x:v>
      </x:c>
      <x:c r="C2046" s="35" t="str">
        <x:v>kangaroo_vs_gorilla</x:v>
      </x:c>
      <x:c r="D2046" s="35" t="str">
        <x:v>target_draw_rate_max</x:v>
      </x:c>
      <x:c r="E2046" s="38" t="str">
        <x:v>number</x:v>
      </x:c>
      <x:c r="F2046" s="56" t="n">
        <x:f>'Expected Matchups'!G11</x:f>
        <x:v>0.02</x:v>
      </x:c>
      <x:c r="G2046" s="38" t="str"/>
      <x:c r="H2046" s="35" t="str">
        <x:v>Expected Matchups</x:v>
      </x:c>
      <x:c r="I2046" s="35" t="str">
        <x:v>G11</x:v>
      </x:c>
      <x:c r="J2046" s="85" t="b">
        <x:v>1</x:v>
      </x:c>
      <x:c r="K2046" s="85" t="b">
        <x:v>0</x:v>
      </x:c>
      <x:c r="L2046" s="56" t="str">
        <x:f>'Expected Matchups'!S11</x:f>
        <x:v>OK</x:v>
      </x:c>
      <x:c r="M2046" s="44" t="str">
        <x:v>Источник Expected Matchups.Draw Rate Max</x:v>
      </x:c>
    </x:row>
    <x:row r="2047" ht="36" customHeight="1">
      <x:c r="A2047" s="118" t="n">
        <x:v>2042</x:v>
      </x:c>
      <x:c r="B2047" s="35" t="str">
        <x:v>matchup_test</x:v>
      </x:c>
      <x:c r="C2047" s="35" t="str">
        <x:v>kangaroo_vs_gorilla</x:v>
      </x:c>
      <x:c r="D2047" s="35" t="str">
        <x:v>target_timeout_rate_max</x:v>
      </x:c>
      <x:c r="E2047" s="38" t="str">
        <x:v>number</x:v>
      </x:c>
      <x:c r="F2047" s="56" t="n">
        <x:f>'Expected Matchups'!H11</x:f>
        <x:v>0.02</x:v>
      </x:c>
      <x:c r="G2047" s="38" t="str"/>
      <x:c r="H2047" s="35" t="str">
        <x:v>Expected Matchups</x:v>
      </x:c>
      <x:c r="I2047" s="35" t="str">
        <x:v>H11</x:v>
      </x:c>
      <x:c r="J2047" s="85" t="b">
        <x:v>1</x:v>
      </x:c>
      <x:c r="K2047" s="85" t="b">
        <x:v>0</x:v>
      </x:c>
      <x:c r="L2047" s="56" t="str">
        <x:f>'Expected Matchups'!S11</x:f>
        <x:v>OK</x:v>
      </x:c>
      <x:c r="M2047" s="44" t="str">
        <x:v>Источник Expected Matchups.Timeout Rate Max</x:v>
      </x:c>
    </x:row>
    <x:row r="2048" ht="36" customHeight="1">
      <x:c r="A2048" s="118" t="n">
        <x:v>2043</x:v>
      </x:c>
      <x:c r="B2048" s="35" t="str">
        <x:v>matchup_test</x:v>
      </x:c>
      <x:c r="C2048" s="35" t="str">
        <x:v>kangaroo_vs_gorilla</x:v>
      </x:c>
      <x:c r="D2048" s="35" t="str">
        <x:v>target_duration_min_sec</x:v>
      </x:c>
      <x:c r="E2048" s="38" t="str">
        <x:v>int</x:v>
      </x:c>
      <x:c r="F2048" s="56" t="n">
        <x:f>'Expected Matchups'!I11</x:f>
        <x:v>35</x:v>
      </x:c>
      <x:c r="G2048" s="38" t="str"/>
      <x:c r="H2048" s="35" t="str">
        <x:v>Expected Matchups</x:v>
      </x:c>
      <x:c r="I2048" s="35" t="str">
        <x:v>I11</x:v>
      </x:c>
      <x:c r="J2048" s="85" t="b">
        <x:v>1</x:v>
      </x:c>
      <x:c r="K2048" s="85" t="b">
        <x:v>0</x:v>
      </x:c>
      <x:c r="L2048" s="56" t="str">
        <x:f>'Expected Matchups'!S11</x:f>
        <x:v>OK</x:v>
      </x:c>
      <x:c r="M2048" s="44" t="str">
        <x:v>Источник Expected Matchups.Duration Min Sec</x:v>
      </x:c>
    </x:row>
    <x:row r="2049" ht="36" customHeight="1">
      <x:c r="A2049" s="118" t="n">
        <x:v>2044</x:v>
      </x:c>
      <x:c r="B2049" s="35" t="str">
        <x:v>matchup_test</x:v>
      </x:c>
      <x:c r="C2049" s="35" t="str">
        <x:v>kangaroo_vs_gorilla</x:v>
      </x:c>
      <x:c r="D2049" s="35" t="str">
        <x:v>target_duration_max_sec</x:v>
      </x:c>
      <x:c r="E2049" s="38" t="str">
        <x:v>int</x:v>
      </x:c>
      <x:c r="F2049" s="56" t="n">
        <x:f>'Expected Matchups'!J11</x:f>
        <x:v>60</x:v>
      </x:c>
      <x:c r="G2049" s="38" t="str"/>
      <x:c r="H2049" s="35" t="str">
        <x:v>Expected Matchups</x:v>
      </x:c>
      <x:c r="I2049" s="35" t="str">
        <x:v>J11</x:v>
      </x:c>
      <x:c r="J2049" s="85" t="b">
        <x:v>1</x:v>
      </x:c>
      <x:c r="K2049" s="85" t="b">
        <x:v>0</x:v>
      </x:c>
      <x:c r="L2049" s="56" t="str">
        <x:f>'Expected Matchups'!S11</x:f>
        <x:v>OK</x:v>
      </x:c>
      <x:c r="M2049" s="44" t="str">
        <x:v>Источник Expected Matchups.Duration Max Sec</x:v>
      </x:c>
    </x:row>
    <x:row r="2050" ht="36" customHeight="1">
      <x:c r="A2050" s="118" t="n">
        <x:v>2045</x:v>
      </x:c>
      <x:c r="B2050" s="35" t="str">
        <x:v>matchup_test</x:v>
      </x:c>
      <x:c r="C2050" s="35" t="str">
        <x:v>kangaroo_vs_gorilla</x:v>
      </x:c>
      <x:c r="D2050" s="35" t="str">
        <x:v>target_signature_use_min</x:v>
      </x:c>
      <x:c r="E2050" s="38" t="str">
        <x:v>number</x:v>
      </x:c>
      <x:c r="F2050" s="56" t="n">
        <x:f>'Expected Matchups'!K11</x:f>
        <x:v>0.15</x:v>
      </x:c>
      <x:c r="G2050" s="38" t="str"/>
      <x:c r="H2050" s="35" t="str">
        <x:v>Expected Matchups</x:v>
      </x:c>
      <x:c r="I2050" s="35" t="str">
        <x:v>K11</x:v>
      </x:c>
      <x:c r="J2050" s="85" t="b">
        <x:v>1</x:v>
      </x:c>
      <x:c r="K2050" s="85" t="b">
        <x:v>0</x:v>
      </x:c>
      <x:c r="L2050" s="56" t="str">
        <x:f>'Expected Matchups'!S11</x:f>
        <x:v>OK</x:v>
      </x:c>
      <x:c r="M2050" s="44" t="str">
        <x:v>Источник Expected Matchups.Signature Use Min</x:v>
      </x:c>
    </x:row>
    <x:row r="2051" ht="36" customHeight="1">
      <x:c r="A2051" s="118" t="n">
        <x:v>2046</x:v>
      </x:c>
      <x:c r="B2051" s="35" t="str">
        <x:v>matchup_test</x:v>
      </x:c>
      <x:c r="C2051" s="35" t="str">
        <x:v>kangaroo_vs_gorilla</x:v>
      </x:c>
      <x:c r="D2051" s="35" t="str">
        <x:v>target_signature_use_max</x:v>
      </x:c>
      <x:c r="E2051" s="38" t="str">
        <x:v>number</x:v>
      </x:c>
      <x:c r="F2051" s="56" t="n">
        <x:f>'Expected Matchups'!L11</x:f>
        <x:v>0.35</x:v>
      </x:c>
      <x:c r="G2051" s="38" t="str"/>
      <x:c r="H2051" s="35" t="str">
        <x:v>Expected Matchups</x:v>
      </x:c>
      <x:c r="I2051" s="35" t="str">
        <x:v>L11</x:v>
      </x:c>
      <x:c r="J2051" s="85" t="b">
        <x:v>1</x:v>
      </x:c>
      <x:c r="K2051" s="85" t="b">
        <x:v>0</x:v>
      </x:c>
      <x:c r="L2051" s="56" t="str">
        <x:f>'Expected Matchups'!S11</x:f>
        <x:v>OK</x:v>
      </x:c>
      <x:c r="M2051" s="44" t="str">
        <x:v>Источник Expected Matchups.Signature Use Max</x:v>
      </x:c>
    </x:row>
    <x:row r="2052" ht="36" customHeight="1">
      <x:c r="A2052" s="118" t="n">
        <x:v>2047</x:v>
      </x:c>
      <x:c r="B2052" s="35" t="str">
        <x:v>matchup_test</x:v>
      </x:c>
      <x:c r="C2052" s="35" t="str">
        <x:v>kangaroo_vs_gorilla</x:v>
      </x:c>
      <x:c r="D2052" s="35" t="str">
        <x:v>expected_edge</x:v>
      </x:c>
      <x:c r="E2052" s="38" t="str">
        <x:v>string</x:v>
      </x:c>
      <x:c r="F2052" s="56" t="str">
        <x:f>'Expected Matchups'!M11</x:f>
        <x:v>Small A edge</x:v>
      </x:c>
      <x:c r="G2052" s="38" t="str"/>
      <x:c r="H2052" s="35" t="str">
        <x:v>Expected Matchups</x:v>
      </x:c>
      <x:c r="I2052" s="35" t="str">
        <x:v>M11</x:v>
      </x:c>
      <x:c r="J2052" s="85" t="b">
        <x:v>1</x:v>
      </x:c>
      <x:c r="K2052" s="85" t="b">
        <x:v>0</x:v>
      </x:c>
      <x:c r="L2052" s="56" t="str">
        <x:f>'Expected Matchups'!S11</x:f>
        <x:v>OK</x:v>
      </x:c>
      <x:c r="M2052" s="44" t="str">
        <x:v>Источник Expected Matchups.Expected Edge</x:v>
      </x:c>
    </x:row>
    <x:row r="2053" ht="36" customHeight="1">
      <x:c r="A2053" s="118" t="n">
        <x:v>2048</x:v>
      </x:c>
      <x:c r="B2053" s="35" t="str">
        <x:v>matchup_test</x:v>
      </x:c>
      <x:c r="C2053" s="35" t="str">
        <x:v>kangaroo_vs_gorilla</x:v>
      </x:c>
      <x:c r="D2053" s="35" t="str">
        <x:v>control_build_a</x:v>
      </x:c>
      <x:c r="E2053" s="38" t="str">
        <x:v>string</x:v>
      </x:c>
      <x:c r="F2053" s="56" t="str">
        <x:f>'Expected Matchups'!N11</x:f>
        <x:v>build_kangaroo_default</x:v>
      </x:c>
      <x:c r="G2053" s="38" t="str"/>
      <x:c r="H2053" s="35" t="str">
        <x:v>Expected Matchups</x:v>
      </x:c>
      <x:c r="I2053" s="35" t="str">
        <x:v>N11</x:v>
      </x:c>
      <x:c r="J2053" s="85" t="b">
        <x:v>1</x:v>
      </x:c>
      <x:c r="K2053" s="85" t="b">
        <x:v>0</x:v>
      </x:c>
      <x:c r="L2053" s="56" t="str">
        <x:f>'Expected Matchups'!S11</x:f>
        <x:v>OK</x:v>
      </x:c>
      <x:c r="M2053" s="44" t="str">
        <x:v>Источник Expected Matchups.Control Build A</x:v>
      </x:c>
    </x:row>
    <x:row r="2054" ht="36" customHeight="1">
      <x:c r="A2054" s="118" t="n">
        <x:v>2049</x:v>
      </x:c>
      <x:c r="B2054" s="35" t="str">
        <x:v>matchup_test</x:v>
      </x:c>
      <x:c r="C2054" s="35" t="str">
        <x:v>kangaroo_vs_gorilla</x:v>
      </x:c>
      <x:c r="D2054" s="35" t="str">
        <x:v>control_build_b</x:v>
      </x:c>
      <x:c r="E2054" s="38" t="str">
        <x:v>string</x:v>
      </x:c>
      <x:c r="F2054" s="56" t="str">
        <x:f>'Expected Matchups'!O11</x:f>
        <x:v>build_gorilla_default</x:v>
      </x:c>
      <x:c r="G2054" s="38" t="str"/>
      <x:c r="H2054" s="35" t="str">
        <x:v>Expected Matchups</x:v>
      </x:c>
      <x:c r="I2054" s="35" t="str">
        <x:v>O11</x:v>
      </x:c>
      <x:c r="J2054" s="85" t="b">
        <x:v>1</x:v>
      </x:c>
      <x:c r="K2054" s="85" t="b">
        <x:v>0</x:v>
      </x:c>
      <x:c r="L2054" s="56" t="str">
        <x:f>'Expected Matchups'!S11</x:f>
        <x:v>OK</x:v>
      </x:c>
      <x:c r="M2054" s="44" t="str">
        <x:v>Источник Expected Matchups.Control Build B</x:v>
      </x:c>
    </x:row>
    <x:row r="2055" ht="36" customHeight="1">
      <x:c r="A2055" s="118" t="n">
        <x:v>2050</x:v>
      </x:c>
      <x:c r="B2055" s="35" t="str">
        <x:v>matchup_test</x:v>
      </x:c>
      <x:c r="C2055" s="35" t="str">
        <x:v>gorilla_vs_bear</x:v>
      </x:c>
      <x:c r="D2055" s="35" t="str">
        <x:v>matchup_id</x:v>
      </x:c>
      <x:c r="E2055" s="38" t="str">
        <x:v>string</x:v>
      </x:c>
      <x:c r="F2055" s="56" t="str">
        <x:f>'Expected Matchups'!A12</x:f>
        <x:v>gorilla_vs_bear</x:v>
      </x:c>
      <x:c r="G2055" s="38" t="str"/>
      <x:c r="H2055" s="35" t="str">
        <x:v>Expected Matchups</x:v>
      </x:c>
      <x:c r="I2055" s="35" t="str">
        <x:v>A12</x:v>
      </x:c>
      <x:c r="J2055" s="85" t="b">
        <x:v>1</x:v>
      </x:c>
      <x:c r="K2055" s="85" t="b">
        <x:v>0</x:v>
      </x:c>
      <x:c r="L2055" s="56" t="str">
        <x:f>'Expected Matchups'!S12</x:f>
        <x:v>OK</x:v>
      </x:c>
      <x:c r="M2055" s="44" t="str">
        <x:v>Источник Expected Matchups.Matchup ID</x:v>
      </x:c>
    </x:row>
    <x:row r="2056" ht="36" customHeight="1">
      <x:c r="A2056" s="118" t="n">
        <x:v>2051</x:v>
      </x:c>
      <x:c r="B2056" s="35" t="str">
        <x:v>matchup_test</x:v>
      </x:c>
      <x:c r="C2056" s="35" t="str">
        <x:v>gorilla_vs_bear</x:v>
      </x:c>
      <x:c r="D2056" s="35" t="str">
        <x:v>animal_a</x:v>
      </x:c>
      <x:c r="E2056" s="38" t="str">
        <x:v>string</x:v>
      </x:c>
      <x:c r="F2056" s="56" t="str">
        <x:f>'Expected Matchups'!B12</x:f>
        <x:v>gorilla</x:v>
      </x:c>
      <x:c r="G2056" s="38" t="str"/>
      <x:c r="H2056" s="35" t="str">
        <x:v>Expected Matchups</x:v>
      </x:c>
      <x:c r="I2056" s="35" t="str">
        <x:v>B12</x:v>
      </x:c>
      <x:c r="J2056" s="85" t="b">
        <x:v>1</x:v>
      </x:c>
      <x:c r="K2056" s="85" t="b">
        <x:v>0</x:v>
      </x:c>
      <x:c r="L2056" s="56" t="str">
        <x:f>'Expected Matchups'!S12</x:f>
        <x:v>OK</x:v>
      </x:c>
      <x:c r="M2056" s="44" t="str">
        <x:v>Источник Expected Matchups.Animal A</x:v>
      </x:c>
    </x:row>
    <x:row r="2057" ht="36" customHeight="1">
      <x:c r="A2057" s="118" t="n">
        <x:v>2052</x:v>
      </x:c>
      <x:c r="B2057" s="35" t="str">
        <x:v>matchup_test</x:v>
      </x:c>
      <x:c r="C2057" s="35" t="str">
        <x:v>gorilla_vs_bear</x:v>
      </x:c>
      <x:c r="D2057" s="35" t="str">
        <x:v>animal_b</x:v>
      </x:c>
      <x:c r="E2057" s="38" t="str">
        <x:v>string</x:v>
      </x:c>
      <x:c r="F2057" s="56" t="str">
        <x:f>'Expected Matchups'!C12</x:f>
        <x:v>bear</x:v>
      </x:c>
      <x:c r="G2057" s="38" t="str"/>
      <x:c r="H2057" s="35" t="str">
        <x:v>Expected Matchups</x:v>
      </x:c>
      <x:c r="I2057" s="35" t="str">
        <x:v>C12</x:v>
      </x:c>
      <x:c r="J2057" s="85" t="b">
        <x:v>1</x:v>
      </x:c>
      <x:c r="K2057" s="85" t="b">
        <x:v>0</x:v>
      </x:c>
      <x:c r="L2057" s="56" t="str">
        <x:f>'Expected Matchups'!S12</x:f>
        <x:v>OK</x:v>
      </x:c>
      <x:c r="M2057" s="44" t="str">
        <x:v>Источник Expected Matchups.Animal B</x:v>
      </x:c>
    </x:row>
    <x:row r="2058" ht="36" customHeight="1">
      <x:c r="A2058" s="118" t="n">
        <x:v>2053</x:v>
      </x:c>
      <x:c r="B2058" s="35" t="str">
        <x:v>matchup_test</x:v>
      </x:c>
      <x:c r="C2058" s="35" t="str">
        <x:v>gorilla_vs_bear</x:v>
      </x:c>
      <x:c r="D2058" s="35" t="str">
        <x:v>target_win_rate_a</x:v>
      </x:c>
      <x:c r="E2058" s="38" t="str">
        <x:v>number</x:v>
      </x:c>
      <x:c r="F2058" s="56" t="n">
        <x:f>'Expected Matchups'!D12</x:f>
        <x:v>0.53</x:v>
      </x:c>
      <x:c r="G2058" s="38" t="str"/>
      <x:c r="H2058" s="35" t="str">
        <x:v>Expected Matchups</x:v>
      </x:c>
      <x:c r="I2058" s="35" t="str">
        <x:v>D12</x:v>
      </x:c>
      <x:c r="J2058" s="85" t="b">
        <x:v>1</x:v>
      </x:c>
      <x:c r="K2058" s="85" t="b">
        <x:v>0</x:v>
      </x:c>
      <x:c r="L2058" s="56" t="str">
        <x:f>'Expected Matchups'!S12</x:f>
        <x:v>OK</x:v>
      </x:c>
      <x:c r="M2058" s="44" t="str">
        <x:v>Источник Expected Matchups.Target Win Rate A</x:v>
      </x:c>
    </x:row>
    <x:row r="2059" ht="36" customHeight="1">
      <x:c r="A2059" s="118" t="n">
        <x:v>2054</x:v>
      </x:c>
      <x:c r="B2059" s="35" t="str">
        <x:v>matchup_test</x:v>
      </x:c>
      <x:c r="C2059" s="35" t="str">
        <x:v>gorilla_vs_bear</x:v>
      </x:c>
      <x:c r="D2059" s="35" t="str">
        <x:v>min_win_rate_a</x:v>
      </x:c>
      <x:c r="E2059" s="38" t="str">
        <x:v>number</x:v>
      </x:c>
      <x:c r="F2059" s="56" t="n">
        <x:f>'Expected Matchups'!E12</x:f>
        <x:v>0.5</x:v>
      </x:c>
      <x:c r="G2059" s="38" t="str"/>
      <x:c r="H2059" s="35" t="str">
        <x:v>Expected Matchups</x:v>
      </x:c>
      <x:c r="I2059" s="35" t="str">
        <x:v>E12</x:v>
      </x:c>
      <x:c r="J2059" s="85" t="b">
        <x:v>1</x:v>
      </x:c>
      <x:c r="K2059" s="85" t="b">
        <x:v>0</x:v>
      </x:c>
      <x:c r="L2059" s="56" t="str">
        <x:f>'Expected Matchups'!S12</x:f>
        <x:v>OK</x:v>
      </x:c>
      <x:c r="M2059" s="44" t="str">
        <x:v>Источник Expected Matchups.Min Win Rate A</x:v>
      </x:c>
    </x:row>
    <x:row r="2060" ht="36" customHeight="1">
      <x:c r="A2060" s="118" t="n">
        <x:v>2055</x:v>
      </x:c>
      <x:c r="B2060" s="35" t="str">
        <x:v>matchup_test</x:v>
      </x:c>
      <x:c r="C2060" s="35" t="str">
        <x:v>gorilla_vs_bear</x:v>
      </x:c>
      <x:c r="D2060" s="35" t="str">
        <x:v>max_win_rate_a</x:v>
      </x:c>
      <x:c r="E2060" s="38" t="str">
        <x:v>number</x:v>
      </x:c>
      <x:c r="F2060" s="56" t="n">
        <x:f>'Expected Matchups'!F12</x:f>
        <x:v>0.56</x:v>
      </x:c>
      <x:c r="G2060" s="38" t="str"/>
      <x:c r="H2060" s="35" t="str">
        <x:v>Expected Matchups</x:v>
      </x:c>
      <x:c r="I2060" s="35" t="str">
        <x:v>F12</x:v>
      </x:c>
      <x:c r="J2060" s="85" t="b">
        <x:v>1</x:v>
      </x:c>
      <x:c r="K2060" s="85" t="b">
        <x:v>0</x:v>
      </x:c>
      <x:c r="L2060" s="56" t="str">
        <x:f>'Expected Matchups'!S12</x:f>
        <x:v>OK</x:v>
      </x:c>
      <x:c r="M2060" s="44" t="str">
        <x:v>Источник Expected Matchups.Max Win Rate A</x:v>
      </x:c>
    </x:row>
    <x:row r="2061" ht="36" customHeight="1">
      <x:c r="A2061" s="118" t="n">
        <x:v>2056</x:v>
      </x:c>
      <x:c r="B2061" s="35" t="str">
        <x:v>matchup_test</x:v>
      </x:c>
      <x:c r="C2061" s="35" t="str">
        <x:v>gorilla_vs_bear</x:v>
      </x:c>
      <x:c r="D2061" s="35" t="str">
        <x:v>target_draw_rate_max</x:v>
      </x:c>
      <x:c r="E2061" s="38" t="str">
        <x:v>number</x:v>
      </x:c>
      <x:c r="F2061" s="56" t="n">
        <x:f>'Expected Matchups'!G12</x:f>
        <x:v>0.02</x:v>
      </x:c>
      <x:c r="G2061" s="38" t="str"/>
      <x:c r="H2061" s="35" t="str">
        <x:v>Expected Matchups</x:v>
      </x:c>
      <x:c r="I2061" s="35" t="str">
        <x:v>G12</x:v>
      </x:c>
      <x:c r="J2061" s="85" t="b">
        <x:v>1</x:v>
      </x:c>
      <x:c r="K2061" s="85" t="b">
        <x:v>0</x:v>
      </x:c>
      <x:c r="L2061" s="56" t="str">
        <x:f>'Expected Matchups'!S12</x:f>
        <x:v>OK</x:v>
      </x:c>
      <x:c r="M2061" s="44" t="str">
        <x:v>Источник Expected Matchups.Draw Rate Max</x:v>
      </x:c>
    </x:row>
    <x:row r="2062" ht="36" customHeight="1">
      <x:c r="A2062" s="118" t="n">
        <x:v>2057</x:v>
      </x:c>
      <x:c r="B2062" s="35" t="str">
        <x:v>matchup_test</x:v>
      </x:c>
      <x:c r="C2062" s="35" t="str">
        <x:v>gorilla_vs_bear</x:v>
      </x:c>
      <x:c r="D2062" s="35" t="str">
        <x:v>target_timeout_rate_max</x:v>
      </x:c>
      <x:c r="E2062" s="38" t="str">
        <x:v>number</x:v>
      </x:c>
      <x:c r="F2062" s="56" t="n">
        <x:f>'Expected Matchups'!H12</x:f>
        <x:v>0.02</x:v>
      </x:c>
      <x:c r="G2062" s="38" t="str"/>
      <x:c r="H2062" s="35" t="str">
        <x:v>Expected Matchups</x:v>
      </x:c>
      <x:c r="I2062" s="35" t="str">
        <x:v>H12</x:v>
      </x:c>
      <x:c r="J2062" s="85" t="b">
        <x:v>1</x:v>
      </x:c>
      <x:c r="K2062" s="85" t="b">
        <x:v>0</x:v>
      </x:c>
      <x:c r="L2062" s="56" t="str">
        <x:f>'Expected Matchups'!S12</x:f>
        <x:v>OK</x:v>
      </x:c>
      <x:c r="M2062" s="44" t="str">
        <x:v>Источник Expected Matchups.Timeout Rate Max</x:v>
      </x:c>
    </x:row>
    <x:row r="2063" ht="36" customHeight="1">
      <x:c r="A2063" s="118" t="n">
        <x:v>2058</x:v>
      </x:c>
      <x:c r="B2063" s="35" t="str">
        <x:v>matchup_test</x:v>
      </x:c>
      <x:c r="C2063" s="35" t="str">
        <x:v>gorilla_vs_bear</x:v>
      </x:c>
      <x:c r="D2063" s="35" t="str">
        <x:v>target_duration_min_sec</x:v>
      </x:c>
      <x:c r="E2063" s="38" t="str">
        <x:v>int</x:v>
      </x:c>
      <x:c r="F2063" s="56" t="n">
        <x:f>'Expected Matchups'!I12</x:f>
        <x:v>35</x:v>
      </x:c>
      <x:c r="G2063" s="38" t="str"/>
      <x:c r="H2063" s="35" t="str">
        <x:v>Expected Matchups</x:v>
      </x:c>
      <x:c r="I2063" s="35" t="str">
        <x:v>I12</x:v>
      </x:c>
      <x:c r="J2063" s="85" t="b">
        <x:v>1</x:v>
      </x:c>
      <x:c r="K2063" s="85" t="b">
        <x:v>0</x:v>
      </x:c>
      <x:c r="L2063" s="56" t="str">
        <x:f>'Expected Matchups'!S12</x:f>
        <x:v>OK</x:v>
      </x:c>
      <x:c r="M2063" s="44" t="str">
        <x:v>Источник Expected Matchups.Duration Min Sec</x:v>
      </x:c>
    </x:row>
    <x:row r="2064" ht="36" customHeight="1">
      <x:c r="A2064" s="118" t="n">
        <x:v>2059</x:v>
      </x:c>
      <x:c r="B2064" s="35" t="str">
        <x:v>matchup_test</x:v>
      </x:c>
      <x:c r="C2064" s="35" t="str">
        <x:v>gorilla_vs_bear</x:v>
      </x:c>
      <x:c r="D2064" s="35" t="str">
        <x:v>target_duration_max_sec</x:v>
      </x:c>
      <x:c r="E2064" s="38" t="str">
        <x:v>int</x:v>
      </x:c>
      <x:c r="F2064" s="56" t="n">
        <x:f>'Expected Matchups'!J12</x:f>
        <x:v>60</x:v>
      </x:c>
      <x:c r="G2064" s="38" t="str"/>
      <x:c r="H2064" s="35" t="str">
        <x:v>Expected Matchups</x:v>
      </x:c>
      <x:c r="I2064" s="35" t="str">
        <x:v>J12</x:v>
      </x:c>
      <x:c r="J2064" s="85" t="b">
        <x:v>1</x:v>
      </x:c>
      <x:c r="K2064" s="85" t="b">
        <x:v>0</x:v>
      </x:c>
      <x:c r="L2064" s="56" t="str">
        <x:f>'Expected Matchups'!S12</x:f>
        <x:v>OK</x:v>
      </x:c>
      <x:c r="M2064" s="44" t="str">
        <x:v>Источник Expected Matchups.Duration Max Sec</x:v>
      </x:c>
    </x:row>
    <x:row r="2065" ht="36" customHeight="1">
      <x:c r="A2065" s="118" t="n">
        <x:v>2060</x:v>
      </x:c>
      <x:c r="B2065" s="35" t="str">
        <x:v>matchup_test</x:v>
      </x:c>
      <x:c r="C2065" s="35" t="str">
        <x:v>gorilla_vs_bear</x:v>
      </x:c>
      <x:c r="D2065" s="35" t="str">
        <x:v>target_signature_use_min</x:v>
      </x:c>
      <x:c r="E2065" s="38" t="str">
        <x:v>number</x:v>
      </x:c>
      <x:c r="F2065" s="56" t="n">
        <x:f>'Expected Matchups'!K12</x:f>
        <x:v>0.15</x:v>
      </x:c>
      <x:c r="G2065" s="38" t="str"/>
      <x:c r="H2065" s="35" t="str">
        <x:v>Expected Matchups</x:v>
      </x:c>
      <x:c r="I2065" s="35" t="str">
        <x:v>K12</x:v>
      </x:c>
      <x:c r="J2065" s="85" t="b">
        <x:v>1</x:v>
      </x:c>
      <x:c r="K2065" s="85" t="b">
        <x:v>0</x:v>
      </x:c>
      <x:c r="L2065" s="56" t="str">
        <x:f>'Expected Matchups'!S12</x:f>
        <x:v>OK</x:v>
      </x:c>
      <x:c r="M2065" s="44" t="str">
        <x:v>Источник Expected Matchups.Signature Use Min</x:v>
      </x:c>
    </x:row>
    <x:row r="2066" ht="36" customHeight="1">
      <x:c r="A2066" s="118" t="n">
        <x:v>2061</x:v>
      </x:c>
      <x:c r="B2066" s="35" t="str">
        <x:v>matchup_test</x:v>
      </x:c>
      <x:c r="C2066" s="35" t="str">
        <x:v>gorilla_vs_bear</x:v>
      </x:c>
      <x:c r="D2066" s="35" t="str">
        <x:v>target_signature_use_max</x:v>
      </x:c>
      <x:c r="E2066" s="38" t="str">
        <x:v>number</x:v>
      </x:c>
      <x:c r="F2066" s="56" t="n">
        <x:f>'Expected Matchups'!L12</x:f>
        <x:v>0.35</x:v>
      </x:c>
      <x:c r="G2066" s="38" t="str"/>
      <x:c r="H2066" s="35" t="str">
        <x:v>Expected Matchups</x:v>
      </x:c>
      <x:c r="I2066" s="35" t="str">
        <x:v>L12</x:v>
      </x:c>
      <x:c r="J2066" s="85" t="b">
        <x:v>1</x:v>
      </x:c>
      <x:c r="K2066" s="85" t="b">
        <x:v>0</x:v>
      </x:c>
      <x:c r="L2066" s="56" t="str">
        <x:f>'Expected Matchups'!S12</x:f>
        <x:v>OK</x:v>
      </x:c>
      <x:c r="M2066" s="44" t="str">
        <x:v>Источник Expected Matchups.Signature Use Max</x:v>
      </x:c>
    </x:row>
    <x:row r="2067" ht="36" customHeight="1">
      <x:c r="A2067" s="118" t="n">
        <x:v>2062</x:v>
      </x:c>
      <x:c r="B2067" s="35" t="str">
        <x:v>matchup_test</x:v>
      </x:c>
      <x:c r="C2067" s="35" t="str">
        <x:v>gorilla_vs_bear</x:v>
      </x:c>
      <x:c r="D2067" s="35" t="str">
        <x:v>expected_edge</x:v>
      </x:c>
      <x:c r="E2067" s="38" t="str">
        <x:v>string</x:v>
      </x:c>
      <x:c r="F2067" s="56" t="str">
        <x:f>'Expected Matchups'!M12</x:f>
        <x:v>Small A edge</x:v>
      </x:c>
      <x:c r="G2067" s="38" t="str"/>
      <x:c r="H2067" s="35" t="str">
        <x:v>Expected Matchups</x:v>
      </x:c>
      <x:c r="I2067" s="35" t="str">
        <x:v>M12</x:v>
      </x:c>
      <x:c r="J2067" s="85" t="b">
        <x:v>1</x:v>
      </x:c>
      <x:c r="K2067" s="85" t="b">
        <x:v>0</x:v>
      </x:c>
      <x:c r="L2067" s="56" t="str">
        <x:f>'Expected Matchups'!S12</x:f>
        <x:v>OK</x:v>
      </x:c>
      <x:c r="M2067" s="44" t="str">
        <x:v>Источник Expected Matchups.Expected Edge</x:v>
      </x:c>
    </x:row>
    <x:row r="2068" ht="36" customHeight="1">
      <x:c r="A2068" s="118" t="n">
        <x:v>2063</x:v>
      </x:c>
      <x:c r="B2068" s="35" t="str">
        <x:v>matchup_test</x:v>
      </x:c>
      <x:c r="C2068" s="35" t="str">
        <x:v>gorilla_vs_bear</x:v>
      </x:c>
      <x:c r="D2068" s="35" t="str">
        <x:v>control_build_a</x:v>
      </x:c>
      <x:c r="E2068" s="38" t="str">
        <x:v>string</x:v>
      </x:c>
      <x:c r="F2068" s="56" t="str">
        <x:f>'Expected Matchups'!N12</x:f>
        <x:v>build_gorilla_default</x:v>
      </x:c>
      <x:c r="G2068" s="38" t="str"/>
      <x:c r="H2068" s="35" t="str">
        <x:v>Expected Matchups</x:v>
      </x:c>
      <x:c r="I2068" s="35" t="str">
        <x:v>N12</x:v>
      </x:c>
      <x:c r="J2068" s="85" t="b">
        <x:v>1</x:v>
      </x:c>
      <x:c r="K2068" s="85" t="b">
        <x:v>0</x:v>
      </x:c>
      <x:c r="L2068" s="56" t="str">
        <x:f>'Expected Matchups'!S12</x:f>
        <x:v>OK</x:v>
      </x:c>
      <x:c r="M2068" s="44" t="str">
        <x:v>Источник Expected Matchups.Control Build A</x:v>
      </x:c>
    </x:row>
    <x:row r="2069" ht="36" customHeight="1">
      <x:c r="A2069" s="118" t="n">
        <x:v>2064</x:v>
      </x:c>
      <x:c r="B2069" s="35" t="str">
        <x:v>matchup_test</x:v>
      </x:c>
      <x:c r="C2069" s="35" t="str">
        <x:v>gorilla_vs_bear</x:v>
      </x:c>
      <x:c r="D2069" s="35" t="str">
        <x:v>control_build_b</x:v>
      </x:c>
      <x:c r="E2069" s="38" t="str">
        <x:v>string</x:v>
      </x:c>
      <x:c r="F2069" s="56" t="str">
        <x:f>'Expected Matchups'!O12</x:f>
        <x:v>build_bear_default</x:v>
      </x:c>
      <x:c r="G2069" s="38" t="str"/>
      <x:c r="H2069" s="35" t="str">
        <x:v>Expected Matchups</x:v>
      </x:c>
      <x:c r="I2069" s="35" t="str">
        <x:v>O12</x:v>
      </x:c>
      <x:c r="J2069" s="85" t="b">
        <x:v>1</x:v>
      </x:c>
      <x:c r="K2069" s="85" t="b">
        <x:v>0</x:v>
      </x:c>
      <x:c r="L2069" s="56" t="str">
        <x:f>'Expected Matchups'!S12</x:f>
        <x:v>OK</x:v>
      </x:c>
      <x:c r="M2069" s="44" t="str">
        <x:v>Источник Expected Matchups.Control Build B</x:v>
      </x:c>
    </x:row>
    <x:row r="2070" ht="36" customHeight="1">
      <x:c r="A2070" s="118" t="n">
        <x:v>2065</x:v>
      </x:c>
      <x:c r="B2070" s="35" t="str">
        <x:v>matchup_test</x:v>
      </x:c>
      <x:c r="C2070" s="35" t="str">
        <x:v>gorilla_vs_kangaroo</x:v>
      </x:c>
      <x:c r="D2070" s="35" t="str">
        <x:v>matchup_id</x:v>
      </x:c>
      <x:c r="E2070" s="38" t="str">
        <x:v>string</x:v>
      </x:c>
      <x:c r="F2070" s="56" t="str">
        <x:f>'Expected Matchups'!A13</x:f>
        <x:v>gorilla_vs_kangaroo</x:v>
      </x:c>
      <x:c r="G2070" s="38" t="str"/>
      <x:c r="H2070" s="35" t="str">
        <x:v>Expected Matchups</x:v>
      </x:c>
      <x:c r="I2070" s="35" t="str">
        <x:v>A13</x:v>
      </x:c>
      <x:c r="J2070" s="85" t="b">
        <x:v>1</x:v>
      </x:c>
      <x:c r="K2070" s="85" t="b">
        <x:v>0</x:v>
      </x:c>
      <x:c r="L2070" s="56" t="str">
        <x:f>'Expected Matchups'!S13</x:f>
        <x:v>OK</x:v>
      </x:c>
      <x:c r="M2070" s="44" t="str">
        <x:v>Источник Expected Matchups.Matchup ID</x:v>
      </x:c>
    </x:row>
    <x:row r="2071" ht="36" customHeight="1">
      <x:c r="A2071" s="118" t="n">
        <x:v>2066</x:v>
      </x:c>
      <x:c r="B2071" s="35" t="str">
        <x:v>matchup_test</x:v>
      </x:c>
      <x:c r="C2071" s="35" t="str">
        <x:v>gorilla_vs_kangaroo</x:v>
      </x:c>
      <x:c r="D2071" s="35" t="str">
        <x:v>animal_a</x:v>
      </x:c>
      <x:c r="E2071" s="38" t="str">
        <x:v>string</x:v>
      </x:c>
      <x:c r="F2071" s="56" t="str">
        <x:f>'Expected Matchups'!B13</x:f>
        <x:v>gorilla</x:v>
      </x:c>
      <x:c r="G2071" s="38" t="str"/>
      <x:c r="H2071" s="35" t="str">
        <x:v>Expected Matchups</x:v>
      </x:c>
      <x:c r="I2071" s="35" t="str">
        <x:v>B13</x:v>
      </x:c>
      <x:c r="J2071" s="85" t="b">
        <x:v>1</x:v>
      </x:c>
      <x:c r="K2071" s="85" t="b">
        <x:v>0</x:v>
      </x:c>
      <x:c r="L2071" s="56" t="str">
        <x:f>'Expected Matchups'!S13</x:f>
        <x:v>OK</x:v>
      </x:c>
      <x:c r="M2071" s="44" t="str">
        <x:v>Источник Expected Matchups.Animal A</x:v>
      </x:c>
    </x:row>
    <x:row r="2072" ht="36" customHeight="1">
      <x:c r="A2072" s="118" t="n">
        <x:v>2067</x:v>
      </x:c>
      <x:c r="B2072" s="35" t="str">
        <x:v>matchup_test</x:v>
      </x:c>
      <x:c r="C2072" s="35" t="str">
        <x:v>gorilla_vs_kangaroo</x:v>
      </x:c>
      <x:c r="D2072" s="35" t="str">
        <x:v>animal_b</x:v>
      </x:c>
      <x:c r="E2072" s="38" t="str">
        <x:v>string</x:v>
      </x:c>
      <x:c r="F2072" s="56" t="str">
        <x:f>'Expected Matchups'!C13</x:f>
        <x:v>kangaroo</x:v>
      </x:c>
      <x:c r="G2072" s="38" t="str"/>
      <x:c r="H2072" s="35" t="str">
        <x:v>Expected Matchups</x:v>
      </x:c>
      <x:c r="I2072" s="35" t="str">
        <x:v>C13</x:v>
      </x:c>
      <x:c r="J2072" s="85" t="b">
        <x:v>1</x:v>
      </x:c>
      <x:c r="K2072" s="85" t="b">
        <x:v>0</x:v>
      </x:c>
      <x:c r="L2072" s="56" t="str">
        <x:f>'Expected Matchups'!S13</x:f>
        <x:v>OK</x:v>
      </x:c>
      <x:c r="M2072" s="44" t="str">
        <x:v>Источник Expected Matchups.Animal B</x:v>
      </x:c>
    </x:row>
    <x:row r="2073" ht="36" customHeight="1">
      <x:c r="A2073" s="118" t="n">
        <x:v>2068</x:v>
      </x:c>
      <x:c r="B2073" s="35" t="str">
        <x:v>matchup_test</x:v>
      </x:c>
      <x:c r="C2073" s="35" t="str">
        <x:v>gorilla_vs_kangaroo</x:v>
      </x:c>
      <x:c r="D2073" s="35" t="str">
        <x:v>target_win_rate_a</x:v>
      </x:c>
      <x:c r="E2073" s="38" t="str">
        <x:v>number</x:v>
      </x:c>
      <x:c r="F2073" s="56" t="n">
        <x:f>'Expected Matchups'!D13</x:f>
        <x:v>0.47</x:v>
      </x:c>
      <x:c r="G2073" s="38" t="str"/>
      <x:c r="H2073" s="35" t="str">
        <x:v>Expected Matchups</x:v>
      </x:c>
      <x:c r="I2073" s="35" t="str">
        <x:v>D13</x:v>
      </x:c>
      <x:c r="J2073" s="85" t="b">
        <x:v>1</x:v>
      </x:c>
      <x:c r="K2073" s="85" t="b">
        <x:v>0</x:v>
      </x:c>
      <x:c r="L2073" s="56" t="str">
        <x:f>'Expected Matchups'!S13</x:f>
        <x:v>OK</x:v>
      </x:c>
      <x:c r="M2073" s="44" t="str">
        <x:v>Источник Expected Matchups.Target Win Rate A</x:v>
      </x:c>
    </x:row>
    <x:row r="2074" ht="36" customHeight="1">
      <x:c r="A2074" s="118" t="n">
        <x:v>2069</x:v>
      </x:c>
      <x:c r="B2074" s="35" t="str">
        <x:v>matchup_test</x:v>
      </x:c>
      <x:c r="C2074" s="35" t="str">
        <x:v>gorilla_vs_kangaroo</x:v>
      </x:c>
      <x:c r="D2074" s="35" t="str">
        <x:v>min_win_rate_a</x:v>
      </x:c>
      <x:c r="E2074" s="38" t="str">
        <x:v>number</x:v>
      </x:c>
      <x:c r="F2074" s="56" t="n">
        <x:f>'Expected Matchups'!E13</x:f>
        <x:v>0.44</x:v>
      </x:c>
      <x:c r="G2074" s="38" t="str"/>
      <x:c r="H2074" s="35" t="str">
        <x:v>Expected Matchups</x:v>
      </x:c>
      <x:c r="I2074" s="35" t="str">
        <x:v>E13</x:v>
      </x:c>
      <x:c r="J2074" s="85" t="b">
        <x:v>1</x:v>
      </x:c>
      <x:c r="K2074" s="85" t="b">
        <x:v>0</x:v>
      </x:c>
      <x:c r="L2074" s="56" t="str">
        <x:f>'Expected Matchups'!S13</x:f>
        <x:v>OK</x:v>
      </x:c>
      <x:c r="M2074" s="44" t="str">
        <x:v>Источник Expected Matchups.Min Win Rate A</x:v>
      </x:c>
    </x:row>
    <x:row r="2075" ht="36" customHeight="1">
      <x:c r="A2075" s="118" t="n">
        <x:v>2070</x:v>
      </x:c>
      <x:c r="B2075" s="35" t="str">
        <x:v>matchup_test</x:v>
      </x:c>
      <x:c r="C2075" s="35" t="str">
        <x:v>gorilla_vs_kangaroo</x:v>
      </x:c>
      <x:c r="D2075" s="35" t="str">
        <x:v>max_win_rate_a</x:v>
      </x:c>
      <x:c r="E2075" s="38" t="str">
        <x:v>number</x:v>
      </x:c>
      <x:c r="F2075" s="56" t="n">
        <x:f>'Expected Matchups'!F13</x:f>
        <x:v>0.5</x:v>
      </x:c>
      <x:c r="G2075" s="38" t="str"/>
      <x:c r="H2075" s="35" t="str">
        <x:v>Expected Matchups</x:v>
      </x:c>
      <x:c r="I2075" s="35" t="str">
        <x:v>F13</x:v>
      </x:c>
      <x:c r="J2075" s="85" t="b">
        <x:v>1</x:v>
      </x:c>
      <x:c r="K2075" s="85" t="b">
        <x:v>0</x:v>
      </x:c>
      <x:c r="L2075" s="56" t="str">
        <x:f>'Expected Matchups'!S13</x:f>
        <x:v>OK</x:v>
      </x:c>
      <x:c r="M2075" s="44" t="str">
        <x:v>Источник Expected Matchups.Max Win Rate A</x:v>
      </x:c>
    </x:row>
    <x:row r="2076" ht="36" customHeight="1">
      <x:c r="A2076" s="118" t="n">
        <x:v>2071</x:v>
      </x:c>
      <x:c r="B2076" s="35" t="str">
        <x:v>matchup_test</x:v>
      </x:c>
      <x:c r="C2076" s="35" t="str">
        <x:v>gorilla_vs_kangaroo</x:v>
      </x:c>
      <x:c r="D2076" s="35" t="str">
        <x:v>target_draw_rate_max</x:v>
      </x:c>
      <x:c r="E2076" s="38" t="str">
        <x:v>number</x:v>
      </x:c>
      <x:c r="F2076" s="56" t="n">
        <x:f>'Expected Matchups'!G13</x:f>
        <x:v>0.02</x:v>
      </x:c>
      <x:c r="G2076" s="38" t="str"/>
      <x:c r="H2076" s="35" t="str">
        <x:v>Expected Matchups</x:v>
      </x:c>
      <x:c r="I2076" s="35" t="str">
        <x:v>G13</x:v>
      </x:c>
      <x:c r="J2076" s="85" t="b">
        <x:v>1</x:v>
      </x:c>
      <x:c r="K2076" s="85" t="b">
        <x:v>0</x:v>
      </x:c>
      <x:c r="L2076" s="56" t="str">
        <x:f>'Expected Matchups'!S13</x:f>
        <x:v>OK</x:v>
      </x:c>
      <x:c r="M2076" s="44" t="str">
        <x:v>Источник Expected Matchups.Draw Rate Max</x:v>
      </x:c>
    </x:row>
    <x:row r="2077" ht="36" customHeight="1">
      <x:c r="A2077" s="118" t="n">
        <x:v>2072</x:v>
      </x:c>
      <x:c r="B2077" s="35" t="str">
        <x:v>matchup_test</x:v>
      </x:c>
      <x:c r="C2077" s="35" t="str">
        <x:v>gorilla_vs_kangaroo</x:v>
      </x:c>
      <x:c r="D2077" s="35" t="str">
        <x:v>target_timeout_rate_max</x:v>
      </x:c>
      <x:c r="E2077" s="38" t="str">
        <x:v>number</x:v>
      </x:c>
      <x:c r="F2077" s="56" t="n">
        <x:f>'Expected Matchups'!H13</x:f>
        <x:v>0.02</x:v>
      </x:c>
      <x:c r="G2077" s="38" t="str"/>
      <x:c r="H2077" s="35" t="str">
        <x:v>Expected Matchups</x:v>
      </x:c>
      <x:c r="I2077" s="35" t="str">
        <x:v>H13</x:v>
      </x:c>
      <x:c r="J2077" s="85" t="b">
        <x:v>1</x:v>
      </x:c>
      <x:c r="K2077" s="85" t="b">
        <x:v>0</x:v>
      </x:c>
      <x:c r="L2077" s="56" t="str">
        <x:f>'Expected Matchups'!S13</x:f>
        <x:v>OK</x:v>
      </x:c>
      <x:c r="M2077" s="44" t="str">
        <x:v>Источник Expected Matchups.Timeout Rate Max</x:v>
      </x:c>
    </x:row>
    <x:row r="2078" ht="36" customHeight="1">
      <x:c r="A2078" s="118" t="n">
        <x:v>2073</x:v>
      </x:c>
      <x:c r="B2078" s="35" t="str">
        <x:v>matchup_test</x:v>
      </x:c>
      <x:c r="C2078" s="35" t="str">
        <x:v>gorilla_vs_kangaroo</x:v>
      </x:c>
      <x:c r="D2078" s="35" t="str">
        <x:v>target_duration_min_sec</x:v>
      </x:c>
      <x:c r="E2078" s="38" t="str">
        <x:v>int</x:v>
      </x:c>
      <x:c r="F2078" s="56" t="n">
        <x:f>'Expected Matchups'!I13</x:f>
        <x:v>35</x:v>
      </x:c>
      <x:c r="G2078" s="38" t="str"/>
      <x:c r="H2078" s="35" t="str">
        <x:v>Expected Matchups</x:v>
      </x:c>
      <x:c r="I2078" s="35" t="str">
        <x:v>I13</x:v>
      </x:c>
      <x:c r="J2078" s="85" t="b">
        <x:v>1</x:v>
      </x:c>
      <x:c r="K2078" s="85" t="b">
        <x:v>0</x:v>
      </x:c>
      <x:c r="L2078" s="56" t="str">
        <x:f>'Expected Matchups'!S13</x:f>
        <x:v>OK</x:v>
      </x:c>
      <x:c r="M2078" s="44" t="str">
        <x:v>Источник Expected Matchups.Duration Min Sec</x:v>
      </x:c>
    </x:row>
    <x:row r="2079" ht="36" customHeight="1">
      <x:c r="A2079" s="118" t="n">
        <x:v>2074</x:v>
      </x:c>
      <x:c r="B2079" s="35" t="str">
        <x:v>matchup_test</x:v>
      </x:c>
      <x:c r="C2079" s="35" t="str">
        <x:v>gorilla_vs_kangaroo</x:v>
      </x:c>
      <x:c r="D2079" s="35" t="str">
        <x:v>target_duration_max_sec</x:v>
      </x:c>
      <x:c r="E2079" s="38" t="str">
        <x:v>int</x:v>
      </x:c>
      <x:c r="F2079" s="56" t="n">
        <x:f>'Expected Matchups'!J13</x:f>
        <x:v>60</x:v>
      </x:c>
      <x:c r="G2079" s="38" t="str"/>
      <x:c r="H2079" s="35" t="str">
        <x:v>Expected Matchups</x:v>
      </x:c>
      <x:c r="I2079" s="35" t="str">
        <x:v>J13</x:v>
      </x:c>
      <x:c r="J2079" s="85" t="b">
        <x:v>1</x:v>
      </x:c>
      <x:c r="K2079" s="85" t="b">
        <x:v>0</x:v>
      </x:c>
      <x:c r="L2079" s="56" t="str">
        <x:f>'Expected Matchups'!S13</x:f>
        <x:v>OK</x:v>
      </x:c>
      <x:c r="M2079" s="44" t="str">
        <x:v>Источник Expected Matchups.Duration Max Sec</x:v>
      </x:c>
    </x:row>
    <x:row r="2080" ht="36" customHeight="1">
      <x:c r="A2080" s="118" t="n">
        <x:v>2075</x:v>
      </x:c>
      <x:c r="B2080" s="35" t="str">
        <x:v>matchup_test</x:v>
      </x:c>
      <x:c r="C2080" s="35" t="str">
        <x:v>gorilla_vs_kangaroo</x:v>
      </x:c>
      <x:c r="D2080" s="35" t="str">
        <x:v>target_signature_use_min</x:v>
      </x:c>
      <x:c r="E2080" s="38" t="str">
        <x:v>number</x:v>
      </x:c>
      <x:c r="F2080" s="56" t="n">
        <x:f>'Expected Matchups'!K13</x:f>
        <x:v>0.15</x:v>
      </x:c>
      <x:c r="G2080" s="38" t="str"/>
      <x:c r="H2080" s="35" t="str">
        <x:v>Expected Matchups</x:v>
      </x:c>
      <x:c r="I2080" s="35" t="str">
        <x:v>K13</x:v>
      </x:c>
      <x:c r="J2080" s="85" t="b">
        <x:v>1</x:v>
      </x:c>
      <x:c r="K2080" s="85" t="b">
        <x:v>0</x:v>
      </x:c>
      <x:c r="L2080" s="56" t="str">
        <x:f>'Expected Matchups'!S13</x:f>
        <x:v>OK</x:v>
      </x:c>
      <x:c r="M2080" s="44" t="str">
        <x:v>Источник Expected Matchups.Signature Use Min</x:v>
      </x:c>
    </x:row>
    <x:row r="2081" ht="36" customHeight="1">
      <x:c r="A2081" s="118" t="n">
        <x:v>2076</x:v>
      </x:c>
      <x:c r="B2081" s="35" t="str">
        <x:v>matchup_test</x:v>
      </x:c>
      <x:c r="C2081" s="35" t="str">
        <x:v>gorilla_vs_kangaroo</x:v>
      </x:c>
      <x:c r="D2081" s="35" t="str">
        <x:v>target_signature_use_max</x:v>
      </x:c>
      <x:c r="E2081" s="38" t="str">
        <x:v>number</x:v>
      </x:c>
      <x:c r="F2081" s="56" t="n">
        <x:f>'Expected Matchups'!L13</x:f>
        <x:v>0.35</x:v>
      </x:c>
      <x:c r="G2081" s="38" t="str"/>
      <x:c r="H2081" s="35" t="str">
        <x:v>Expected Matchups</x:v>
      </x:c>
      <x:c r="I2081" s="35" t="str">
        <x:v>L13</x:v>
      </x:c>
      <x:c r="J2081" s="85" t="b">
        <x:v>1</x:v>
      </x:c>
      <x:c r="K2081" s="85" t="b">
        <x:v>0</x:v>
      </x:c>
      <x:c r="L2081" s="56" t="str">
        <x:f>'Expected Matchups'!S13</x:f>
        <x:v>OK</x:v>
      </x:c>
      <x:c r="M2081" s="44" t="str">
        <x:v>Источник Expected Matchups.Signature Use Max</x:v>
      </x:c>
    </x:row>
    <x:row r="2082" ht="36" customHeight="1">
      <x:c r="A2082" s="118" t="n">
        <x:v>2077</x:v>
      </x:c>
      <x:c r="B2082" s="35" t="str">
        <x:v>matchup_test</x:v>
      </x:c>
      <x:c r="C2082" s="35" t="str">
        <x:v>gorilla_vs_kangaroo</x:v>
      </x:c>
      <x:c r="D2082" s="35" t="str">
        <x:v>expected_edge</x:v>
      </x:c>
      <x:c r="E2082" s="38" t="str">
        <x:v>string</x:v>
      </x:c>
      <x:c r="F2082" s="56" t="str">
        <x:f>'Expected Matchups'!M13</x:f>
        <x:v>Small B edge</x:v>
      </x:c>
      <x:c r="G2082" s="38" t="str"/>
      <x:c r="H2082" s="35" t="str">
        <x:v>Expected Matchups</x:v>
      </x:c>
      <x:c r="I2082" s="35" t="str">
        <x:v>M13</x:v>
      </x:c>
      <x:c r="J2082" s="85" t="b">
        <x:v>1</x:v>
      </x:c>
      <x:c r="K2082" s="85" t="b">
        <x:v>0</x:v>
      </x:c>
      <x:c r="L2082" s="56" t="str">
        <x:f>'Expected Matchups'!S13</x:f>
        <x:v>OK</x:v>
      </x:c>
      <x:c r="M2082" s="44" t="str">
        <x:v>Источник Expected Matchups.Expected Edge</x:v>
      </x:c>
    </x:row>
    <x:row r="2083" ht="36" customHeight="1">
      <x:c r="A2083" s="118" t="n">
        <x:v>2078</x:v>
      </x:c>
      <x:c r="B2083" s="35" t="str">
        <x:v>matchup_test</x:v>
      </x:c>
      <x:c r="C2083" s="35" t="str">
        <x:v>gorilla_vs_kangaroo</x:v>
      </x:c>
      <x:c r="D2083" s="35" t="str">
        <x:v>control_build_a</x:v>
      </x:c>
      <x:c r="E2083" s="38" t="str">
        <x:v>string</x:v>
      </x:c>
      <x:c r="F2083" s="56" t="str">
        <x:f>'Expected Matchups'!N13</x:f>
        <x:v>build_gorilla_default</x:v>
      </x:c>
      <x:c r="G2083" s="38" t="str"/>
      <x:c r="H2083" s="35" t="str">
        <x:v>Expected Matchups</x:v>
      </x:c>
      <x:c r="I2083" s="35" t="str">
        <x:v>N13</x:v>
      </x:c>
      <x:c r="J2083" s="85" t="b">
        <x:v>1</x:v>
      </x:c>
      <x:c r="K2083" s="85" t="b">
        <x:v>0</x:v>
      </x:c>
      <x:c r="L2083" s="56" t="str">
        <x:f>'Expected Matchups'!S13</x:f>
        <x:v>OK</x:v>
      </x:c>
      <x:c r="M2083" s="44" t="str">
        <x:v>Источник Expected Matchups.Control Build A</x:v>
      </x:c>
    </x:row>
    <x:row r="2084" ht="36" customHeight="1">
      <x:c r="A2084" s="118" t="n">
        <x:v>2079</x:v>
      </x:c>
      <x:c r="B2084" s="35" t="str">
        <x:v>matchup_test</x:v>
      </x:c>
      <x:c r="C2084" s="35" t="str">
        <x:v>gorilla_vs_kangaroo</x:v>
      </x:c>
      <x:c r="D2084" s="35" t="str">
        <x:v>control_build_b</x:v>
      </x:c>
      <x:c r="E2084" s="38" t="str">
        <x:v>string</x:v>
      </x:c>
      <x:c r="F2084" s="56" t="str">
        <x:f>'Expected Matchups'!O13</x:f>
        <x:v>build_kangaroo_default</x:v>
      </x:c>
      <x:c r="G2084" s="38" t="str"/>
      <x:c r="H2084" s="35" t="str">
        <x:v>Expected Matchups</x:v>
      </x:c>
      <x:c r="I2084" s="35" t="str">
        <x:v>O13</x:v>
      </x:c>
      <x:c r="J2084" s="85" t="b">
        <x:v>1</x:v>
      </x:c>
      <x:c r="K2084" s="85" t="b">
        <x:v>0</x:v>
      </x:c>
      <x:c r="L2084" s="56" t="str">
        <x:f>'Expected Matchups'!S13</x:f>
        <x:v>OK</x:v>
      </x:c>
      <x:c r="M2084" s="44" t="str">
        <x:v>Источник Expected Matchups.Control Build B</x:v>
      </x:c>
    </x:row>
    <x:row r="2085" ht="36" customHeight="1">
      <x:c r="A2085" s="118" t="n">
        <x:v>2080</x:v>
      </x:c>
      <x:c r="B2085" s="35" t="str">
        <x:v>matchup_test</x:v>
      </x:c>
      <x:c r="C2085" s="35" t="str">
        <x:v>gorilla_vs_gorilla</x:v>
      </x:c>
      <x:c r="D2085" s="35" t="str">
        <x:v>matchup_id</x:v>
      </x:c>
      <x:c r="E2085" s="38" t="str">
        <x:v>string</x:v>
      </x:c>
      <x:c r="F2085" s="56" t="str">
        <x:f>'Expected Matchups'!A14</x:f>
        <x:v>gorilla_vs_gorilla</x:v>
      </x:c>
      <x:c r="G2085" s="38" t="str"/>
      <x:c r="H2085" s="35" t="str">
        <x:v>Expected Matchups</x:v>
      </x:c>
      <x:c r="I2085" s="35" t="str">
        <x:v>A14</x:v>
      </x:c>
      <x:c r="J2085" s="85" t="b">
        <x:v>1</x:v>
      </x:c>
      <x:c r="K2085" s="85" t="b">
        <x:v>0</x:v>
      </x:c>
      <x:c r="L2085" s="56" t="str">
        <x:f>'Expected Matchups'!S14</x:f>
        <x:v>OK</x:v>
      </x:c>
      <x:c r="M2085" s="44" t="str">
        <x:v>Источник Expected Matchups.Matchup ID</x:v>
      </x:c>
    </x:row>
    <x:row r="2086" ht="36" customHeight="1">
      <x:c r="A2086" s="118" t="n">
        <x:v>2081</x:v>
      </x:c>
      <x:c r="B2086" s="35" t="str">
        <x:v>matchup_test</x:v>
      </x:c>
      <x:c r="C2086" s="35" t="str">
        <x:v>gorilla_vs_gorilla</x:v>
      </x:c>
      <x:c r="D2086" s="35" t="str">
        <x:v>animal_a</x:v>
      </x:c>
      <x:c r="E2086" s="38" t="str">
        <x:v>string</x:v>
      </x:c>
      <x:c r="F2086" s="56" t="str">
        <x:f>'Expected Matchups'!B14</x:f>
        <x:v>gorilla</x:v>
      </x:c>
      <x:c r="G2086" s="38" t="str"/>
      <x:c r="H2086" s="35" t="str">
        <x:v>Expected Matchups</x:v>
      </x:c>
      <x:c r="I2086" s="35" t="str">
        <x:v>B14</x:v>
      </x:c>
      <x:c r="J2086" s="85" t="b">
        <x:v>1</x:v>
      </x:c>
      <x:c r="K2086" s="85" t="b">
        <x:v>0</x:v>
      </x:c>
      <x:c r="L2086" s="56" t="str">
        <x:f>'Expected Matchups'!S14</x:f>
        <x:v>OK</x:v>
      </x:c>
      <x:c r="M2086" s="44" t="str">
        <x:v>Источник Expected Matchups.Animal A</x:v>
      </x:c>
    </x:row>
    <x:row r="2087" ht="36" customHeight="1">
      <x:c r="A2087" s="118" t="n">
        <x:v>2082</x:v>
      </x:c>
      <x:c r="B2087" s="35" t="str">
        <x:v>matchup_test</x:v>
      </x:c>
      <x:c r="C2087" s="35" t="str">
        <x:v>gorilla_vs_gorilla</x:v>
      </x:c>
      <x:c r="D2087" s="35" t="str">
        <x:v>animal_b</x:v>
      </x:c>
      <x:c r="E2087" s="38" t="str">
        <x:v>string</x:v>
      </x:c>
      <x:c r="F2087" s="56" t="str">
        <x:f>'Expected Matchups'!C14</x:f>
        <x:v>gorilla</x:v>
      </x:c>
      <x:c r="G2087" s="38" t="str"/>
      <x:c r="H2087" s="35" t="str">
        <x:v>Expected Matchups</x:v>
      </x:c>
      <x:c r="I2087" s="35" t="str">
        <x:v>C14</x:v>
      </x:c>
      <x:c r="J2087" s="85" t="b">
        <x:v>1</x:v>
      </x:c>
      <x:c r="K2087" s="85" t="b">
        <x:v>0</x:v>
      </x:c>
      <x:c r="L2087" s="56" t="str">
        <x:f>'Expected Matchups'!S14</x:f>
        <x:v>OK</x:v>
      </x:c>
      <x:c r="M2087" s="44" t="str">
        <x:v>Источник Expected Matchups.Animal B</x:v>
      </x:c>
    </x:row>
    <x:row r="2088" ht="36" customHeight="1">
      <x:c r="A2088" s="118" t="n">
        <x:v>2083</x:v>
      </x:c>
      <x:c r="B2088" s="35" t="str">
        <x:v>matchup_test</x:v>
      </x:c>
      <x:c r="C2088" s="35" t="str">
        <x:v>gorilla_vs_gorilla</x:v>
      </x:c>
      <x:c r="D2088" s="35" t="str">
        <x:v>target_win_rate_a</x:v>
      </x:c>
      <x:c r="E2088" s="38" t="str">
        <x:v>number</x:v>
      </x:c>
      <x:c r="F2088" s="56" t="n">
        <x:f>'Expected Matchups'!D14</x:f>
        <x:v>0.5</x:v>
      </x:c>
      <x:c r="G2088" s="38" t="str"/>
      <x:c r="H2088" s="35" t="str">
        <x:v>Expected Matchups</x:v>
      </x:c>
      <x:c r="I2088" s="35" t="str">
        <x:v>D14</x:v>
      </x:c>
      <x:c r="J2088" s="85" t="b">
        <x:v>1</x:v>
      </x:c>
      <x:c r="K2088" s="85" t="b">
        <x:v>0</x:v>
      </x:c>
      <x:c r="L2088" s="56" t="str">
        <x:f>'Expected Matchups'!S14</x:f>
        <x:v>OK</x:v>
      </x:c>
      <x:c r="M2088" s="44" t="str">
        <x:v>Источник Expected Matchups.Target Win Rate A</x:v>
      </x:c>
    </x:row>
    <x:row r="2089" ht="36" customHeight="1">
      <x:c r="A2089" s="118" t="n">
        <x:v>2084</x:v>
      </x:c>
      <x:c r="B2089" s="35" t="str">
        <x:v>matchup_test</x:v>
      </x:c>
      <x:c r="C2089" s="35" t="str">
        <x:v>gorilla_vs_gorilla</x:v>
      </x:c>
      <x:c r="D2089" s="35" t="str">
        <x:v>min_win_rate_a</x:v>
      </x:c>
      <x:c r="E2089" s="38" t="str">
        <x:v>number</x:v>
      </x:c>
      <x:c r="F2089" s="56" t="n">
        <x:f>'Expected Matchups'!E14</x:f>
        <x:v>0.47</x:v>
      </x:c>
      <x:c r="G2089" s="38" t="str"/>
      <x:c r="H2089" s="35" t="str">
        <x:v>Expected Matchups</x:v>
      </x:c>
      <x:c r="I2089" s="35" t="str">
        <x:v>E14</x:v>
      </x:c>
      <x:c r="J2089" s="85" t="b">
        <x:v>1</x:v>
      </x:c>
      <x:c r="K2089" s="85" t="b">
        <x:v>0</x:v>
      </x:c>
      <x:c r="L2089" s="56" t="str">
        <x:f>'Expected Matchups'!S14</x:f>
        <x:v>OK</x:v>
      </x:c>
      <x:c r="M2089" s="44" t="str">
        <x:v>Источник Expected Matchups.Min Win Rate A</x:v>
      </x:c>
    </x:row>
    <x:row r="2090" ht="36" customHeight="1">
      <x:c r="A2090" s="118" t="n">
        <x:v>2085</x:v>
      </x:c>
      <x:c r="B2090" s="35" t="str">
        <x:v>matchup_test</x:v>
      </x:c>
      <x:c r="C2090" s="35" t="str">
        <x:v>gorilla_vs_gorilla</x:v>
      </x:c>
      <x:c r="D2090" s="35" t="str">
        <x:v>max_win_rate_a</x:v>
      </x:c>
      <x:c r="E2090" s="38" t="str">
        <x:v>number</x:v>
      </x:c>
      <x:c r="F2090" s="56" t="n">
        <x:f>'Expected Matchups'!F14</x:f>
        <x:v>0.53</x:v>
      </x:c>
      <x:c r="G2090" s="38" t="str"/>
      <x:c r="H2090" s="35" t="str">
        <x:v>Expected Matchups</x:v>
      </x:c>
      <x:c r="I2090" s="35" t="str">
        <x:v>F14</x:v>
      </x:c>
      <x:c r="J2090" s="85" t="b">
        <x:v>1</x:v>
      </x:c>
      <x:c r="K2090" s="85" t="b">
        <x:v>0</x:v>
      </x:c>
      <x:c r="L2090" s="56" t="str">
        <x:f>'Expected Matchups'!S14</x:f>
        <x:v>OK</x:v>
      </x:c>
      <x:c r="M2090" s="44" t="str">
        <x:v>Источник Expected Matchups.Max Win Rate A</x:v>
      </x:c>
    </x:row>
    <x:row r="2091" ht="36" customHeight="1">
      <x:c r="A2091" s="118" t="n">
        <x:v>2086</x:v>
      </x:c>
      <x:c r="B2091" s="35" t="str">
        <x:v>matchup_test</x:v>
      </x:c>
      <x:c r="C2091" s="35" t="str">
        <x:v>gorilla_vs_gorilla</x:v>
      </x:c>
      <x:c r="D2091" s="35" t="str">
        <x:v>target_draw_rate_max</x:v>
      </x:c>
      <x:c r="E2091" s="38" t="str">
        <x:v>number</x:v>
      </x:c>
      <x:c r="F2091" s="56" t="n">
        <x:f>'Expected Matchups'!G14</x:f>
        <x:v>0.02</x:v>
      </x:c>
      <x:c r="G2091" s="38" t="str"/>
      <x:c r="H2091" s="35" t="str">
        <x:v>Expected Matchups</x:v>
      </x:c>
      <x:c r="I2091" s="35" t="str">
        <x:v>G14</x:v>
      </x:c>
      <x:c r="J2091" s="85" t="b">
        <x:v>1</x:v>
      </x:c>
      <x:c r="K2091" s="85" t="b">
        <x:v>0</x:v>
      </x:c>
      <x:c r="L2091" s="56" t="str">
        <x:f>'Expected Matchups'!S14</x:f>
        <x:v>OK</x:v>
      </x:c>
      <x:c r="M2091" s="44" t="str">
        <x:v>Источник Expected Matchups.Draw Rate Max</x:v>
      </x:c>
    </x:row>
    <x:row r="2092" ht="36" customHeight="1">
      <x:c r="A2092" s="118" t="n">
        <x:v>2087</x:v>
      </x:c>
      <x:c r="B2092" s="35" t="str">
        <x:v>matchup_test</x:v>
      </x:c>
      <x:c r="C2092" s="35" t="str">
        <x:v>gorilla_vs_gorilla</x:v>
      </x:c>
      <x:c r="D2092" s="35" t="str">
        <x:v>target_timeout_rate_max</x:v>
      </x:c>
      <x:c r="E2092" s="38" t="str">
        <x:v>number</x:v>
      </x:c>
      <x:c r="F2092" s="56" t="n">
        <x:f>'Expected Matchups'!H14</x:f>
        <x:v>0.02</x:v>
      </x:c>
      <x:c r="G2092" s="38" t="str"/>
      <x:c r="H2092" s="35" t="str">
        <x:v>Expected Matchups</x:v>
      </x:c>
      <x:c r="I2092" s="35" t="str">
        <x:v>H14</x:v>
      </x:c>
      <x:c r="J2092" s="85" t="b">
        <x:v>1</x:v>
      </x:c>
      <x:c r="K2092" s="85" t="b">
        <x:v>0</x:v>
      </x:c>
      <x:c r="L2092" s="56" t="str">
        <x:f>'Expected Matchups'!S14</x:f>
        <x:v>OK</x:v>
      </x:c>
      <x:c r="M2092" s="44" t="str">
        <x:v>Источник Expected Matchups.Timeout Rate Max</x:v>
      </x:c>
    </x:row>
    <x:row r="2093" ht="36" customHeight="1">
      <x:c r="A2093" s="118" t="n">
        <x:v>2088</x:v>
      </x:c>
      <x:c r="B2093" s="35" t="str">
        <x:v>matchup_test</x:v>
      </x:c>
      <x:c r="C2093" s="35" t="str">
        <x:v>gorilla_vs_gorilla</x:v>
      </x:c>
      <x:c r="D2093" s="35" t="str">
        <x:v>target_duration_min_sec</x:v>
      </x:c>
      <x:c r="E2093" s="38" t="str">
        <x:v>int</x:v>
      </x:c>
      <x:c r="F2093" s="56" t="n">
        <x:f>'Expected Matchups'!I14</x:f>
        <x:v>35</x:v>
      </x:c>
      <x:c r="G2093" s="38" t="str"/>
      <x:c r="H2093" s="35" t="str">
        <x:v>Expected Matchups</x:v>
      </x:c>
      <x:c r="I2093" s="35" t="str">
        <x:v>I14</x:v>
      </x:c>
      <x:c r="J2093" s="85" t="b">
        <x:v>1</x:v>
      </x:c>
      <x:c r="K2093" s="85" t="b">
        <x:v>0</x:v>
      </x:c>
      <x:c r="L2093" s="56" t="str">
        <x:f>'Expected Matchups'!S14</x:f>
        <x:v>OK</x:v>
      </x:c>
      <x:c r="M2093" s="44" t="str">
        <x:v>Источник Expected Matchups.Duration Min Sec</x:v>
      </x:c>
    </x:row>
    <x:row r="2094" ht="36" customHeight="1">
      <x:c r="A2094" s="118" t="n">
        <x:v>2089</x:v>
      </x:c>
      <x:c r="B2094" s="35" t="str">
        <x:v>matchup_test</x:v>
      </x:c>
      <x:c r="C2094" s="35" t="str">
        <x:v>gorilla_vs_gorilla</x:v>
      </x:c>
      <x:c r="D2094" s="35" t="str">
        <x:v>target_duration_max_sec</x:v>
      </x:c>
      <x:c r="E2094" s="38" t="str">
        <x:v>int</x:v>
      </x:c>
      <x:c r="F2094" s="56" t="n">
        <x:f>'Expected Matchups'!J14</x:f>
        <x:v>60</x:v>
      </x:c>
      <x:c r="G2094" s="38" t="str"/>
      <x:c r="H2094" s="35" t="str">
        <x:v>Expected Matchups</x:v>
      </x:c>
      <x:c r="I2094" s="35" t="str">
        <x:v>J14</x:v>
      </x:c>
      <x:c r="J2094" s="85" t="b">
        <x:v>1</x:v>
      </x:c>
      <x:c r="K2094" s="85" t="b">
        <x:v>0</x:v>
      </x:c>
      <x:c r="L2094" s="56" t="str">
        <x:f>'Expected Matchups'!S14</x:f>
        <x:v>OK</x:v>
      </x:c>
      <x:c r="M2094" s="44" t="str">
        <x:v>Источник Expected Matchups.Duration Max Sec</x:v>
      </x:c>
    </x:row>
    <x:row r="2095" ht="36" customHeight="1">
      <x:c r="A2095" s="118" t="n">
        <x:v>2090</x:v>
      </x:c>
      <x:c r="B2095" s="35" t="str">
        <x:v>matchup_test</x:v>
      </x:c>
      <x:c r="C2095" s="35" t="str">
        <x:v>gorilla_vs_gorilla</x:v>
      </x:c>
      <x:c r="D2095" s="35" t="str">
        <x:v>target_signature_use_min</x:v>
      </x:c>
      <x:c r="E2095" s="38" t="str">
        <x:v>number</x:v>
      </x:c>
      <x:c r="F2095" s="56" t="n">
        <x:f>'Expected Matchups'!K14</x:f>
        <x:v>0.15</x:v>
      </x:c>
      <x:c r="G2095" s="38" t="str"/>
      <x:c r="H2095" s="35" t="str">
        <x:v>Expected Matchups</x:v>
      </x:c>
      <x:c r="I2095" s="35" t="str">
        <x:v>K14</x:v>
      </x:c>
      <x:c r="J2095" s="85" t="b">
        <x:v>1</x:v>
      </x:c>
      <x:c r="K2095" s="85" t="b">
        <x:v>0</x:v>
      </x:c>
      <x:c r="L2095" s="56" t="str">
        <x:f>'Expected Matchups'!S14</x:f>
        <x:v>OK</x:v>
      </x:c>
      <x:c r="M2095" s="44" t="str">
        <x:v>Источник Expected Matchups.Signature Use Min</x:v>
      </x:c>
    </x:row>
    <x:row r="2096" ht="36" customHeight="1">
      <x:c r="A2096" s="118" t="n">
        <x:v>2091</x:v>
      </x:c>
      <x:c r="B2096" s="35" t="str">
        <x:v>matchup_test</x:v>
      </x:c>
      <x:c r="C2096" s="35" t="str">
        <x:v>gorilla_vs_gorilla</x:v>
      </x:c>
      <x:c r="D2096" s="35" t="str">
        <x:v>target_signature_use_max</x:v>
      </x:c>
      <x:c r="E2096" s="38" t="str">
        <x:v>number</x:v>
      </x:c>
      <x:c r="F2096" s="56" t="n">
        <x:f>'Expected Matchups'!L14</x:f>
        <x:v>0.35</x:v>
      </x:c>
      <x:c r="G2096" s="38" t="str"/>
      <x:c r="H2096" s="35" t="str">
        <x:v>Expected Matchups</x:v>
      </x:c>
      <x:c r="I2096" s="35" t="str">
        <x:v>L14</x:v>
      </x:c>
      <x:c r="J2096" s="85" t="b">
        <x:v>1</x:v>
      </x:c>
      <x:c r="K2096" s="85" t="b">
        <x:v>0</x:v>
      </x:c>
      <x:c r="L2096" s="56" t="str">
        <x:f>'Expected Matchups'!S14</x:f>
        <x:v>OK</x:v>
      </x:c>
      <x:c r="M2096" s="44" t="str">
        <x:v>Источник Expected Matchups.Signature Use Max</x:v>
      </x:c>
    </x:row>
    <x:row r="2097" ht="36" customHeight="1">
      <x:c r="A2097" s="118" t="n">
        <x:v>2092</x:v>
      </x:c>
      <x:c r="B2097" s="35" t="str">
        <x:v>matchup_test</x:v>
      </x:c>
      <x:c r="C2097" s="35" t="str">
        <x:v>gorilla_vs_gorilla</x:v>
      </x:c>
      <x:c r="D2097" s="35" t="str">
        <x:v>expected_edge</x:v>
      </x:c>
      <x:c r="E2097" s="38" t="str">
        <x:v>string</x:v>
      </x:c>
      <x:c r="F2097" s="56" t="str">
        <x:f>'Expected Matchups'!M14</x:f>
        <x:v>Neutral</x:v>
      </x:c>
      <x:c r="G2097" s="38" t="str"/>
      <x:c r="H2097" s="35" t="str">
        <x:v>Expected Matchups</x:v>
      </x:c>
      <x:c r="I2097" s="35" t="str">
        <x:v>M14</x:v>
      </x:c>
      <x:c r="J2097" s="85" t="b">
        <x:v>1</x:v>
      </x:c>
      <x:c r="K2097" s="85" t="b">
        <x:v>0</x:v>
      </x:c>
      <x:c r="L2097" s="56" t="str">
        <x:f>'Expected Matchups'!S14</x:f>
        <x:v>OK</x:v>
      </x:c>
      <x:c r="M2097" s="44" t="str">
        <x:v>Источник Expected Matchups.Expected Edge</x:v>
      </x:c>
    </x:row>
    <x:row r="2098" ht="36" customHeight="1">
      <x:c r="A2098" s="118" t="n">
        <x:v>2093</x:v>
      </x:c>
      <x:c r="B2098" s="35" t="str">
        <x:v>matchup_test</x:v>
      </x:c>
      <x:c r="C2098" s="35" t="str">
        <x:v>gorilla_vs_gorilla</x:v>
      </x:c>
      <x:c r="D2098" s="35" t="str">
        <x:v>control_build_a</x:v>
      </x:c>
      <x:c r="E2098" s="38" t="str">
        <x:v>string</x:v>
      </x:c>
      <x:c r="F2098" s="56" t="str">
        <x:f>'Expected Matchups'!N14</x:f>
        <x:v>build_gorilla_default</x:v>
      </x:c>
      <x:c r="G2098" s="38" t="str"/>
      <x:c r="H2098" s="35" t="str">
        <x:v>Expected Matchups</x:v>
      </x:c>
      <x:c r="I2098" s="35" t="str">
        <x:v>N14</x:v>
      </x:c>
      <x:c r="J2098" s="85" t="b">
        <x:v>1</x:v>
      </x:c>
      <x:c r="K2098" s="85" t="b">
        <x:v>0</x:v>
      </x:c>
      <x:c r="L2098" s="56" t="str">
        <x:f>'Expected Matchups'!S14</x:f>
        <x:v>OK</x:v>
      </x:c>
      <x:c r="M2098" s="44" t="str">
        <x:v>Источник Expected Matchups.Control Build A</x:v>
      </x:c>
    </x:row>
    <x:row r="2099" ht="36" customHeight="1">
      <x:c r="A2099" s="119" t="n">
        <x:v>2094</x:v>
      </x:c>
      <x:c r="B2099" s="36" t="str">
        <x:v>matchup_test</x:v>
      </x:c>
      <x:c r="C2099" s="36" t="str">
        <x:v>gorilla_vs_gorilla</x:v>
      </x:c>
      <x:c r="D2099" s="36" t="str">
        <x:v>control_build_b</x:v>
      </x:c>
      <x:c r="E2099" s="39" t="str">
        <x:v>string</x:v>
      </x:c>
      <x:c r="F2099" s="57" t="str">
        <x:f>'Expected Matchups'!O14</x:f>
        <x:v>build_gorilla_default</x:v>
      </x:c>
      <x:c r="G2099" s="39" t="str"/>
      <x:c r="H2099" s="36" t="str">
        <x:v>Expected Matchups</x:v>
      </x:c>
      <x:c r="I2099" s="36" t="str">
        <x:v>O14</x:v>
      </x:c>
      <x:c r="J2099" s="86" t="b">
        <x:v>1</x:v>
      </x:c>
      <x:c r="K2099" s="86" t="b">
        <x:v>0</x:v>
      </x:c>
      <x:c r="L2099" s="57" t="str">
        <x:f>'Expected Matchups'!S14</x:f>
        <x:v>OK</x:v>
      </x:c>
      <x:c r="M2099" s="45" t="str">
        <x:v>Источник Expected Matchups.Control Build B</x:v>
      </x:c>
    </x:row>
  </x:sheetData>
  <x:mergeCells>
    <x:mergeCell ref="A1:M1"/>
    <x:mergeCell ref="A2:M2"/>
    <x:mergeCell ref="A3:M3"/>
  </x:mergeCells>
  <x:conditionalFormatting sqref="L6:L2099">
    <x:cfRule type="containsText" dxfId="50" priority="1" operator="containsText" text="ERROR"/>
    <x:cfRule type="containsText" dxfId="51" priority="2" operator="containsText" text="OK"/>
    <x:cfRule type="containsText" dxfId="52" priority="3" operator="containsText" text="PASS"/>
    <x:cfRule type="containsText" dxfId="53" priority="4" operator="containsText" text="REVIEW"/>
    <x:cfRule type="containsText" dxfId="54" priority="5" operator="containsText" text="PENDING"/>
  </x:conditionalFormatting>
  <x:pageMargins left="0.7" right="0.7" top="0.75" bottom="0.75" header="0.3" footer="0.3"/>
  <x:tableParts count="1">
    <x:tablePart xmlns:r="http://schemas.openxmlformats.org/officeDocument/2006/relationships" r:id="R92b95af5de924475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8" hidden="0" customWidth="1"/>
    <x:col min="4" max="4" width="36" hidden="0" customWidth="1"/>
    <x:col min="5" max="5" width="12" hidden="0" customWidth="1"/>
    <x:col min="6" max="6" width="12" hidden="0" customWidth="1"/>
    <x:col min="7" max="7" width="24" hidden="0" customWidth="1"/>
  </x:cols>
  <x:sheetData>
    <x:row r="1" ht="30" customHeight="1">
      <x:c r="A1" s="3" t="str">
        <x:v>Validation</x:v>
      </x:c>
      <x:c r="B1" s="3"/>
      <x:c r="C1" s="3"/>
      <x:c r="D1" s="3"/>
      <x:c r="E1" s="3"/>
      <x:c r="F1" s="3"/>
      <x:c r="G1" s="3"/>
    </x:row>
    <x:row r="2" ht="22" customHeight="1">
      <x:c r="A2" s="6" t="str">
        <x:v>Единый список автоматических проверок перед JSON-экспортом</x:v>
      </x:c>
      <x:c r="B2" s="6"/>
      <x:c r="C2" s="6"/>
      <x:c r="D2" s="6"/>
      <x:c r="E2" s="6"/>
      <x:c r="F2" s="6"/>
      <x:c r="G2" s="6"/>
    </x:row>
    <x:row r="3" ht="32" customHeight="1">
      <x:c r="A3" s="10" t="str">
        <x:v>Экспорт запрещён при любом Result=ERROR. Сначала исправьте исходный лист; Validation и JSON Map обновятся автоматически.</x:v>
      </x:c>
      <x:c r="B3" s="10"/>
      <x:c r="C3" s="10"/>
      <x:c r="D3" s="10"/>
      <x:c r="E3" s="10"/>
      <x:c r="F3" s="10"/>
      <x:c r="G3" s="10"/>
    </x:row>
    <x:row r="5" ht="44" customHeight="1">
      <x:c r="A5" s="21" t="str">
        <x:v>Check ID</x:v>
      </x:c>
      <x:c r="B5" s="22" t="str">
        <x:v>Source Sheet</x:v>
      </x:c>
      <x:c r="C5" s="22" t="str">
        <x:v>Entity ID</x:v>
      </x:c>
      <x:c r="D5" s="22" t="str">
        <x:v>Rule</x:v>
      </x:c>
      <x:c r="E5" s="22" t="str">
        <x:v>Result</x:v>
      </x:c>
      <x:c r="F5" s="22" t="str">
        <x:v>Severity</x:v>
      </x:c>
      <x:c r="G5" s="23" t="str">
        <x:v>Details</x:v>
      </x:c>
    </x:row>
    <x:row r="6" ht="36" customHeight="1">
      <x:c r="A6" s="34" t="str">
        <x:v>CHK-0001</x:v>
      </x:c>
      <x:c r="B6" s="34" t="str">
        <x:v>Global Config</x:v>
      </x:c>
      <x:c r="C6" s="34" t="str">
        <x:v>global.sim.schema_version</x:v>
      </x:c>
      <x:c r="D6" s="43" t="str">
        <x:v>Обязательные поля и диапазоны</x:v>
      </x:c>
      <x:c r="E6" s="55" t="str">
        <x:f>'Global Config'!K6</x:f>
        <x:v>OK</x:v>
      </x:c>
      <x:c r="F6" s="37" t="str">
        <x:v>Error</x:v>
      </x:c>
      <x:c r="G6" s="37" t="str">
        <x:f>'Global Config'!A6</x:f>
        <x:v>global.sim.schema_version</x:v>
      </x:c>
    </x:row>
    <x:row r="7" ht="36" customHeight="1">
      <x:c r="A7" s="35" t="str">
        <x:v>CHK-0002</x:v>
      </x:c>
      <x:c r="B7" s="35" t="str">
        <x:v>Global Config</x:v>
      </x:c>
      <x:c r="C7" s="35" t="str">
        <x:v>global.sim.config_version</x:v>
      </x:c>
      <x:c r="D7" s="44" t="str">
        <x:v>Обязательные поля и диапазоны</x:v>
      </x:c>
      <x:c r="E7" s="56" t="str">
        <x:f>'Global Config'!K7</x:f>
        <x:v>OK</x:v>
      </x:c>
      <x:c r="F7" s="38" t="str">
        <x:v>Error</x:v>
      </x:c>
      <x:c r="G7" s="38" t="str">
        <x:f>'Global Config'!A7</x:f>
        <x:v>global.sim.config_version</x:v>
      </x:c>
    </x:row>
    <x:row r="8" ht="36" customHeight="1">
      <x:c r="A8" s="35" t="str">
        <x:v>CHK-0003</x:v>
      </x:c>
      <x:c r="B8" s="35" t="str">
        <x:v>Global Config</x:v>
      </x:c>
      <x:c r="C8" s="35" t="str">
        <x:v>global.sim.rng_version</x:v>
      </x:c>
      <x:c r="D8" s="44" t="str">
        <x:v>Обязательные поля и диапазоны</x:v>
      </x:c>
      <x:c r="E8" s="56" t="str">
        <x:f>'Global Config'!K8</x:f>
        <x:v>OK</x:v>
      </x:c>
      <x:c r="F8" s="38" t="str">
        <x:v>Error</x:v>
      </x:c>
      <x:c r="G8" s="38" t="str">
        <x:f>'Global Config'!A8</x:f>
        <x:v>global.sim.rng_version</x:v>
      </x:c>
    </x:row>
    <x:row r="9" ht="36" customHeight="1">
      <x:c r="A9" s="35" t="str">
        <x:v>CHK-0004</x:v>
      </x:c>
      <x:c r="B9" s="35" t="str">
        <x:v>Global Config</x:v>
      </x:c>
      <x:c r="C9" s="35" t="str">
        <x:v>global.sim.ordering_version</x:v>
      </x:c>
      <x:c r="D9" s="44" t="str">
        <x:v>Обязательные поля и диапазоны</x:v>
      </x:c>
      <x:c r="E9" s="56" t="str">
        <x:f>'Global Config'!K9</x:f>
        <x:v>OK</x:v>
      </x:c>
      <x:c r="F9" s="38" t="str">
        <x:v>Error</x:v>
      </x:c>
      <x:c r="G9" s="38" t="str">
        <x:f>'Global Config'!A9</x:f>
        <x:v>global.sim.ordering_version</x:v>
      </x:c>
    </x:row>
    <x:row r="10" ht="36" customHeight="1">
      <x:c r="A10" s="35" t="str">
        <x:v>CHK-0005</x:v>
      </x:c>
      <x:c r="B10" s="35" t="str">
        <x:v>Global Config</x:v>
      </x:c>
      <x:c r="C10" s="35" t="str">
        <x:v>global.sim.tick_ms</x:v>
      </x:c>
      <x:c r="D10" s="44" t="str">
        <x:v>Обязательные поля и диапазоны</x:v>
      </x:c>
      <x:c r="E10" s="56" t="str">
        <x:f>'Global Config'!K10</x:f>
        <x:v>OK</x:v>
      </x:c>
      <x:c r="F10" s="38" t="str">
        <x:v>Error</x:v>
      </x:c>
      <x:c r="G10" s="38" t="str">
        <x:f>'Global Config'!A10</x:f>
        <x:v>global.sim.tick_ms</x:v>
      </x:c>
    </x:row>
    <x:row r="11" ht="36" customHeight="1">
      <x:c r="A11" s="35" t="str">
        <x:v>CHK-0006</x:v>
      </x:c>
      <x:c r="B11" s="35" t="str">
        <x:v>Global Config</x:v>
      </x:c>
      <x:c r="C11" s="35" t="str">
        <x:v>battle.time_limit_ticks</x:v>
      </x:c>
      <x:c r="D11" s="44" t="str">
        <x:v>Обязательные поля и диапазоны</x:v>
      </x:c>
      <x:c r="E11" s="56" t="str">
        <x:f>'Global Config'!K11</x:f>
        <x:v>OK</x:v>
      </x:c>
      <x:c r="F11" s="38" t="str">
        <x:v>Error</x:v>
      </x:c>
      <x:c r="G11" s="38" t="str">
        <x:f>'Global Config'!A11</x:f>
        <x:v>battle.time_limit_ticks</x:v>
      </x:c>
    </x:row>
    <x:row r="12" ht="36" customHeight="1">
      <x:c r="A12" s="35" t="str">
        <x:v>CHK-0007</x:v>
      </x:c>
      <x:c r="B12" s="35" t="str">
        <x:v>Global Config</x:v>
      </x:c>
      <x:c r="C12" s="35" t="str">
        <x:v>global.sim.fp_scale</x:v>
      </x:c>
      <x:c r="D12" s="44" t="str">
        <x:v>Обязательные поля и диапазоны</x:v>
      </x:c>
      <x:c r="E12" s="56" t="str">
        <x:f>'Global Config'!K12</x:f>
        <x:v>OK</x:v>
      </x:c>
      <x:c r="F12" s="38" t="str">
        <x:v>Error</x:v>
      </x:c>
      <x:c r="G12" s="38" t="str">
        <x:f>'Global Config'!A12</x:f>
        <x:v>global.sim.fp_scale</x:v>
      </x:c>
    </x:row>
    <x:row r="13" ht="36" customHeight="1">
      <x:c r="A13" s="35" t="str">
        <x:v>CHK-0008</x:v>
      </x:c>
      <x:c r="B13" s="35" t="str">
        <x:v>Global Config</x:v>
      </x:c>
      <x:c r="C13" s="35" t="str">
        <x:v>global.sim.probability_min</x:v>
      </x:c>
      <x:c r="D13" s="44" t="str">
        <x:v>Обязательные поля и диапазоны</x:v>
      </x:c>
      <x:c r="E13" s="56" t="str">
        <x:f>'Global Config'!K13</x:f>
        <x:v>OK</x:v>
      </x:c>
      <x:c r="F13" s="38" t="str">
        <x:v>Error</x:v>
      </x:c>
      <x:c r="G13" s="38" t="str">
        <x:f>'Global Config'!A13</x:f>
        <x:v>global.sim.probability_min</x:v>
      </x:c>
    </x:row>
    <x:row r="14" ht="36" customHeight="1">
      <x:c r="A14" s="35" t="str">
        <x:v>CHK-0009</x:v>
      </x:c>
      <x:c r="B14" s="35" t="str">
        <x:v>Global Config</x:v>
      </x:c>
      <x:c r="C14" s="35" t="str">
        <x:v>global.sim.probability_max</x:v>
      </x:c>
      <x:c r="D14" s="44" t="str">
        <x:v>Обязательные поля и диапазоны</x:v>
      </x:c>
      <x:c r="E14" s="56" t="str">
        <x:f>'Global Config'!K14</x:f>
        <x:v>OK</x:v>
      </x:c>
      <x:c r="F14" s="38" t="str">
        <x:v>Error</x:v>
      </x:c>
      <x:c r="G14" s="38" t="str">
        <x:f>'Global Config'!A14</x:f>
        <x:v>global.sim.probability_max</x:v>
      </x:c>
    </x:row>
    <x:row r="15" ht="36" customHeight="1">
      <x:c r="A15" s="35" t="str">
        <x:v>CHK-0010</x:v>
      </x:c>
      <x:c r="B15" s="35" t="str">
        <x:v>Global Config</x:v>
      </x:c>
      <x:c r="C15" s="35" t="str">
        <x:v>global.sim.multiplier_min</x:v>
      </x:c>
      <x:c r="D15" s="44" t="str">
        <x:v>Обязательные поля и диапазоны</x:v>
      </x:c>
      <x:c r="E15" s="56" t="str">
        <x:f>'Global Config'!K15</x:f>
        <x:v>OK</x:v>
      </x:c>
      <x:c r="F15" s="38" t="str">
        <x:v>Error</x:v>
      </x:c>
      <x:c r="G15" s="38" t="str">
        <x:f>'Global Config'!A15</x:f>
        <x:v>global.sim.multiplier_min</x:v>
      </x:c>
    </x:row>
    <x:row r="16" ht="36" customHeight="1">
      <x:c r="A16" s="35" t="str">
        <x:v>CHK-0011</x:v>
      </x:c>
      <x:c r="B16" s="35" t="str">
        <x:v>Global Config</x:v>
      </x:c>
      <x:c r="C16" s="35" t="str">
        <x:v>global.sim.multiplier_max</x:v>
      </x:c>
      <x:c r="D16" s="44" t="str">
        <x:v>Обязательные поля и диапазоны</x:v>
      </x:c>
      <x:c r="E16" s="56" t="str">
        <x:f>'Global Config'!K16</x:f>
        <x:v>OK</x:v>
      </x:c>
      <x:c r="F16" s="38" t="str">
        <x:v>Error</x:v>
      </x:c>
      <x:c r="G16" s="38" t="str">
        <x:f>'Global Config'!A16</x:f>
        <x:v>global.sim.multiplier_max</x:v>
      </x:c>
    </x:row>
    <x:row r="17" ht="36" customHeight="1">
      <x:c r="A17" s="35" t="str">
        <x:v>CHK-0012</x:v>
      </x:c>
      <x:c r="B17" s="35" t="str">
        <x:v>Global Config</x:v>
      </x:c>
      <x:c r="C17" s="35" t="str">
        <x:v>global.sim.decision_weight_max</x:v>
      </x:c>
      <x:c r="D17" s="44" t="str">
        <x:v>Обязательные поля и диапазоны</x:v>
      </x:c>
      <x:c r="E17" s="56" t="str">
        <x:f>'Global Config'!K17</x:f>
        <x:v>OK</x:v>
      </x:c>
      <x:c r="F17" s="38" t="str">
        <x:v>Error</x:v>
      </x:c>
      <x:c r="G17" s="38" t="str">
        <x:f>'Global Config'!A17</x:f>
        <x:v>global.sim.decision_weight_max</x:v>
      </x:c>
    </x:row>
    <x:row r="18" ht="36" customHeight="1">
      <x:c r="A18" s="35" t="str">
        <x:v>CHK-0013</x:v>
      </x:c>
      <x:c r="B18" s="35" t="str">
        <x:v>Global Config</x:v>
      </x:c>
      <x:c r="C18" s="35" t="str">
        <x:v>global.arena.min_position</x:v>
      </x:c>
      <x:c r="D18" s="44" t="str">
        <x:v>Обязательные поля и диапазоны</x:v>
      </x:c>
      <x:c r="E18" s="56" t="str">
        <x:f>'Global Config'!K18</x:f>
        <x:v>OK</x:v>
      </x:c>
      <x:c r="F18" s="38" t="str">
        <x:v>Error</x:v>
      </x:c>
      <x:c r="G18" s="38" t="str">
        <x:f>'Global Config'!A18</x:f>
        <x:v>global.arena.min_position</x:v>
      </x:c>
    </x:row>
    <x:row r="19" ht="36" customHeight="1">
      <x:c r="A19" s="35" t="str">
        <x:v>CHK-0014</x:v>
      </x:c>
      <x:c r="B19" s="35" t="str">
        <x:v>Global Config</x:v>
      </x:c>
      <x:c r="C19" s="35" t="str">
        <x:v>global.arena.max_position</x:v>
      </x:c>
      <x:c r="D19" s="44" t="str">
        <x:v>Обязательные поля и диапазоны</x:v>
      </x:c>
      <x:c r="E19" s="56" t="str">
        <x:f>'Global Config'!K19</x:f>
        <x:v>OK</x:v>
      </x:c>
      <x:c r="F19" s="38" t="str">
        <x:v>Error</x:v>
      </x:c>
      <x:c r="G19" s="38" t="str">
        <x:f>'Global Config'!A19</x:f>
        <x:v>global.arena.max_position</x:v>
      </x:c>
    </x:row>
    <x:row r="20" ht="36" customHeight="1">
      <x:c r="A20" s="35" t="str">
        <x:v>CHK-0015</x:v>
      </x:c>
      <x:c r="B20" s="35" t="str">
        <x:v>Global Config</x:v>
      </x:c>
      <x:c r="C20" s="35" t="str">
        <x:v>global.arena.start_position_a</x:v>
      </x:c>
      <x:c r="D20" s="44" t="str">
        <x:v>Обязательные поля и диапазоны</x:v>
      </x:c>
      <x:c r="E20" s="56" t="str">
        <x:f>'Global Config'!K20</x:f>
        <x:v>OK</x:v>
      </x:c>
      <x:c r="F20" s="38" t="str">
        <x:v>Error</x:v>
      </x:c>
      <x:c r="G20" s="38" t="str">
        <x:f>'Global Config'!A20</x:f>
        <x:v>global.arena.start_position_a</x:v>
      </x:c>
    </x:row>
    <x:row r="21" ht="36" customHeight="1">
      <x:c r="A21" s="35" t="str">
        <x:v>CHK-0016</x:v>
      </x:c>
      <x:c r="B21" s="35" t="str">
        <x:v>Global Config</x:v>
      </x:c>
      <x:c r="C21" s="35" t="str">
        <x:v>global.arena.start_position_b</x:v>
      </x:c>
      <x:c r="D21" s="44" t="str">
        <x:v>Обязательные поля и диапазоны</x:v>
      </x:c>
      <x:c r="E21" s="56" t="str">
        <x:f>'Global Config'!K21</x:f>
        <x:v>OK</x:v>
      </x:c>
      <x:c r="F21" s="38" t="str">
        <x:v>Error</x:v>
      </x:c>
      <x:c r="G21" s="38" t="str">
        <x:f>'Global Config'!A21</x:f>
        <x:v>global.arena.start_position_b</x:v>
      </x:c>
    </x:row>
    <x:row r="22" ht="36" customHeight="1">
      <x:c r="A22" s="35" t="str">
        <x:v>CHK-0017</x:v>
      </x:c>
      <x:c r="B22" s="35" t="str">
        <x:v>Global Config</x:v>
      </x:c>
      <x:c r="C22" s="35" t="str">
        <x:v>global.arena.wall_zone_size</x:v>
      </x:c>
      <x:c r="D22" s="44" t="str">
        <x:v>Обязательные поля и диапазоны</x:v>
      </x:c>
      <x:c r="E22" s="56" t="str">
        <x:f>'Global Config'!K22</x:f>
        <x:v>OK</x:v>
      </x:c>
      <x:c r="F22" s="38" t="str">
        <x:v>Error</x:v>
      </x:c>
      <x:c r="G22" s="38" t="str">
        <x:f>'Global Config'!A22</x:f>
        <x:v>global.arena.wall_zone_size</x:v>
      </x:c>
    </x:row>
    <x:row r="23" ht="36" customHeight="1">
      <x:c r="A23" s="35" t="str">
        <x:v>CHK-0018</x:v>
      </x:c>
      <x:c r="B23" s="35" t="str">
        <x:v>Global Config</x:v>
      </x:c>
      <x:c r="C23" s="35" t="str">
        <x:v>global.damage.armor_k</x:v>
      </x:c>
      <x:c r="D23" s="44" t="str">
        <x:v>Обязательные поля и диапазоны</x:v>
      </x:c>
      <x:c r="E23" s="56" t="str">
        <x:f>'Global Config'!K23</x:f>
        <x:v>OK</x:v>
      </x:c>
      <x:c r="F23" s="38" t="str">
        <x:v>Error</x:v>
      </x:c>
      <x:c r="G23" s="38" t="str">
        <x:f>'Global Config'!A23</x:f>
        <x:v>global.damage.armor_k</x:v>
      </x:c>
    </x:row>
    <x:row r="24" ht="36" customHeight="1">
      <x:c r="A24" s="35" t="str">
        <x:v>CHK-0019</x:v>
      </x:c>
      <x:c r="B24" s="35" t="str">
        <x:v>Global Config</x:v>
      </x:c>
      <x:c r="C24" s="35" t="str">
        <x:v>global.damage.floor</x:v>
      </x:c>
      <x:c r="D24" s="44" t="str">
        <x:v>Обязательные поля и диапазоны</x:v>
      </x:c>
      <x:c r="E24" s="56" t="str">
        <x:f>'Global Config'!K24</x:f>
        <x:v>OK</x:v>
      </x:c>
      <x:c r="F24" s="38" t="str">
        <x:v>Error</x:v>
      </x:c>
      <x:c r="G24" s="38" t="str">
        <x:f>'Global Config'!A24</x:f>
        <x:v>global.damage.floor</x:v>
      </x:c>
    </x:row>
    <x:row r="25" ht="36" customHeight="1">
      <x:c r="A25" s="35" t="str">
        <x:v>CHK-0020</x:v>
      </x:c>
      <x:c r="B25" s="35" t="str">
        <x:v>Global Config</x:v>
      </x:c>
      <x:c r="C25" s="35" t="str">
        <x:v>global.damage.cap</x:v>
      </x:c>
      <x:c r="D25" s="44" t="str">
        <x:v>Обязательные поля и диапазоны</x:v>
      </x:c>
      <x:c r="E25" s="56" t="str">
        <x:f>'Global Config'!K25</x:f>
        <x:v>OK</x:v>
      </x:c>
      <x:c r="F25" s="38" t="str">
        <x:v>Error</x:v>
      </x:c>
      <x:c r="G25" s="38" t="str">
        <x:f>'Global Config'!A25</x:f>
        <x:v>global.damage.cap</x:v>
      </x:c>
    </x:row>
    <x:row r="26" ht="36" customHeight="1">
      <x:c r="A26" s="35" t="str">
        <x:v>CHK-0021</x:v>
      </x:c>
      <x:c r="B26" s="35" t="str">
        <x:v>Global Config</x:v>
      </x:c>
      <x:c r="C26" s="35" t="str">
        <x:v>global.damage.block_slope</x:v>
      </x:c>
      <x:c r="D26" s="44" t="str">
        <x:v>Обязательные поля и диапазоны</x:v>
      </x:c>
      <x:c r="E26" s="56" t="str">
        <x:f>'Global Config'!K26</x:f>
        <x:v>OK</x:v>
      </x:c>
      <x:c r="F26" s="38" t="str">
        <x:v>Error</x:v>
      </x:c>
      <x:c r="G26" s="38" t="str">
        <x:f>'Global Config'!A26</x:f>
        <x:v>global.damage.block_slope</x:v>
      </x:c>
    </x:row>
    <x:row r="27" ht="36" customHeight="1">
      <x:c r="A27" s="35" t="str">
        <x:v>CHK-0022</x:v>
      </x:c>
      <x:c r="B27" s="35" t="str">
        <x:v>Global Config</x:v>
      </x:c>
      <x:c r="C27" s="35" t="str">
        <x:v>global.damage.block_min</x:v>
      </x:c>
      <x:c r="D27" s="44" t="str">
        <x:v>Обязательные поля и диапазоны</x:v>
      </x:c>
      <x:c r="E27" s="56" t="str">
        <x:f>'Global Config'!K27</x:f>
        <x:v>OK</x:v>
      </x:c>
      <x:c r="F27" s="38" t="str">
        <x:v>Error</x:v>
      </x:c>
      <x:c r="G27" s="38" t="str">
        <x:f>'Global Config'!A27</x:f>
        <x:v>global.damage.block_min</x:v>
      </x:c>
    </x:row>
    <x:row r="28" ht="36" customHeight="1">
      <x:c r="A28" s="35" t="str">
        <x:v>CHK-0023</x:v>
      </x:c>
      <x:c r="B28" s="35" t="str">
        <x:v>Global Config</x:v>
      </x:c>
      <x:c r="C28" s="35" t="str">
        <x:v>global.damage.block_max</x:v>
      </x:c>
      <x:c r="D28" s="44" t="str">
        <x:v>Обязательные поля и диапазоны</x:v>
      </x:c>
      <x:c r="E28" s="56" t="str">
        <x:f>'Global Config'!K28</x:f>
        <x:v>OK</x:v>
      </x:c>
      <x:c r="F28" s="38" t="str">
        <x:v>Error</x:v>
      </x:c>
      <x:c r="G28" s="38" t="str">
        <x:f>'Global Config'!A28</x:f>
        <x:v>global.damage.block_max</x:v>
      </x:c>
    </x:row>
    <x:row r="29" ht="36" customHeight="1">
      <x:c r="A29" s="35" t="str">
        <x:v>CHK-0024</x:v>
      </x:c>
      <x:c r="B29" s="35" t="str">
        <x:v>Global Config</x:v>
      </x:c>
      <x:c r="C29" s="35" t="str">
        <x:v>global.damage.dodge_slope</x:v>
      </x:c>
      <x:c r="D29" s="44" t="str">
        <x:v>Обязательные поля и диапазоны</x:v>
      </x:c>
      <x:c r="E29" s="56" t="str">
        <x:f>'Global Config'!K29</x:f>
        <x:v>OK</x:v>
      </x:c>
      <x:c r="F29" s="38" t="str">
        <x:v>Error</x:v>
      </x:c>
      <x:c r="G29" s="38" t="str">
        <x:f>'Global Config'!A29</x:f>
        <x:v>global.damage.dodge_slope</x:v>
      </x:c>
    </x:row>
    <x:row r="30" ht="36" customHeight="1">
      <x:c r="A30" s="35" t="str">
        <x:v>CHK-0025</x:v>
      </x:c>
      <x:c r="B30" s="35" t="str">
        <x:v>Global Config</x:v>
      </x:c>
      <x:c r="C30" s="35" t="str">
        <x:v>global.damage.dodge_min</x:v>
      </x:c>
      <x:c r="D30" s="44" t="str">
        <x:v>Обязательные поля и диапазоны</x:v>
      </x:c>
      <x:c r="E30" s="56" t="str">
        <x:f>'Global Config'!K30</x:f>
        <x:v>OK</x:v>
      </x:c>
      <x:c r="F30" s="38" t="str">
        <x:v>Error</x:v>
      </x:c>
      <x:c r="G30" s="38" t="str">
        <x:f>'Global Config'!A30</x:f>
        <x:v>global.damage.dodge_min</x:v>
      </x:c>
    </x:row>
    <x:row r="31" ht="36" customHeight="1">
      <x:c r="A31" s="35" t="str">
        <x:v>CHK-0026</x:v>
      </x:c>
      <x:c r="B31" s="35" t="str">
        <x:v>Global Config</x:v>
      </x:c>
      <x:c r="C31" s="35" t="str">
        <x:v>global.damage.dodge_max</x:v>
      </x:c>
      <x:c r="D31" s="44" t="str">
        <x:v>Обязательные поля и диапазоны</x:v>
      </x:c>
      <x:c r="E31" s="56" t="str">
        <x:f>'Global Config'!K31</x:f>
        <x:v>OK</x:v>
      </x:c>
      <x:c r="F31" s="38" t="str">
        <x:v>Error</x:v>
      </x:c>
      <x:c r="G31" s="38" t="str">
        <x:f>'Global Config'!A31</x:f>
        <x:v>global.damage.dodge_max</x:v>
      </x:c>
    </x:row>
    <x:row r="32" ht="36" customHeight="1">
      <x:c r="A32" s="35" t="str">
        <x:v>CHK-0027</x:v>
      </x:c>
      <x:c r="B32" s="35" t="str">
        <x:v>Global Config</x:v>
      </x:c>
      <x:c r="C32" s="35" t="str">
        <x:v>global.damage.speed_baseline</x:v>
      </x:c>
      <x:c r="D32" s="44" t="str">
        <x:v>Обязательные поля и диапазоны</x:v>
      </x:c>
      <x:c r="E32" s="56" t="str">
        <x:f>'Global Config'!K32</x:f>
        <x:v>OK</x:v>
      </x:c>
      <x:c r="F32" s="38" t="str">
        <x:v>Error</x:v>
      </x:c>
      <x:c r="G32" s="38" t="str">
        <x:f>'Global Config'!A32</x:f>
        <x:v>global.damage.speed_baseline</x:v>
      </x:c>
    </x:row>
    <x:row r="33" ht="36" customHeight="1">
      <x:c r="A33" s="35" t="str">
        <x:v>CHK-0028</x:v>
      </x:c>
      <x:c r="B33" s="35" t="str">
        <x:v>Global Config</x:v>
      </x:c>
      <x:c r="C33" s="35" t="str">
        <x:v>global.damage.speed_slope</x:v>
      </x:c>
      <x:c r="D33" s="44" t="str">
        <x:v>Обязательные поля и диапазоны</x:v>
      </x:c>
      <x:c r="E33" s="56" t="str">
        <x:f>'Global Config'!K33</x:f>
        <x:v>OK</x:v>
      </x:c>
      <x:c r="F33" s="38" t="str">
        <x:v>Error</x:v>
      </x:c>
      <x:c r="G33" s="38" t="str">
        <x:f>'Global Config'!A33</x:f>
        <x:v>global.damage.speed_slope</x:v>
      </x:c>
    </x:row>
    <x:row r="34" ht="36" customHeight="1">
      <x:c r="A34" s="35" t="str">
        <x:v>CHK-0029</x:v>
      </x:c>
      <x:c r="B34" s="35" t="str">
        <x:v>Global Config</x:v>
      </x:c>
      <x:c r="C34" s="35" t="str">
        <x:v>global.damage.speed_min</x:v>
      </x:c>
      <x:c r="D34" s="44" t="str">
        <x:v>Обязательные поля и диапазоны</x:v>
      </x:c>
      <x:c r="E34" s="56" t="str">
        <x:f>'Global Config'!K34</x:f>
        <x:v>OK</x:v>
      </x:c>
      <x:c r="F34" s="38" t="str">
        <x:v>Error</x:v>
      </x:c>
      <x:c r="G34" s="38" t="str">
        <x:f>'Global Config'!A34</x:f>
        <x:v>global.damage.speed_min</x:v>
      </x:c>
    </x:row>
    <x:row r="35" ht="36" customHeight="1">
      <x:c r="A35" s="35" t="str">
        <x:v>CHK-0030</x:v>
      </x:c>
      <x:c r="B35" s="35" t="str">
        <x:v>Global Config</x:v>
      </x:c>
      <x:c r="C35" s="35" t="str">
        <x:v>global.damage.speed_max</x:v>
      </x:c>
      <x:c r="D35" s="44" t="str">
        <x:v>Обязательные поля и диапазоны</x:v>
      </x:c>
      <x:c r="E35" s="56" t="str">
        <x:f>'Global Config'!K35</x:f>
        <x:v>OK</x:v>
      </x:c>
      <x:c r="F35" s="38" t="str">
        <x:v>Error</x:v>
      </x:c>
      <x:c r="G35" s="38" t="str">
        <x:f>'Global Config'!A35</x:f>
        <x:v>global.damage.speed_max</x:v>
      </x:c>
    </x:row>
    <x:row r="36" ht="36" customHeight="1">
      <x:c r="A36" s="35" t="str">
        <x:v>CHK-0031</x:v>
      </x:c>
      <x:c r="B36" s="35" t="str">
        <x:v>Global Config</x:v>
      </x:c>
      <x:c r="C36" s="35" t="str">
        <x:v>analysis.benchmark_armor</x:v>
      </x:c>
      <x:c r="D36" s="44" t="str">
        <x:v>Обязательные поля и диапазоны</x:v>
      </x:c>
      <x:c r="E36" s="56" t="str">
        <x:f>'Global Config'!K36</x:f>
        <x:v>OK</x:v>
      </x:c>
      <x:c r="F36" s="38" t="str">
        <x:v>Error</x:v>
      </x:c>
      <x:c r="G36" s="38" t="str">
        <x:f>'Global Config'!A36</x:f>
        <x:v>analysis.benchmark_armor</x:v>
      </x:c>
    </x:row>
    <x:row r="37" ht="36" customHeight="1">
      <x:c r="A37" s="35" t="str">
        <x:v>CHK-0032</x:v>
      </x:c>
      <x:c r="B37" s="35" t="str">
        <x:v>Global Config</x:v>
      </x:c>
      <x:c r="C37" s="35" t="str">
        <x:v>global.control.control_k</x:v>
      </x:c>
      <x:c r="D37" s="44" t="str">
        <x:v>Обязательные поля и диапазоны</x:v>
      </x:c>
      <x:c r="E37" s="56" t="str">
        <x:f>'Global Config'!K37</x:f>
        <x:v>OK</x:v>
      </x:c>
      <x:c r="F37" s="38" t="str">
        <x:v>Error</x:v>
      </x:c>
      <x:c r="G37" s="38" t="str">
        <x:f>'Global Config'!A37</x:f>
        <x:v>global.control.control_k</x:v>
      </x:c>
    </x:row>
    <x:row r="38" ht="36" customHeight="1">
      <x:c r="A38" s="35" t="str">
        <x:v>CHK-0033</x:v>
      </x:c>
      <x:c r="B38" s="35" t="str">
        <x:v>Global Config</x:v>
      </x:c>
      <x:c r="C38" s="35" t="str">
        <x:v>global.control.force_k</x:v>
      </x:c>
      <x:c r="D38" s="44" t="str">
        <x:v>Обязательные поля и диапазоны</x:v>
      </x:c>
      <x:c r="E38" s="56" t="str">
        <x:f>'Global Config'!K38</x:f>
        <x:v>OK</x:v>
      </x:c>
      <x:c r="F38" s="38" t="str">
        <x:v>Error</x:v>
      </x:c>
      <x:c r="G38" s="38" t="str">
        <x:f>'Global Config'!A38</x:f>
        <x:v>global.control.force_k</x:v>
      </x:c>
    </x:row>
    <x:row r="39" ht="36" customHeight="1">
      <x:c r="A39" s="35" t="str">
        <x:v>CHK-0034</x:v>
      </x:c>
      <x:c r="B39" s="35" t="str">
        <x:v>Global Config</x:v>
      </x:c>
      <x:c r="C39" s="35" t="str">
        <x:v>global.control.stun_min_ticks</x:v>
      </x:c>
      <x:c r="D39" s="44" t="str">
        <x:v>Обязательные поля и диапазоны</x:v>
      </x:c>
      <x:c r="E39" s="56" t="str">
        <x:f>'Global Config'!K39</x:f>
        <x:v>OK</x:v>
      </x:c>
      <x:c r="F39" s="38" t="str">
        <x:v>Error</x:v>
      </x:c>
      <x:c r="G39" s="38" t="str">
        <x:f>'Global Config'!A39</x:f>
        <x:v>global.control.stun_min_ticks</x:v>
      </x:c>
    </x:row>
    <x:row r="40" ht="36" customHeight="1">
      <x:c r="A40" s="35" t="str">
        <x:v>CHK-0035</x:v>
      </x:c>
      <x:c r="B40" s="35" t="str">
        <x:v>Global Config</x:v>
      </x:c>
      <x:c r="C40" s="35" t="str">
        <x:v>global.control.stun_max_ticks</x:v>
      </x:c>
      <x:c r="D40" s="44" t="str">
        <x:v>Обязательные поля и диапазоны</x:v>
      </x:c>
      <x:c r="E40" s="56" t="str">
        <x:f>'Global Config'!K40</x:f>
        <x:v>OK</x:v>
      </x:c>
      <x:c r="F40" s="38" t="str">
        <x:v>Error</x:v>
      </x:c>
      <x:c r="G40" s="38" t="str">
        <x:f>'Global Config'!A40</x:f>
        <x:v>global.control.stun_max_ticks</x:v>
      </x:c>
    </x:row>
    <x:row r="41" ht="36" customHeight="1">
      <x:c r="A41" s="35" t="str">
        <x:v>CHK-0036</x:v>
      </x:c>
      <x:c r="B41" s="35" t="str">
        <x:v>Global Config</x:v>
      </x:c>
      <x:c r="C41" s="35" t="str">
        <x:v>global.control.fatigue_threshold</x:v>
      </x:c>
      <x:c r="D41" s="44" t="str">
        <x:v>Обязательные поля и диапазоны</x:v>
      </x:c>
      <x:c r="E41" s="56" t="str">
        <x:f>'Global Config'!K41</x:f>
        <x:v>OK</x:v>
      </x:c>
      <x:c r="F41" s="38" t="str">
        <x:v>Error</x:v>
      </x:c>
      <x:c r="G41" s="38" t="str">
        <x:f>'Global Config'!A41</x:f>
        <x:v>global.control.fatigue_threshold</x:v>
      </x:c>
    </x:row>
    <x:row r="42" ht="36" customHeight="1">
      <x:c r="A42" s="35" t="str">
        <x:v>CHK-0037</x:v>
      </x:c>
      <x:c r="B42" s="35" t="str">
        <x:v>Global Config</x:v>
      </x:c>
      <x:c r="C42" s="35" t="str">
        <x:v>global.control.fatigue_decay_ticks</x:v>
      </x:c>
      <x:c r="D42" s="44" t="str">
        <x:v>Обязательные поля и диапазоны</x:v>
      </x:c>
      <x:c r="E42" s="56" t="str">
        <x:f>'Global Config'!K42</x:f>
        <x:v>OK</x:v>
      </x:c>
      <x:c r="F42" s="38" t="str">
        <x:v>Error</x:v>
      </x:c>
      <x:c r="G42" s="38" t="str">
        <x:f>'Global Config'!A42</x:f>
        <x:v>global.control.fatigue_decay_ticks</x:v>
      </x:c>
    </x:row>
    <x:row r="43" ht="36" customHeight="1">
      <x:c r="A43" s="35" t="str">
        <x:v>CHK-0038</x:v>
      </x:c>
      <x:c r="B43" s="35" t="str">
        <x:v>Global Config</x:v>
      </x:c>
      <x:c r="C43" s="35" t="str">
        <x:v>global.control.immunity_ticks</x:v>
      </x:c>
      <x:c r="D43" s="44" t="str">
        <x:v>Обязательные поля и диапазоны</x:v>
      </x:c>
      <x:c r="E43" s="56" t="str">
        <x:f>'Global Config'!K43</x:f>
        <x:v>OK</x:v>
      </x:c>
      <x:c r="F43" s="38" t="str">
        <x:v>Error</x:v>
      </x:c>
      <x:c r="G43" s="38" t="str">
        <x:f>'Global Config'!A43</x:f>
        <x:v>global.control.immunity_ticks</x:v>
      </x:c>
    </x:row>
    <x:row r="44" ht="36" customHeight="1">
      <x:c r="A44" s="35" t="str">
        <x:v>CHK-0039</x:v>
      </x:c>
      <x:c r="B44" s="35" t="str">
        <x:v>Global Config</x:v>
      </x:c>
      <x:c r="C44" s="35" t="str">
        <x:v>global.control.grab_lockout_ticks</x:v>
      </x:c>
      <x:c r="D44" s="44" t="str">
        <x:v>Обязательные поля и диапазоны</x:v>
      </x:c>
      <x:c r="E44" s="56" t="str">
        <x:f>'Global Config'!K44</x:f>
        <x:v>OK</x:v>
      </x:c>
      <x:c r="F44" s="38" t="str">
        <x:v>Error</x:v>
      </x:c>
      <x:c r="G44" s="38" t="str">
        <x:f>'Global Config'!A44</x:f>
        <x:v>global.control.grab_lockout_ticks</x:v>
      </x:c>
    </x:row>
    <x:row r="45" ht="36" customHeight="1">
      <x:c r="A45" s="35" t="str">
        <x:v>CHK-0040</x:v>
      </x:c>
      <x:c r="B45" s="35" t="str">
        <x:v>Global Config</x:v>
      </x:c>
      <x:c r="C45" s="35" t="str">
        <x:v>global.control.wakeup_immunity_ticks</x:v>
      </x:c>
      <x:c r="D45" s="44" t="str">
        <x:v>Обязательные поля и диапазоны</x:v>
      </x:c>
      <x:c r="E45" s="56" t="str">
        <x:f>'Global Config'!K45</x:f>
        <x:v>OK</x:v>
      </x:c>
      <x:c r="F45" s="38" t="str">
        <x:v>Error</x:v>
      </x:c>
      <x:c r="G45" s="38" t="str">
        <x:f>'Global Config'!A45</x:f>
        <x:v>global.control.wakeup_immunity_ticks</x:v>
      </x:c>
    </x:row>
    <x:row r="46" ht="36" customHeight="1">
      <x:c r="A46" s="35" t="str">
        <x:v>CHK-0041</x:v>
      </x:c>
      <x:c r="B46" s="35" t="str">
        <x:v>Global Config</x:v>
      </x:c>
      <x:c r="C46" s="35" t="str">
        <x:v>global.control.max_hold_ticks</x:v>
      </x:c>
      <x:c r="D46" s="44" t="str">
        <x:v>Обязательные поля и диапазоны</x:v>
      </x:c>
      <x:c r="E46" s="56" t="str">
        <x:f>'Global Config'!K46</x:f>
        <x:v>OK</x:v>
      </x:c>
      <x:c r="F46" s="38" t="str">
        <x:v>Error</x:v>
      </x:c>
      <x:c r="G46" s="38" t="str">
        <x:f>'Global Config'!A46</x:f>
        <x:v>global.control.max_hold_ticks</x:v>
      </x:c>
    </x:row>
    <x:row r="47" ht="36" customHeight="1">
      <x:c r="A47" s="35" t="str">
        <x:v>CHK-0042</x:v>
      </x:c>
      <x:c r="B47" s="35" t="str">
        <x:v>Global Config</x:v>
      </x:c>
      <x:c r="C47" s="35" t="str">
        <x:v>global.ai.repeat_same_action_fp</x:v>
      </x:c>
      <x:c r="D47" s="44" t="str">
        <x:v>Обязательные поля и диапазоны</x:v>
      </x:c>
      <x:c r="E47" s="56" t="str">
        <x:f>'Global Config'!K47</x:f>
        <x:v>OK</x:v>
      </x:c>
      <x:c r="F47" s="38" t="str">
        <x:v>Error</x:v>
      </x:c>
      <x:c r="G47" s="38" t="str">
        <x:f>'Global Config'!A47</x:f>
        <x:v>global.ai.repeat_same_action_fp</x:v>
      </x:c>
    </x:row>
    <x:row r="48" ht="36" customHeight="1">
      <x:c r="A48" s="35" t="str">
        <x:v>CHK-0043</x:v>
      </x:c>
      <x:c r="B48" s="35" t="str">
        <x:v>Global Config</x:v>
      </x:c>
      <x:c r="C48" s="35" t="str">
        <x:v>global.ai.repeat_same_category_fp</x:v>
      </x:c>
      <x:c r="D48" s="44" t="str">
        <x:v>Обязательные поля и диапазоны</x:v>
      </x:c>
      <x:c r="E48" s="56" t="str">
        <x:f>'Global Config'!K48</x:f>
        <x:v>OK</x:v>
      </x:c>
      <x:c r="F48" s="38" t="str">
        <x:v>Error</x:v>
      </x:c>
      <x:c r="G48" s="38" t="str">
        <x:f>'Global Config'!A48</x:f>
        <x:v>global.ai.repeat_same_category_fp</x:v>
      </x:c>
    </x:row>
    <x:row r="49" ht="36" customHeight="1">
      <x:c r="A49" s="35" t="str">
        <x:v>CHK-0044</x:v>
      </x:c>
      <x:c r="B49" s="35" t="str">
        <x:v>Global Config</x:v>
      </x:c>
      <x:c r="C49" s="35" t="str">
        <x:v>global.ai.opportunity_growth_fp</x:v>
      </x:c>
      <x:c r="D49" s="44" t="str">
        <x:v>Обязательные поля и диапазоны</x:v>
      </x:c>
      <x:c r="E49" s="56" t="str">
        <x:f>'Global Config'!K49</x:f>
        <x:v>OK</x:v>
      </x:c>
      <x:c r="F49" s="38" t="str">
        <x:v>Error</x:v>
      </x:c>
      <x:c r="G49" s="38" t="str">
        <x:f>'Global Config'!A49</x:f>
        <x:v>global.ai.opportunity_growth_fp</x:v>
      </x:c>
    </x:row>
    <x:row r="50" ht="36" customHeight="1">
      <x:c r="A50" s="35" t="str">
        <x:v>CHK-0045</x:v>
      </x:c>
      <x:c r="B50" s="35" t="str">
        <x:v>Global Config</x:v>
      </x:c>
      <x:c r="C50" s="35" t="str">
        <x:v>global.ai.opportunity_cap_fp</x:v>
      </x:c>
      <x:c r="D50" s="44" t="str">
        <x:v>Обязательные поля и диапазоны</x:v>
      </x:c>
      <x:c r="E50" s="56" t="str">
        <x:f>'Global Config'!K50</x:f>
        <x:v>OK</x:v>
      </x:c>
      <x:c r="F50" s="38" t="str">
        <x:v>Error</x:v>
      </x:c>
      <x:c r="G50" s="38" t="str">
        <x:f>'Global Config'!A50</x:f>
        <x:v>global.ai.opportunity_cap_fp</x:v>
      </x:c>
    </x:row>
    <x:row r="51" ht="36" customHeight="1">
      <x:c r="A51" s="35" t="str">
        <x:v>CHK-0046</x:v>
      </x:c>
      <x:c r="B51" s="35" t="str">
        <x:v>Global Config</x:v>
      </x:c>
      <x:c r="C51" s="35" t="str">
        <x:v>global.ai.hard_opportunity_misses</x:v>
      </x:c>
      <x:c r="D51" s="44" t="str">
        <x:v>Обязательные поля и диапазоны</x:v>
      </x:c>
      <x:c r="E51" s="56" t="str">
        <x:f>'Global Config'!K51</x:f>
        <x:v>OK</x:v>
      </x:c>
      <x:c r="F51" s="38" t="str">
        <x:v>Error</x:v>
      </x:c>
      <x:c r="G51" s="38" t="str">
        <x:f>'Global Config'!A51</x:f>
        <x:v>global.ai.hard_opportunity_misses</x:v>
      </x:c>
    </x:row>
    <x:row r="52" ht="36" customHeight="1">
      <x:c r="A52" s="35" t="str">
        <x:v>CHK-0047</x:v>
      </x:c>
      <x:c r="B52" s="35" t="str">
        <x:v>Global Config</x:v>
      </x:c>
      <x:c r="C52" s="35" t="str">
        <x:v>global.ai.default_perception_delay_ticks</x:v>
      </x:c>
      <x:c r="D52" s="44" t="str">
        <x:v>Обязательные поля и диапазоны</x:v>
      </x:c>
      <x:c r="E52" s="56" t="str">
        <x:f>'Global Config'!K52</x:f>
        <x:v>OK</x:v>
      </x:c>
      <x:c r="F52" s="38" t="str">
        <x:v>Error</x:v>
      </x:c>
      <x:c r="G52" s="38" t="str">
        <x:f>'Global Config'!A52</x:f>
        <x:v>global.ai.default_perception_delay_ticks</x:v>
      </x:c>
    </x:row>
    <x:row r="53" ht="36" customHeight="1">
      <x:c r="A53" s="35" t="str">
        <x:v>CHK-0048</x:v>
      </x:c>
      <x:c r="B53" s="35" t="str">
        <x:v>Global Config</x:v>
      </x:c>
      <x:c r="C53" s="35" t="str">
        <x:v>state.idle.energy_regen_fp</x:v>
      </x:c>
      <x:c r="D53" s="44" t="str">
        <x:v>Обязательные поля и диапазоны</x:v>
      </x:c>
      <x:c r="E53" s="56" t="str">
        <x:f>'Global Config'!K53</x:f>
        <x:v>OK</x:v>
      </x:c>
      <x:c r="F53" s="38" t="str">
        <x:v>Error</x:v>
      </x:c>
      <x:c r="G53" s="38" t="str">
        <x:f>'Global Config'!A53</x:f>
        <x:v>state.idle.energy_regen_fp</x:v>
      </x:c>
    </x:row>
    <x:row r="54" ht="36" customHeight="1">
      <x:c r="A54" s="35" t="str">
        <x:v>CHK-0049</x:v>
      </x:c>
      <x:c r="B54" s="35" t="str">
        <x:v>Global Config</x:v>
      </x:c>
      <x:c r="C54" s="35" t="str">
        <x:v>state.prepare.energy_regen_fp</x:v>
      </x:c>
      <x:c r="D54" s="44" t="str">
        <x:v>Обязательные поля и диапазоны</x:v>
      </x:c>
      <x:c r="E54" s="56" t="str">
        <x:f>'Global Config'!K54</x:f>
        <x:v>OK</x:v>
      </x:c>
      <x:c r="F54" s="38" t="str">
        <x:v>Error</x:v>
      </x:c>
      <x:c r="G54" s="38" t="str">
        <x:f>'Global Config'!A54</x:f>
        <x:v>state.prepare.energy_regen_fp</x:v>
      </x:c>
    </x:row>
    <x:row r="55" ht="36" customHeight="1">
      <x:c r="A55" s="35" t="str">
        <x:v>CHK-0050</x:v>
      </x:c>
      <x:c r="B55" s="35" t="str">
        <x:v>Global Config</x:v>
      </x:c>
      <x:c r="C55" s="35" t="str">
        <x:v>state.active.energy_regen_fp</x:v>
      </x:c>
      <x:c r="D55" s="44" t="str">
        <x:v>Обязательные поля и диапазоны</x:v>
      </x:c>
      <x:c r="E55" s="56" t="str">
        <x:f>'Global Config'!K55</x:f>
        <x:v>OK</x:v>
      </x:c>
      <x:c r="F55" s="38" t="str">
        <x:v>Error</x:v>
      </x:c>
      <x:c r="G55" s="38" t="str">
        <x:f>'Global Config'!A55</x:f>
        <x:v>state.active.energy_regen_fp</x:v>
      </x:c>
    </x:row>
    <x:row r="56" ht="36" customHeight="1">
      <x:c r="A56" s="35" t="str">
        <x:v>CHK-0051</x:v>
      </x:c>
      <x:c r="B56" s="35" t="str">
        <x:v>Global Config</x:v>
      </x:c>
      <x:c r="C56" s="35" t="str">
        <x:v>state.recovery.energy_regen_fp</x:v>
      </x:c>
      <x:c r="D56" s="44" t="str">
        <x:v>Обязательные поля и диапазоны</x:v>
      </x:c>
      <x:c r="E56" s="56" t="str">
        <x:f>'Global Config'!K56</x:f>
        <x:v>OK</x:v>
      </x:c>
      <x:c r="F56" s="38" t="str">
        <x:v>Error</x:v>
      </x:c>
      <x:c r="G56" s="38" t="str">
        <x:f>'Global Config'!A56</x:f>
        <x:v>state.recovery.energy_regen_fp</x:v>
      </x:c>
    </x:row>
    <x:row r="57" ht="36" customHeight="1">
      <x:c r="A57" s="35" t="str">
        <x:v>CHK-0052</x:v>
      </x:c>
      <x:c r="B57" s="35" t="str">
        <x:v>Global Config</x:v>
      </x:c>
      <x:c r="C57" s="35" t="str">
        <x:v>state.block.energy_regen_fp</x:v>
      </x:c>
      <x:c r="D57" s="44" t="str">
        <x:v>Обязательные поля и диапазоны</x:v>
      </x:c>
      <x:c r="E57" s="56" t="str">
        <x:f>'Global Config'!K57</x:f>
        <x:v>OK</x:v>
      </x:c>
      <x:c r="F57" s="38" t="str">
        <x:v>Error</x:v>
      </x:c>
      <x:c r="G57" s="38" t="str">
        <x:f>'Global Config'!A57</x:f>
        <x:v>state.block.energy_regen_fp</x:v>
      </x:c>
    </x:row>
    <x:row r="58" ht="36" customHeight="1">
      <x:c r="A58" s="35" t="str">
        <x:v>CHK-0053</x:v>
      </x:c>
      <x:c r="B58" s="35" t="str">
        <x:v>Global Config</x:v>
      </x:c>
      <x:c r="C58" s="35" t="str">
        <x:v>state.dodge.energy_regen_fp</x:v>
      </x:c>
      <x:c r="D58" s="44" t="str">
        <x:v>Обязательные поля и диапазоны</x:v>
      </x:c>
      <x:c r="E58" s="56" t="str">
        <x:f>'Global Config'!K58</x:f>
        <x:v>OK</x:v>
      </x:c>
      <x:c r="F58" s="38" t="str">
        <x:v>Error</x:v>
      </x:c>
      <x:c r="G58" s="38" t="str">
        <x:f>'Global Config'!A58</x:f>
        <x:v>state.dodge.energy_regen_fp</x:v>
      </x:c>
    </x:row>
    <x:row r="59" ht="36" customHeight="1">
      <x:c r="A59" s="35" t="str">
        <x:v>CHK-0054</x:v>
      </x:c>
      <x:c r="B59" s="35" t="str">
        <x:v>Global Config</x:v>
      </x:c>
      <x:c r="C59" s="35" t="str">
        <x:v>state.stunned.energy_regen_fp</x:v>
      </x:c>
      <x:c r="D59" s="44" t="str">
        <x:v>Обязательные поля и диапазоны</x:v>
      </x:c>
      <x:c r="E59" s="56" t="str">
        <x:f>'Global Config'!K59</x:f>
        <x:v>OK</x:v>
      </x:c>
      <x:c r="F59" s="38" t="str">
        <x:v>Error</x:v>
      </x:c>
      <x:c r="G59" s="38" t="str">
        <x:f>'Global Config'!A59</x:f>
        <x:v>state.stunned.energy_regen_fp</x:v>
      </x:c>
    </x:row>
    <x:row r="60" ht="36" customHeight="1">
      <x:c r="A60" s="35" t="str">
        <x:v>CHK-0055</x:v>
      </x:c>
      <x:c r="B60" s="35" t="str">
        <x:v>Global Config</x:v>
      </x:c>
      <x:c r="C60" s="35" t="str">
        <x:v>state.knocked_down.energy_regen_fp</x:v>
      </x:c>
      <x:c r="D60" s="44" t="str">
        <x:v>Обязательные поля и диапазоны</x:v>
      </x:c>
      <x:c r="E60" s="56" t="str">
        <x:f>'Global Config'!K60</x:f>
        <x:v>OK</x:v>
      </x:c>
      <x:c r="F60" s="38" t="str">
        <x:v>Error</x:v>
      </x:c>
      <x:c r="G60" s="38" t="str">
        <x:f>'Global Config'!A60</x:f>
        <x:v>state.knocked_down.energy_regen_fp</x:v>
      </x:c>
    </x:row>
    <x:row r="61" ht="36" customHeight="1">
      <x:c r="A61" s="35" t="str">
        <x:v>CHK-0056</x:v>
      </x:c>
      <x:c r="B61" s="35" t="str">
        <x:v>Global Config</x:v>
      </x:c>
      <x:c r="C61" s="35" t="str">
        <x:v>state.grabbed.energy_regen_fp</x:v>
      </x:c>
      <x:c r="D61" s="44" t="str">
        <x:v>Обязательные поля и диапазоны</x:v>
      </x:c>
      <x:c r="E61" s="56" t="str">
        <x:f>'Global Config'!K61</x:f>
        <x:v>OK</x:v>
      </x:c>
      <x:c r="F61" s="38" t="str">
        <x:v>Error</x:v>
      </x:c>
      <x:c r="G61" s="38" t="str">
        <x:f>'Global Config'!A61</x:f>
        <x:v>state.grabbed.energy_regen_fp</x:v>
      </x:c>
    </x:row>
    <x:row r="62" ht="36" customHeight="1">
      <x:c r="A62" s="35" t="str">
        <x:v>CHK-0057</x:v>
      </x:c>
      <x:c r="B62" s="35" t="str">
        <x:v>Global Config</x:v>
      </x:c>
      <x:c r="C62" s="35" t="str">
        <x:v>fighter.bear.rage_per_damage_fp</x:v>
      </x:c>
      <x:c r="D62" s="44" t="str">
        <x:v>Обязательные поля и диапазоны</x:v>
      </x:c>
      <x:c r="E62" s="56" t="str">
        <x:f>'Global Config'!K62</x:f>
        <x:v>OK</x:v>
      </x:c>
      <x:c r="F62" s="38" t="str">
        <x:v>Error</x:v>
      </x:c>
      <x:c r="G62" s="38" t="str">
        <x:f>'Global Config'!A62</x:f>
        <x:v>fighter.bear.rage_per_damage_fp</x:v>
      </x:c>
    </x:row>
    <x:row r="63" ht="36" customHeight="1">
      <x:c r="A63" s="35" t="str">
        <x:v>CHK-0058</x:v>
      </x:c>
      <x:c r="B63" s="35" t="str">
        <x:v>Global Config</x:v>
      </x:c>
      <x:c r="C63" s="35" t="str">
        <x:v>fighter.bear.rage_per_heavy</x:v>
      </x:c>
      <x:c r="D63" s="44" t="str">
        <x:v>Обязательные поля и диапазоны</x:v>
      </x:c>
      <x:c r="E63" s="56" t="str">
        <x:f>'Global Config'!K63</x:f>
        <x:v>OK</x:v>
      </x:c>
      <x:c r="F63" s="38" t="str">
        <x:v>Error</x:v>
      </x:c>
      <x:c r="G63" s="38" t="str">
        <x:f>'Global Config'!A63</x:f>
        <x:v>fighter.bear.rage_per_heavy</x:v>
      </x:c>
    </x:row>
    <x:row r="64" ht="36" customHeight="1">
      <x:c r="A64" s="35" t="str">
        <x:v>CHK-0059</x:v>
      </x:c>
      <x:c r="B64" s="35" t="str">
        <x:v>Global Config</x:v>
      </x:c>
      <x:c r="C64" s="35" t="str">
        <x:v>fighter.bear.rage_per_blocked_heavy</x:v>
      </x:c>
      <x:c r="D64" s="44" t="str">
        <x:v>Обязательные поля и диапазоны</x:v>
      </x:c>
      <x:c r="E64" s="56" t="str">
        <x:f>'Global Config'!K64</x:f>
        <x:v>OK</x:v>
      </x:c>
      <x:c r="F64" s="38" t="str">
        <x:v>Error</x:v>
      </x:c>
      <x:c r="G64" s="38" t="str">
        <x:f>'Global Config'!A64</x:f>
        <x:v>fighter.bear.rage_per_blocked_heavy</x:v>
      </x:c>
    </x:row>
    <x:row r="65" ht="36" customHeight="1">
      <x:c r="A65" s="35" t="str">
        <x:v>CHK-0060</x:v>
      </x:c>
      <x:c r="B65" s="35" t="str">
        <x:v>Global Config</x:v>
      </x:c>
      <x:c r="C65" s="35" t="str">
        <x:v>fighter.bear.low_health_threshold_fp</x:v>
      </x:c>
      <x:c r="D65" s="44" t="str">
        <x:v>Обязательные поля и диапазоны</x:v>
      </x:c>
      <x:c r="E65" s="56" t="str">
        <x:f>'Global Config'!K65</x:f>
        <x:v>OK</x:v>
      </x:c>
      <x:c r="F65" s="38" t="str">
        <x:v>Error</x:v>
      </x:c>
      <x:c r="G65" s="38" t="str">
        <x:f>'Global Config'!A65</x:f>
        <x:v>fighter.bear.low_health_threshold_fp</x:v>
      </x:c>
    </x:row>
    <x:row r="66" ht="36" customHeight="1">
      <x:c r="A66" s="35" t="str">
        <x:v>CHK-0061</x:v>
      </x:c>
      <x:c r="B66" s="35" t="str">
        <x:v>Global Config</x:v>
      </x:c>
      <x:c r="C66" s="35" t="str">
        <x:v>fighter.bear.low_health_rage_multiplier_fp</x:v>
      </x:c>
      <x:c r="D66" s="44" t="str">
        <x:v>Обязательные поля и диапазоны</x:v>
      </x:c>
      <x:c r="E66" s="56" t="str">
        <x:f>'Global Config'!K66</x:f>
        <x:v>OK</x:v>
      </x:c>
      <x:c r="F66" s="38" t="str">
        <x:v>Error</x:v>
      </x:c>
      <x:c r="G66" s="38" t="str">
        <x:f>'Global Config'!A66</x:f>
        <x:v>fighter.bear.low_health_rage_multiplier_fp</x:v>
      </x:c>
    </x:row>
    <x:row r="67" ht="36" customHeight="1">
      <x:c r="A67" s="35" t="str">
        <x:v>CHK-0062</x:v>
      </x:c>
      <x:c r="B67" s="35" t="str">
        <x:v>Global Config</x:v>
      </x:c>
      <x:c r="C67" s="35" t="str">
        <x:v>fighter.bear.rage_tier_1</x:v>
      </x:c>
      <x:c r="D67" s="44" t="str">
        <x:v>Обязательные поля и диапазоны</x:v>
      </x:c>
      <x:c r="E67" s="56" t="str">
        <x:f>'Global Config'!K67</x:f>
        <x:v>OK</x:v>
      </x:c>
      <x:c r="F67" s="38" t="str">
        <x:v>Error</x:v>
      </x:c>
      <x:c r="G67" s="38" t="str">
        <x:f>'Global Config'!A67</x:f>
        <x:v>fighter.bear.rage_tier_1</x:v>
      </x:c>
    </x:row>
    <x:row r="68" ht="36" customHeight="1">
      <x:c r="A68" s="35" t="str">
        <x:v>CHK-0063</x:v>
      </x:c>
      <x:c r="B68" s="35" t="str">
        <x:v>Global Config</x:v>
      </x:c>
      <x:c r="C68" s="35" t="str">
        <x:v>fighter.bear.rage_tier_2</x:v>
      </x:c>
      <x:c r="D68" s="44" t="str">
        <x:v>Обязательные поля и диапазоны</x:v>
      </x:c>
      <x:c r="E68" s="56" t="str">
        <x:f>'Global Config'!K68</x:f>
        <x:v>OK</x:v>
      </x:c>
      <x:c r="F68" s="38" t="str">
        <x:v>Error</x:v>
      </x:c>
      <x:c r="G68" s="38" t="str">
        <x:f>'Global Config'!A68</x:f>
        <x:v>fighter.bear.rage_tier_2</x:v>
      </x:c>
    </x:row>
    <x:row r="69" ht="36" customHeight="1">
      <x:c r="A69" s="35" t="str">
        <x:v>CHK-0064</x:v>
      </x:c>
      <x:c r="B69" s="35" t="str">
        <x:v>Global Config</x:v>
      </x:c>
      <x:c r="C69" s="35" t="str">
        <x:v>fighter.bear.rage_tier_3</x:v>
      </x:c>
      <x:c r="D69" s="44" t="str">
        <x:v>Обязательные поля и диапазоны</x:v>
      </x:c>
      <x:c r="E69" s="56" t="str">
        <x:f>'Global Config'!K69</x:f>
        <x:v>OK</x:v>
      </x:c>
      <x:c r="F69" s="38" t="str">
        <x:v>Error</x:v>
      </x:c>
      <x:c r="G69" s="38" t="str">
        <x:f>'Global Config'!A69</x:f>
        <x:v>fighter.bear.rage_tier_3</x:v>
      </x:c>
    </x:row>
    <x:row r="70" ht="36" customHeight="1">
      <x:c r="A70" s="35" t="str">
        <x:v>CHK-0065</x:v>
      </x:c>
      <x:c r="B70" s="35" t="str">
        <x:v>Global Config</x:v>
      </x:c>
      <x:c r="C70" s="35" t="str">
        <x:v>fighter.kangaroo.tempo_per_unit_fp</x:v>
      </x:c>
      <x:c r="D70" s="44" t="str">
        <x:v>Обязательные поля и диапазоны</x:v>
      </x:c>
      <x:c r="E70" s="56" t="str">
        <x:f>'Global Config'!K70</x:f>
        <x:v>OK</x:v>
      </x:c>
      <x:c r="F70" s="38" t="str">
        <x:v>Error</x:v>
      </x:c>
      <x:c r="G70" s="38" t="str">
        <x:f>'Global Config'!A70</x:f>
        <x:v>fighter.kangaroo.tempo_per_unit_fp</x:v>
      </x:c>
    </x:row>
    <x:row r="71" ht="36" customHeight="1">
      <x:c r="A71" s="35" t="str">
        <x:v>CHK-0066</x:v>
      </x:c>
      <x:c r="B71" s="35" t="str">
        <x:v>Global Config</x:v>
      </x:c>
      <x:c r="C71" s="35" t="str">
        <x:v>fighter.kangaroo.dodge_bonus</x:v>
      </x:c>
      <x:c r="D71" s="44" t="str">
        <x:v>Обязательные поля и диапазоны</x:v>
      </x:c>
      <x:c r="E71" s="56" t="str">
        <x:f>'Global Config'!K71</x:f>
        <x:v>OK</x:v>
      </x:c>
      <x:c r="F71" s="38" t="str">
        <x:v>Error</x:v>
      </x:c>
      <x:c r="G71" s="38" t="str">
        <x:f>'Global Config'!A71</x:f>
        <x:v>fighter.kangaroo.dodge_bonus</x:v>
      </x:c>
    </x:row>
    <x:row r="72" ht="36" customHeight="1">
      <x:c r="A72" s="35" t="str">
        <x:v>CHK-0067</x:v>
      </x:c>
      <x:c r="B72" s="35" t="str">
        <x:v>Global Config</x:v>
      </x:c>
      <x:c r="C72" s="35" t="str">
        <x:v>fighter.kangaroo.rhythm_bonus</x:v>
      </x:c>
      <x:c r="D72" s="44" t="str">
        <x:v>Обязательные поля и диапазоны</x:v>
      </x:c>
      <x:c r="E72" s="56" t="str">
        <x:f>'Global Config'!K72</x:f>
        <x:v>OK</x:v>
      </x:c>
      <x:c r="F72" s="38" t="str">
        <x:v>Error</x:v>
      </x:c>
      <x:c r="G72" s="38" t="str">
        <x:f>'Global Config'!A72</x:f>
        <x:v>fighter.kangaroo.rhythm_bonus</x:v>
      </x:c>
    </x:row>
    <x:row r="73" ht="36" customHeight="1">
      <x:c r="A73" s="35" t="str">
        <x:v>CHK-0068</x:v>
      </x:c>
      <x:c r="B73" s="35" t="str">
        <x:v>Global Config</x:v>
      </x:c>
      <x:c r="C73" s="35" t="str">
        <x:v>fighter.kangaroo.decay_grace_ticks</x:v>
      </x:c>
      <x:c r="D73" s="44" t="str">
        <x:v>Обязательные поля и диапазоны</x:v>
      </x:c>
      <x:c r="E73" s="56" t="str">
        <x:f>'Global Config'!K73</x:f>
        <x:v>OK</x:v>
      </x:c>
      <x:c r="F73" s="38" t="str">
        <x:v>Error</x:v>
      </x:c>
      <x:c r="G73" s="38" t="str">
        <x:f>'Global Config'!A73</x:f>
        <x:v>fighter.kangaroo.decay_grace_ticks</x:v>
      </x:c>
    </x:row>
    <x:row r="74" ht="36" customHeight="1">
      <x:c r="A74" s="35" t="str">
        <x:v>CHK-0069</x:v>
      </x:c>
      <x:c r="B74" s="35" t="str">
        <x:v>Global Config</x:v>
      </x:c>
      <x:c r="C74" s="35" t="str">
        <x:v>fighter.kangaroo.idle_decay_per_tick</x:v>
      </x:c>
      <x:c r="D74" s="44" t="str">
        <x:v>Обязательные поля и диапазоны</x:v>
      </x:c>
      <x:c r="E74" s="56" t="str">
        <x:f>'Global Config'!K74</x:f>
        <x:v>OK</x:v>
      </x:c>
      <x:c r="F74" s="38" t="str">
        <x:v>Error</x:v>
      </x:c>
      <x:c r="G74" s="38" t="str">
        <x:f>'Global Config'!A74</x:f>
        <x:v>fighter.kangaroo.idle_decay_per_tick</x:v>
      </x:c>
    </x:row>
    <x:row r="75" ht="36" customHeight="1">
      <x:c r="A75" s="35" t="str">
        <x:v>CHK-0070</x:v>
      </x:c>
      <x:c r="B75" s="35" t="str">
        <x:v>Global Config</x:v>
      </x:c>
      <x:c r="C75" s="35" t="str">
        <x:v>fighter.kangaroo.break_loss</x:v>
      </x:c>
      <x:c r="D75" s="44" t="str">
        <x:v>Обязательные поля и диапазоны</x:v>
      </x:c>
      <x:c r="E75" s="56" t="str">
        <x:f>'Global Config'!K75</x:f>
        <x:v>OK</x:v>
      </x:c>
      <x:c r="F75" s="38" t="str">
        <x:v>Error</x:v>
      </x:c>
      <x:c r="G75" s="38" t="str">
        <x:f>'Global Config'!A75</x:f>
        <x:v>fighter.kangaroo.break_loss</x:v>
      </x:c>
    </x:row>
    <x:row r="76" ht="36" customHeight="1">
      <x:c r="A76" s="35" t="str">
        <x:v>CHK-0071</x:v>
      </x:c>
      <x:c r="B76" s="35" t="str">
        <x:v>Global Config</x:v>
      </x:c>
      <x:c r="C76" s="35" t="str">
        <x:v>fighter.kangaroo.tempo_tier_1</x:v>
      </x:c>
      <x:c r="D76" s="44" t="str">
        <x:v>Обязательные поля и диапазоны</x:v>
      </x:c>
      <x:c r="E76" s="56" t="str">
        <x:f>'Global Config'!K76</x:f>
        <x:v>OK</x:v>
      </x:c>
      <x:c r="F76" s="38" t="str">
        <x:v>Error</x:v>
      </x:c>
      <x:c r="G76" s="38" t="str">
        <x:f>'Global Config'!A76</x:f>
        <x:v>fighter.kangaroo.tempo_tier_1</x:v>
      </x:c>
    </x:row>
    <x:row r="77" ht="36" customHeight="1">
      <x:c r="A77" s="35" t="str">
        <x:v>CHK-0072</x:v>
      </x:c>
      <x:c r="B77" s="35" t="str">
        <x:v>Global Config</x:v>
      </x:c>
      <x:c r="C77" s="35" t="str">
        <x:v>fighter.kangaroo.tempo_tier_2</x:v>
      </x:c>
      <x:c r="D77" s="44" t="str">
        <x:v>Обязательные поля и диапазоны</x:v>
      </x:c>
      <x:c r="E77" s="56" t="str">
        <x:f>'Global Config'!K77</x:f>
        <x:v>OK</x:v>
      </x:c>
      <x:c r="F77" s="38" t="str">
        <x:v>Error</x:v>
      </x:c>
      <x:c r="G77" s="38" t="str">
        <x:f>'Global Config'!A77</x:f>
        <x:v>fighter.kangaroo.tempo_tier_2</x:v>
      </x:c>
    </x:row>
    <x:row r="78" ht="36" customHeight="1">
      <x:c r="A78" s="35" t="str">
        <x:v>CHK-0073</x:v>
      </x:c>
      <x:c r="B78" s="35" t="str">
        <x:v>Global Config</x:v>
      </x:c>
      <x:c r="C78" s="35" t="str">
        <x:v>fighter.kangaroo.tempo_tier_3</x:v>
      </x:c>
      <x:c r="D78" s="44" t="str">
        <x:v>Обязательные поля и диапазоны</x:v>
      </x:c>
      <x:c r="E78" s="56" t="str">
        <x:f>'Global Config'!K78</x:f>
        <x:v>OK</x:v>
      </x:c>
      <x:c r="F78" s="38" t="str">
        <x:v>Error</x:v>
      </x:c>
      <x:c r="G78" s="38" t="str">
        <x:f>'Global Config'!A78</x:f>
        <x:v>fighter.kangaroo.tempo_tier_3</x:v>
      </x:c>
    </x:row>
    <x:row r="79" ht="36" customHeight="1">
      <x:c r="A79" s="35" t="str">
        <x:v>CHK-0074</x:v>
      </x:c>
      <x:c r="B79" s="35" t="str">
        <x:v>Global Config</x:v>
      </x:c>
      <x:c r="C79" s="35" t="str">
        <x:v>fighter.gorilla.grip_per_block</x:v>
      </x:c>
      <x:c r="D79" s="44" t="str">
        <x:v>Обязательные поля и диапазоны</x:v>
      </x:c>
      <x:c r="E79" s="56" t="str">
        <x:f>'Global Config'!K79</x:f>
        <x:v>OK</x:v>
      </x:c>
      <x:c r="F79" s="38" t="str">
        <x:v>Error</x:v>
      </x:c>
      <x:c r="G79" s="38" t="str">
        <x:f>'Global Config'!A79</x:f>
        <x:v>fighter.gorilla.grip_per_block</x:v>
      </x:c>
    </x:row>
    <x:row r="80" ht="36" customHeight="1">
      <x:c r="A80" s="35" t="str">
        <x:v>CHK-0075</x:v>
      </x:c>
      <x:c r="B80" s="35" t="str">
        <x:v>Global Config</x:v>
      </x:c>
      <x:c r="C80" s="35" t="str">
        <x:v>fighter.gorilla.grip_per_shove</x:v>
      </x:c>
      <x:c r="D80" s="44" t="str">
        <x:v>Обязательные поля и диапазоны</x:v>
      </x:c>
      <x:c r="E80" s="56" t="str">
        <x:f>'Global Config'!K80</x:f>
        <x:v>OK</x:v>
      </x:c>
      <x:c r="F80" s="38" t="str">
        <x:v>Error</x:v>
      </x:c>
      <x:c r="G80" s="38" t="str">
        <x:f>'Global Config'!A80</x:f>
        <x:v>fighter.gorilla.grip_per_shove</x:v>
      </x:c>
    </x:row>
    <x:row r="81" ht="36" customHeight="1">
      <x:c r="A81" s="35" t="str">
        <x:v>CHK-0076</x:v>
      </x:c>
      <x:c r="B81" s="35" t="str">
        <x:v>Global Config</x:v>
      </x:c>
      <x:c r="C81" s="35" t="str">
        <x:v>fighter.gorilla.grip_per_grab</x:v>
      </x:c>
      <x:c r="D81" s="44" t="str">
        <x:v>Обязательные поля и диапазоны</x:v>
      </x:c>
      <x:c r="E81" s="56" t="str">
        <x:f>'Global Config'!K81</x:f>
        <x:v>OK</x:v>
      </x:c>
      <x:c r="F81" s="38" t="str">
        <x:v>Error</x:v>
      </x:c>
      <x:c r="G81" s="38" t="str">
        <x:f>'Global Config'!A81</x:f>
        <x:v>fighter.gorilla.grip_per_grab</x:v>
      </x:c>
    </x:row>
    <x:row r="82" ht="36" customHeight="1">
      <x:c r="A82" s="35" t="str">
        <x:v>CHK-0077</x:v>
      </x:c>
      <x:c r="B82" s="35" t="str">
        <x:v>Global Config</x:v>
      </x:c>
      <x:c r="C82" s="35" t="str">
        <x:v>fighter.gorilla.grip_per_wall_tick</x:v>
      </x:c>
      <x:c r="D82" s="44" t="str">
        <x:v>Обязательные поля и диапазоны</x:v>
      </x:c>
      <x:c r="E82" s="56" t="str">
        <x:f>'Global Config'!K82</x:f>
        <x:v>OK</x:v>
      </x:c>
      <x:c r="F82" s="38" t="str">
        <x:v>Error</x:v>
      </x:c>
      <x:c r="G82" s="38" t="str">
        <x:f>'Global Config'!A82</x:f>
        <x:v>fighter.gorilla.grip_per_wall_tick</x:v>
      </x:c>
    </x:row>
    <x:row r="83" ht="36" customHeight="1">
      <x:c r="A83" s="35" t="str">
        <x:v>CHK-0078</x:v>
      </x:c>
      <x:c r="B83" s="35" t="str">
        <x:v>Global Config</x:v>
      </x:c>
      <x:c r="C83" s="35" t="str">
        <x:v>fighter.gorilla.wall_tick_interval</x:v>
      </x:c>
      <x:c r="D83" s="44" t="str">
        <x:v>Обязательные поля и диапазоны</x:v>
      </x:c>
      <x:c r="E83" s="56" t="str">
        <x:f>'Global Config'!K83</x:f>
        <x:v>OK</x:v>
      </x:c>
      <x:c r="F83" s="38" t="str">
        <x:v>Error</x:v>
      </x:c>
      <x:c r="G83" s="38" t="str">
        <x:f>'Global Config'!A83</x:f>
        <x:v>fighter.gorilla.wall_tick_interval</x:v>
      </x:c>
    </x:row>
    <x:row r="84" ht="36" customHeight="1">
      <x:c r="A84" s="35" t="str">
        <x:v>CHK-0079</x:v>
      </x:c>
      <x:c r="B84" s="35" t="str">
        <x:v>Global Config</x:v>
      </x:c>
      <x:c r="C84" s="35" t="str">
        <x:v>fighter.gorilla.disengage_grace_ticks</x:v>
      </x:c>
      <x:c r="D84" s="44" t="str">
        <x:v>Обязательные поля и диапазоны</x:v>
      </x:c>
      <x:c r="E84" s="56" t="str">
        <x:f>'Global Config'!K84</x:f>
        <x:v>OK</x:v>
      </x:c>
      <x:c r="F84" s="38" t="str">
        <x:v>Error</x:v>
      </x:c>
      <x:c r="G84" s="38" t="str">
        <x:f>'Global Config'!A84</x:f>
        <x:v>fighter.gorilla.disengage_grace_ticks</x:v>
      </x:c>
    </x:row>
    <x:row r="85" ht="36" customHeight="1">
      <x:c r="A85" s="35" t="str">
        <x:v>CHK-0080</x:v>
      </x:c>
      <x:c r="B85" s="35" t="str">
        <x:v>Global Config</x:v>
      </x:c>
      <x:c r="C85" s="35" t="str">
        <x:v>fighter.gorilla.disengage_loss_per_tick</x:v>
      </x:c>
      <x:c r="D85" s="44" t="str">
        <x:v>Обязательные поля и диапазоны</x:v>
      </x:c>
      <x:c r="E85" s="56" t="str">
        <x:f>'Global Config'!K85</x:f>
        <x:v>OK</x:v>
      </x:c>
      <x:c r="F85" s="38" t="str">
        <x:v>Error</x:v>
      </x:c>
      <x:c r="G85" s="38" t="str">
        <x:f>'Global Config'!A85</x:f>
        <x:v>fighter.gorilla.disengage_loss_per_tick</x:v>
      </x:c>
    </x:row>
    <x:row r="86" ht="36" customHeight="1">
      <x:c r="A86" s="35" t="str">
        <x:v>CHK-0081</x:v>
      </x:c>
      <x:c r="B86" s="35" t="str">
        <x:v>Global Config</x:v>
      </x:c>
      <x:c r="C86" s="35" t="str">
        <x:v>fighter.gorilla.hard_control_loss</x:v>
      </x:c>
      <x:c r="D86" s="44" t="str">
        <x:v>Обязательные поля и диапазоны</x:v>
      </x:c>
      <x:c r="E86" s="56" t="str">
        <x:f>'Global Config'!K86</x:f>
        <x:v>OK</x:v>
      </x:c>
      <x:c r="F86" s="38" t="str">
        <x:v>Error</x:v>
      </x:c>
      <x:c r="G86" s="38" t="str">
        <x:f>'Global Config'!A86</x:f>
        <x:v>fighter.gorilla.hard_control_loss</x:v>
      </x:c>
    </x:row>
    <x:row r="87" ht="36" customHeight="1">
      <x:c r="A87" s="35" t="str">
        <x:v>CHK-0082</x:v>
      </x:c>
      <x:c r="B87" s="35" t="str">
        <x:v>Global Config</x:v>
      </x:c>
      <x:c r="C87" s="35" t="str">
        <x:v>fighter.gorilla.grip_tier_1</x:v>
      </x:c>
      <x:c r="D87" s="44" t="str">
        <x:v>Обязательные поля и диапазоны</x:v>
      </x:c>
      <x:c r="E87" s="56" t="str">
        <x:f>'Global Config'!K87</x:f>
        <x:v>OK</x:v>
      </x:c>
      <x:c r="F87" s="38" t="str">
        <x:v>Error</x:v>
      </x:c>
      <x:c r="G87" s="38" t="str">
        <x:f>'Global Config'!A87</x:f>
        <x:v>fighter.gorilla.grip_tier_1</x:v>
      </x:c>
    </x:row>
    <x:row r="88" ht="36" customHeight="1">
      <x:c r="A88" s="35" t="str">
        <x:v>CHK-0083</x:v>
      </x:c>
      <x:c r="B88" s="35" t="str">
        <x:v>Global Config</x:v>
      </x:c>
      <x:c r="C88" s="35" t="str">
        <x:v>fighter.gorilla.grip_tier_2</x:v>
      </x:c>
      <x:c r="D88" s="44" t="str">
        <x:v>Обязательные поля и диапазоны</x:v>
      </x:c>
      <x:c r="E88" s="56" t="str">
        <x:f>'Global Config'!K88</x:f>
        <x:v>OK</x:v>
      </x:c>
      <x:c r="F88" s="38" t="str">
        <x:v>Error</x:v>
      </x:c>
      <x:c r="G88" s="38" t="str">
        <x:f>'Global Config'!A88</x:f>
        <x:v>fighter.gorilla.grip_tier_2</x:v>
      </x:c>
    </x:row>
    <x:row r="89" ht="36" customHeight="1">
      <x:c r="A89" s="35" t="str">
        <x:v>CHK-0084</x:v>
      </x:c>
      <x:c r="B89" s="35" t="str">
        <x:v>Global Config</x:v>
      </x:c>
      <x:c r="C89" s="35" t="str">
        <x:v>fighter.gorilla.grip_tier_3</x:v>
      </x:c>
      <x:c r="D89" s="44" t="str">
        <x:v>Обязательные поля и диапазоны</x:v>
      </x:c>
      <x:c r="E89" s="56" t="str">
        <x:f>'Global Config'!K89</x:f>
        <x:v>OK</x:v>
      </x:c>
      <x:c r="F89" s="38" t="str">
        <x:v>Error</x:v>
      </x:c>
      <x:c r="G89" s="38" t="str">
        <x:f>'Global Config'!A89</x:f>
        <x:v>fighter.gorilla.grip_tier_3</x:v>
      </x:c>
    </x:row>
    <x:row r="90" ht="36" customHeight="1">
      <x:c r="A90" s="35" t="str">
        <x:v>CHK-0085</x:v>
      </x:c>
      <x:c r="B90" s="35" t="str">
        <x:v>Fighter Stats</x:v>
      </x:c>
      <x:c r="C90" s="35" t="str">
        <x:v>bear</x:v>
      </x:c>
      <x:c r="D90" s="44" t="str">
        <x:v>Обязательные поля и диапазоны</x:v>
      </x:c>
      <x:c r="E90" s="56" t="str">
        <x:f>'Fighter Stats'!AA6</x:f>
        <x:v>OK</x:v>
      </x:c>
      <x:c r="F90" s="38" t="str">
        <x:v>Error</x:v>
      </x:c>
      <x:c r="G90" s="38" t="str">
        <x:f>'Fighter Stats'!A6</x:f>
        <x:v>bear</x:v>
      </x:c>
    </x:row>
    <x:row r="91" ht="36" customHeight="1">
      <x:c r="A91" s="35" t="str">
        <x:v>CHK-0086</x:v>
      </x:c>
      <x:c r="B91" s="35" t="str">
        <x:v>Fighter Stats</x:v>
      </x:c>
      <x:c r="C91" s="35" t="str">
        <x:v>kangaroo</x:v>
      </x:c>
      <x:c r="D91" s="44" t="str">
        <x:v>Обязательные поля и диапазоны</x:v>
      </x:c>
      <x:c r="E91" s="56" t="str">
        <x:f>'Fighter Stats'!AA7</x:f>
        <x:v>OK</x:v>
      </x:c>
      <x:c r="F91" s="38" t="str">
        <x:v>Error</x:v>
      </x:c>
      <x:c r="G91" s="38" t="str">
        <x:f>'Fighter Stats'!A7</x:f>
        <x:v>kangaroo</x:v>
      </x:c>
    </x:row>
    <x:row r="92" ht="36" customHeight="1">
      <x:c r="A92" s="35" t="str">
        <x:v>CHK-0087</x:v>
      </x:c>
      <x:c r="B92" s="35" t="str">
        <x:v>Fighter Stats</x:v>
      </x:c>
      <x:c r="C92" s="35" t="str">
        <x:v>gorilla</x:v>
      </x:c>
      <x:c r="D92" s="44" t="str">
        <x:v>Обязательные поля и диапазоны</x:v>
      </x:c>
      <x:c r="E92" s="56" t="str">
        <x:f>'Fighter Stats'!AA8</x:f>
        <x:v>OK</x:v>
      </x:c>
      <x:c r="F92" s="38" t="str">
        <x:v>Error</x:v>
      </x:c>
      <x:c r="G92" s="38" t="str">
        <x:f>'Fighter Stats'!A8</x:f>
        <x:v>gorilla</x:v>
      </x:c>
    </x:row>
    <x:row r="93" ht="36" customHeight="1">
      <x:c r="A93" s="35" t="str">
        <x:v>CHK-0088</x:v>
      </x:c>
      <x:c r="B93" s="35" t="str">
        <x:v>Actions</x:v>
      </x:c>
      <x:c r="C93" s="35" t="str">
        <x:v>sys_approach</x:v>
      </x:c>
      <x:c r="D93" s="44" t="str">
        <x:v>Обязательные поля и диапазоны</x:v>
      </x:c>
      <x:c r="E93" s="56" t="str">
        <x:f>'Actions'!BE6</x:f>
        <x:v>OK</x:v>
      </x:c>
      <x:c r="F93" s="38" t="str">
        <x:v>Error</x:v>
      </x:c>
      <x:c r="G93" s="38" t="str">
        <x:f>'Actions'!A6</x:f>
        <x:v>sys_approach</x:v>
      </x:c>
    </x:row>
    <x:row r="94" ht="36" customHeight="1">
      <x:c r="A94" s="35" t="str">
        <x:v>CHK-0089</x:v>
      </x:c>
      <x:c r="B94" s="35" t="str">
        <x:v>Actions</x:v>
      </x:c>
      <x:c r="C94" s="35" t="str">
        <x:v>sys_retreat</x:v>
      </x:c>
      <x:c r="D94" s="44" t="str">
        <x:v>Обязательные поля и диапазоны</x:v>
      </x:c>
      <x:c r="E94" s="56" t="str">
        <x:f>'Actions'!BE7</x:f>
        <x:v>OK</x:v>
      </x:c>
      <x:c r="F94" s="38" t="str">
        <x:v>Error</x:v>
      </x:c>
      <x:c r="G94" s="38" t="str">
        <x:f>'Actions'!A7</x:f>
        <x:v>sys_retreat</x:v>
      </x:c>
    </x:row>
    <x:row r="95" ht="36" customHeight="1">
      <x:c r="A95" s="35" t="str">
        <x:v>CHK-0090</x:v>
      </x:c>
      <x:c r="B95" s="35" t="str">
        <x:v>Actions</x:v>
      </x:c>
      <x:c r="C95" s="35" t="str">
        <x:v>sys_wait</x:v>
      </x:c>
      <x:c r="D95" s="44" t="str">
        <x:v>Обязательные поля и диапазоны</x:v>
      </x:c>
      <x:c r="E95" s="56" t="str">
        <x:f>'Actions'!BE8</x:f>
        <x:v>OK</x:v>
      </x:c>
      <x:c r="F95" s="38" t="str">
        <x:v>Error</x:v>
      </x:c>
      <x:c r="G95" s="38" t="str">
        <x:f>'Actions'!A8</x:f>
        <x:v>sys_wait</x:v>
      </x:c>
    </x:row>
    <x:row r="96" ht="36" customHeight="1">
      <x:c r="A96" s="35" t="str">
        <x:v>CHK-0091</x:v>
      </x:c>
      <x:c r="B96" s="35" t="str">
        <x:v>Actions</x:v>
      </x:c>
      <x:c r="C96" s="35" t="str">
        <x:v>bear_paw_jab</x:v>
      </x:c>
      <x:c r="D96" s="44" t="str">
        <x:v>Обязательные поля и диапазоны</x:v>
      </x:c>
      <x:c r="E96" s="56" t="str">
        <x:f>'Actions'!BE9</x:f>
        <x:v>OK</x:v>
      </x:c>
      <x:c r="F96" s="38" t="str">
        <x:v>Error</x:v>
      </x:c>
      <x:c r="G96" s="38" t="str">
        <x:f>'Actions'!A9</x:f>
        <x:v>bear_paw_jab</x:v>
      </x:c>
    </x:row>
    <x:row r="97" ht="36" customHeight="1">
      <x:c r="A97" s="35" t="str">
        <x:v>CHK-0092</x:v>
      </x:c>
      <x:c r="B97" s="35" t="str">
        <x:v>Actions</x:v>
      </x:c>
      <x:c r="C97" s="35" t="str">
        <x:v>bear_crushing_swipe</x:v>
      </x:c>
      <x:c r="D97" s="44" t="str">
        <x:v>Обязательные поля и диапазоны</x:v>
      </x:c>
      <x:c r="E97" s="56" t="str">
        <x:f>'Actions'!BE10</x:f>
        <x:v>OK</x:v>
      </x:c>
      <x:c r="F97" s="38" t="str">
        <x:v>Error</x:v>
      </x:c>
      <x:c r="G97" s="38" t="str">
        <x:f>'Actions'!A10</x:f>
        <x:v>bear_crushing_swipe</x:v>
      </x:c>
    </x:row>
    <x:row r="98" ht="36" customHeight="1">
      <x:c r="A98" s="35" t="str">
        <x:v>CHK-0093</x:v>
      </x:c>
      <x:c r="B98" s="35" t="str">
        <x:v>Actions</x:v>
      </x:c>
      <x:c r="C98" s="35" t="str">
        <x:v>bear_guarded_advance</x:v>
      </x:c>
      <x:c r="D98" s="44" t="str">
        <x:v>Обязательные поля и диапазоны</x:v>
      </x:c>
      <x:c r="E98" s="56" t="str">
        <x:f>'Actions'!BE11</x:f>
        <x:v>OK</x:v>
      </x:c>
      <x:c r="F98" s="38" t="str">
        <x:v>Error</x:v>
      </x:c>
      <x:c r="G98" s="38" t="str">
        <x:f>'Actions'!A11</x:f>
        <x:v>bear_guarded_advance</x:v>
      </x:c>
    </x:row>
    <x:row r="99" ht="36" customHeight="1">
      <x:c r="A99" s="35" t="str">
        <x:v>CHK-0094</x:v>
      </x:c>
      <x:c r="B99" s="35" t="str">
        <x:v>Actions</x:v>
      </x:c>
      <x:c r="C99" s="35" t="str">
        <x:v>bear_body_check</x:v>
      </x:c>
      <x:c r="D99" s="44" t="str">
        <x:v>Обязательные поля и диапазоны</x:v>
      </x:c>
      <x:c r="E99" s="56" t="str">
        <x:f>'Actions'!BE12</x:f>
        <x:v>OK</x:v>
      </x:c>
      <x:c r="F99" s="38" t="str">
        <x:v>Error</x:v>
      </x:c>
      <x:c r="G99" s="38" t="str">
        <x:f>'Actions'!A12</x:f>
        <x:v>bear_body_check</x:v>
      </x:c>
    </x:row>
    <x:row r="100" ht="36" customHeight="1">
      <x:c r="A100" s="35" t="str">
        <x:v>CHK-0095</x:v>
      </x:c>
      <x:c r="B100" s="35" t="str">
        <x:v>Actions</x:v>
      </x:c>
      <x:c r="C100" s="35" t="str">
        <x:v>bear_rampage_charge</x:v>
      </x:c>
      <x:c r="D100" s="44" t="str">
        <x:v>Обязательные поля и диапазоны</x:v>
      </x:c>
      <x:c r="E100" s="56" t="str">
        <x:f>'Actions'!BE13</x:f>
        <x:v>OK</x:v>
      </x:c>
      <x:c r="F100" s="38" t="str">
        <x:v>Error</x:v>
      </x:c>
      <x:c r="G100" s="38" t="str">
        <x:f>'Actions'!A13</x:f>
        <x:v>bear_rampage_charge</x:v>
      </x:c>
    </x:row>
    <x:row r="101" ht="36" customHeight="1">
      <x:c r="A101" s="35" t="str">
        <x:v>CHK-0096</x:v>
      </x:c>
      <x:c r="B101" s="35" t="str">
        <x:v>Actions</x:v>
      </x:c>
      <x:c r="C101" s="35" t="str">
        <x:v>bear_earthbreaker</x:v>
      </x:c>
      <x:c r="D101" s="44" t="str">
        <x:v>Обязательные поля и диапазоны</x:v>
      </x:c>
      <x:c r="E101" s="56" t="str">
        <x:f>'Actions'!BE14</x:f>
        <x:v>OK</x:v>
      </x:c>
      <x:c r="F101" s="38" t="str">
        <x:v>Error</x:v>
      </x:c>
      <x:c r="G101" s="38" t="str">
        <x:f>'Actions'!A14</x:f>
        <x:v>bear_earthbreaker</x:v>
      </x:c>
    </x:row>
    <x:row r="102" ht="36" customHeight="1">
      <x:c r="A102" s="35" t="str">
        <x:v>CHK-0097</x:v>
      </x:c>
      <x:c r="B102" s="35" t="str">
        <x:v>Actions</x:v>
      </x:c>
      <x:c r="C102" s="35" t="str">
        <x:v>bear_fury_maul</x:v>
      </x:c>
      <x:c r="D102" s="44" t="str">
        <x:v>Обязательные поля и диапазоны</x:v>
      </x:c>
      <x:c r="E102" s="56" t="str">
        <x:f>'Actions'!BE15</x:f>
        <x:v>OK</x:v>
      </x:c>
      <x:c r="F102" s="38" t="str">
        <x:v>Error</x:v>
      </x:c>
      <x:c r="G102" s="38" t="str">
        <x:f>'Actions'!A15</x:f>
        <x:v>bear_fury_maul</x:v>
      </x:c>
    </x:row>
    <x:row r="103" ht="36" customHeight="1">
      <x:c r="A103" s="35" t="str">
        <x:v>CHK-0098</x:v>
      </x:c>
      <x:c r="B103" s="35" t="str">
        <x:v>Actions</x:v>
      </x:c>
      <x:c r="C103" s="35" t="str">
        <x:v>kangaroo_lead_jab</x:v>
      </x:c>
      <x:c r="D103" s="44" t="str">
        <x:v>Обязательные поля и диапазоны</x:v>
      </x:c>
      <x:c r="E103" s="56" t="str">
        <x:f>'Actions'!BE16</x:f>
        <x:v>OK</x:v>
      </x:c>
      <x:c r="F103" s="38" t="str">
        <x:v>Error</x:v>
      </x:c>
      <x:c r="G103" s="38" t="str">
        <x:f>'Actions'!A16</x:f>
        <x:v>kangaroo_lead_jab</x:v>
      </x:c>
    </x:row>
    <x:row r="104" ht="36" customHeight="1">
      <x:c r="A104" s="35" t="str">
        <x:v>CHK-0099</x:v>
      </x:c>
      <x:c r="B104" s="35" t="str">
        <x:v>Actions</x:v>
      </x:c>
      <x:c r="C104" s="35" t="str">
        <x:v>kangaroo_push_kick</x:v>
      </x:c>
      <x:c r="D104" s="44" t="str">
        <x:v>Обязательные поля и диапазоны</x:v>
      </x:c>
      <x:c r="E104" s="56" t="str">
        <x:f>'Actions'!BE17</x:f>
        <x:v>OK</x:v>
      </x:c>
      <x:c r="F104" s="38" t="str">
        <x:v>Error</x:v>
      </x:c>
      <x:c r="G104" s="38" t="str">
        <x:f>'Actions'!A17</x:f>
        <x:v>kangaroo_push_kick</x:v>
      </x:c>
    </x:row>
    <x:row r="105" ht="36" customHeight="1">
      <x:c r="A105" s="35" t="str">
        <x:v>CHK-0100</x:v>
      </x:c>
      <x:c r="B105" s="35" t="str">
        <x:v>Actions</x:v>
      </x:c>
      <x:c r="C105" s="35" t="str">
        <x:v>kangaroo_bounding_step</x:v>
      </x:c>
      <x:c r="D105" s="44" t="str">
        <x:v>Обязательные поля и диапазоны</x:v>
      </x:c>
      <x:c r="E105" s="56" t="str">
        <x:f>'Actions'!BE18</x:f>
        <x:v>OK</x:v>
      </x:c>
      <x:c r="F105" s="38" t="str">
        <x:v>Error</x:v>
      </x:c>
      <x:c r="G105" s="38" t="str">
        <x:f>'Actions'!A18</x:f>
        <x:v>kangaroo_bounding_step</x:v>
      </x:c>
    </x:row>
    <x:row r="106" ht="36" customHeight="1">
      <x:c r="A106" s="35" t="str">
        <x:v>CHK-0101</x:v>
      </x:c>
      <x:c r="B106" s="35" t="str">
        <x:v>Actions</x:v>
      </x:c>
      <x:c r="C106" s="35" t="str">
        <x:v>kangaroo_slip_hop</x:v>
      </x:c>
      <x:c r="D106" s="44" t="str">
        <x:v>Обязательные поля и диапазоны</x:v>
      </x:c>
      <x:c r="E106" s="56" t="str">
        <x:f>'Actions'!BE19</x:f>
        <x:v>OK</x:v>
      </x:c>
      <x:c r="F106" s="38" t="str">
        <x:v>Error</x:v>
      </x:c>
      <x:c r="G106" s="38" t="str">
        <x:f>'Actions'!A19</x:f>
        <x:v>kangaroo_slip_hop</x:v>
      </x:c>
    </x:row>
    <x:row r="107" ht="36" customHeight="1">
      <x:c r="A107" s="35" t="str">
        <x:v>CHK-0102</x:v>
      </x:c>
      <x:c r="B107" s="35" t="str">
        <x:v>Actions</x:v>
      </x:c>
      <x:c r="C107" s="35" t="str">
        <x:v>kangaroo_flying_kick</x:v>
      </x:c>
      <x:c r="D107" s="44" t="str">
        <x:v>Обязательные поля и диапазоны</x:v>
      </x:c>
      <x:c r="E107" s="56" t="str">
        <x:f>'Actions'!BE20</x:f>
        <x:v>OK</x:v>
      </x:c>
      <x:c r="F107" s="38" t="str">
        <x:v>Error</x:v>
      </x:c>
      <x:c r="G107" s="38" t="str">
        <x:f>'Actions'!A20</x:f>
        <x:v>kangaroo_flying_kick</x:v>
      </x:c>
    </x:row>
    <x:row r="108" ht="36" customHeight="1">
      <x:c r="A108" s="35" t="str">
        <x:v>CHK-0103</x:v>
      </x:c>
      <x:c r="B108" s="35" t="str">
        <x:v>Actions</x:v>
      </x:c>
      <x:c r="C108" s="35" t="str">
        <x:v>kangaroo_tail_counter</x:v>
      </x:c>
      <x:c r="D108" s="44" t="str">
        <x:v>Обязательные поля и диапазоны</x:v>
      </x:c>
      <x:c r="E108" s="56" t="str">
        <x:f>'Actions'!BE21</x:f>
        <x:v>OK</x:v>
      </x:c>
      <x:c r="F108" s="38" t="str">
        <x:v>Error</x:v>
      </x:c>
      <x:c r="G108" s="38" t="str">
        <x:f>'Actions'!A21</x:f>
        <x:v>kangaroo_tail_counter</x:v>
      </x:c>
    </x:row>
    <x:row r="109" ht="36" customHeight="1">
      <x:c r="A109" s="35" t="str">
        <x:v>CHK-0104</x:v>
      </x:c>
      <x:c r="B109" s="35" t="str">
        <x:v>Actions</x:v>
      </x:c>
      <x:c r="C109" s="35" t="str">
        <x:v>kangaroo_tempo_barrage</x:v>
      </x:c>
      <x:c r="D109" s="44" t="str">
        <x:v>Обязательные поля и диапазоны</x:v>
      </x:c>
      <x:c r="E109" s="56" t="str">
        <x:f>'Actions'!BE22</x:f>
        <x:v>OK</x:v>
      </x:c>
      <x:c r="F109" s="38" t="str">
        <x:v>Error</x:v>
      </x:c>
      <x:c r="G109" s="38" t="str">
        <x:f>'Actions'!A22</x:f>
        <x:v>kangaroo_tempo_barrage</x:v>
      </x:c>
    </x:row>
    <x:row r="110" ht="36" customHeight="1">
      <x:c r="A110" s="35" t="str">
        <x:v>CHK-0105</x:v>
      </x:c>
      <x:c r="B110" s="35" t="str">
        <x:v>Actions</x:v>
      </x:c>
      <x:c r="C110" s="35" t="str">
        <x:v>gorilla_hammer_fist</x:v>
      </x:c>
      <x:c r="D110" s="44" t="str">
        <x:v>Обязательные поля и диапазоны</x:v>
      </x:c>
      <x:c r="E110" s="56" t="str">
        <x:f>'Actions'!BE23</x:f>
        <x:v>OK</x:v>
      </x:c>
      <x:c r="F110" s="38" t="str">
        <x:v>Error</x:v>
      </x:c>
      <x:c r="G110" s="38" t="str">
        <x:f>'Actions'!A23</x:f>
        <x:v>gorilla_hammer_fist</x:v>
      </x:c>
    </x:row>
    <x:row r="111" ht="36" customHeight="1">
      <x:c r="A111" s="35" t="str">
        <x:v>CHK-0106</x:v>
      </x:c>
      <x:c r="B111" s="35" t="str">
        <x:v>Actions</x:v>
      </x:c>
      <x:c r="C111" s="35" t="str">
        <x:v>gorilla_driving_shove</x:v>
      </x:c>
      <x:c r="D111" s="44" t="str">
        <x:v>Обязательные поля и диапазоны</x:v>
      </x:c>
      <x:c r="E111" s="56" t="str">
        <x:f>'Actions'!BE24</x:f>
        <x:v>OK</x:v>
      </x:c>
      <x:c r="F111" s="38" t="str">
        <x:v>Error</x:v>
      </x:c>
      <x:c r="G111" s="38" t="str">
        <x:f>'Actions'!A24</x:f>
        <x:v>gorilla_driving_shove</x:v>
      </x:c>
    </x:row>
    <x:row r="112" ht="36" customHeight="1">
      <x:c r="A112" s="35" t="str">
        <x:v>CHK-0107</x:v>
      </x:c>
      <x:c r="B112" s="35" t="str">
        <x:v>Actions</x:v>
      </x:c>
      <x:c r="C112" s="35" t="str">
        <x:v>gorilla_high_guard</x:v>
      </x:c>
      <x:c r="D112" s="44" t="str">
        <x:v>Обязательные поля и диапазоны</x:v>
      </x:c>
      <x:c r="E112" s="56" t="str">
        <x:f>'Actions'!BE25</x:f>
        <x:v>OK</x:v>
      </x:c>
      <x:c r="F112" s="38" t="str">
        <x:v>Error</x:v>
      </x:c>
      <x:c r="G112" s="38" t="str">
        <x:f>'Actions'!A25</x:f>
        <x:v>gorilla_high_guard</x:v>
      </x:c>
    </x:row>
    <x:row r="113" ht="36" customHeight="1">
      <x:c r="A113" s="35" t="str">
        <x:v>CHK-0108</x:v>
      </x:c>
      <x:c r="B113" s="35" t="str">
        <x:v>Actions</x:v>
      </x:c>
      <x:c r="C113" s="35" t="str">
        <x:v>gorilla_clinch_check</x:v>
      </x:c>
      <x:c r="D113" s="44" t="str">
        <x:v>Обязательные поля и диапазоны</x:v>
      </x:c>
      <x:c r="E113" s="56" t="str">
        <x:f>'Actions'!BE26</x:f>
        <x:v>OK</x:v>
      </x:c>
      <x:c r="F113" s="38" t="str">
        <x:v>Error</x:v>
      </x:c>
      <x:c r="G113" s="38" t="str">
        <x:f>'Actions'!A26</x:f>
        <x:v>gorilla_clinch_check</x:v>
      </x:c>
    </x:row>
    <x:row r="114" ht="36" customHeight="1">
      <x:c r="A114" s="35" t="str">
        <x:v>CHK-0109</x:v>
      </x:c>
      <x:c r="B114" s="35" t="str">
        <x:v>Actions</x:v>
      </x:c>
      <x:c r="C114" s="35" t="str">
        <x:v>gorilla_pivot_throw</x:v>
      </x:c>
      <x:c r="D114" s="44" t="str">
        <x:v>Обязательные поля и диапазоны</x:v>
      </x:c>
      <x:c r="E114" s="56" t="str">
        <x:f>'Actions'!BE27</x:f>
        <x:v>OK</x:v>
      </x:c>
      <x:c r="F114" s="38" t="str">
        <x:v>Error</x:v>
      </x:c>
      <x:c r="G114" s="38" t="str">
        <x:f>'Actions'!A27</x:f>
        <x:v>gorilla_pivot_throw</x:v>
      </x:c>
    </x:row>
    <x:row r="115" ht="36" customHeight="1">
      <x:c r="A115" s="35" t="str">
        <x:v>CHK-0110</x:v>
      </x:c>
      <x:c r="B115" s="35" t="str">
        <x:v>Actions</x:v>
      </x:c>
      <x:c r="C115" s="35" t="str">
        <x:v>gorilla_overhead_pound</x:v>
      </x:c>
      <x:c r="D115" s="44" t="str">
        <x:v>Обязательные поля и диапазоны</x:v>
      </x:c>
      <x:c r="E115" s="56" t="str">
        <x:f>'Actions'!BE28</x:f>
        <x:v>OK</x:v>
      </x:c>
      <x:c r="F115" s="38" t="str">
        <x:v>Error</x:v>
      </x:c>
      <x:c r="G115" s="38" t="str">
        <x:f>'Actions'!A28</x:f>
        <x:v>gorilla_overhead_pound</x:v>
      </x:c>
    </x:row>
    <x:row r="116" ht="36" customHeight="1">
      <x:c r="A116" s="35" t="str">
        <x:v>CHK-0111</x:v>
      </x:c>
      <x:c r="B116" s="35" t="str">
        <x:v>Actions</x:v>
      </x:c>
      <x:c r="C116" s="35" t="str">
        <x:v>gorilla_wall_breaker</x:v>
      </x:c>
      <x:c r="D116" s="44" t="str">
        <x:v>Обязательные поля и диапазоны</x:v>
      </x:c>
      <x:c r="E116" s="56" t="str">
        <x:f>'Actions'!BE29</x:f>
        <x:v>OK</x:v>
      </x:c>
      <x:c r="F116" s="38" t="str">
        <x:v>Error</x:v>
      </x:c>
      <x:c r="G116" s="38" t="str">
        <x:f>'Actions'!A29</x:f>
        <x:v>gorilla_wall_breaker</x:v>
      </x:c>
    </x:row>
    <x:row r="117" ht="36" customHeight="1">
      <x:c r="A117" s="35" t="str">
        <x:v>CHK-0112</x:v>
      </x:c>
      <x:c r="B117" s="35" t="str">
        <x:v>Passives</x:v>
      </x:c>
      <x:c r="C117" s="35" t="str">
        <x:v>bear_thick_hide</x:v>
      </x:c>
      <x:c r="D117" s="44" t="str">
        <x:v>Обязательные поля и диапазоны</x:v>
      </x:c>
      <x:c r="E117" s="56" t="str">
        <x:f>'Passives'!V6</x:f>
        <x:v>OK</x:v>
      </x:c>
      <x:c r="F117" s="38" t="str">
        <x:v>Error</x:v>
      </x:c>
      <x:c r="G117" s="38" t="str">
        <x:f>'Passives'!A6</x:f>
        <x:v>bear_thick_hide</x:v>
      </x:c>
    </x:row>
    <x:row r="118" ht="36" customHeight="1">
      <x:c r="A118" s="35" t="str">
        <x:v>CHK-0113</x:v>
      </x:c>
      <x:c r="B118" s="35" t="str">
        <x:v>Passives</x:v>
      </x:c>
      <x:c r="C118" s="35" t="str">
        <x:v>bear_pressure_fuels_rage</x:v>
      </x:c>
      <x:c r="D118" s="44" t="str">
        <x:v>Обязательные поля и диапазоны</x:v>
      </x:c>
      <x:c r="E118" s="56" t="str">
        <x:f>'Passives'!V7</x:f>
        <x:v>OK</x:v>
      </x:c>
      <x:c r="F118" s="38" t="str">
        <x:v>Error</x:v>
      </x:c>
      <x:c r="G118" s="38" t="str">
        <x:f>'Passives'!A7</x:f>
        <x:v>bear_pressure_fuels_rage</x:v>
      </x:c>
    </x:row>
    <x:row r="119" ht="36" customHeight="1">
      <x:c r="A119" s="35" t="str">
        <x:v>CHK-0114</x:v>
      </x:c>
      <x:c r="B119" s="35" t="str">
        <x:v>Passives</x:v>
      </x:c>
      <x:c r="C119" s="35" t="str">
        <x:v>kangaroo_never_still</x:v>
      </x:c>
      <x:c r="D119" s="44" t="str">
        <x:v>Обязательные поля и диапазоны</x:v>
      </x:c>
      <x:c r="E119" s="56" t="str">
        <x:f>'Passives'!V8</x:f>
        <x:v>OK</x:v>
      </x:c>
      <x:c r="F119" s="38" t="str">
        <x:v>Error</x:v>
      </x:c>
      <x:c r="G119" s="38" t="str">
        <x:f>'Passives'!A8</x:f>
        <x:v>kangaroo_never_still</x:v>
      </x:c>
    </x:row>
    <x:row r="120" ht="36" customHeight="1">
      <x:c r="A120" s="35" t="str">
        <x:v>CHK-0115</x:v>
      </x:c>
      <x:c r="B120" s="35" t="str">
        <x:v>Passives</x:v>
      </x:c>
      <x:c r="C120" s="35" t="str">
        <x:v>kangaroo_clean_rhythm</x:v>
      </x:c>
      <x:c r="D120" s="44" t="str">
        <x:v>Обязательные поля и диапазоны</x:v>
      </x:c>
      <x:c r="E120" s="56" t="str">
        <x:f>'Passives'!V9</x:f>
        <x:v>OK</x:v>
      </x:c>
      <x:c r="F120" s="38" t="str">
        <x:v>Error</x:v>
      </x:c>
      <x:c r="G120" s="38" t="str">
        <x:f>'Passives'!A9</x:f>
        <x:v>kangaroo_clean_rhythm</x:v>
      </x:c>
    </x:row>
    <x:row r="121" ht="36" customHeight="1">
      <x:c r="A121" s="35" t="str">
        <x:v>CHK-0116</x:v>
      </x:c>
      <x:c r="B121" s="35" t="str">
        <x:v>Passives</x:v>
      </x:c>
      <x:c r="C121" s="35" t="str">
        <x:v>gorilla_territorial_pressure</x:v>
      </x:c>
      <x:c r="D121" s="44" t="str">
        <x:v>Обязательные поля и диапазоны</x:v>
      </x:c>
      <x:c r="E121" s="56" t="str">
        <x:f>'Passives'!V10</x:f>
        <x:v>OK</x:v>
      </x:c>
      <x:c r="F121" s="38" t="str">
        <x:v>Error</x:v>
      </x:c>
      <x:c r="G121" s="38" t="str">
        <x:f>'Passives'!A10</x:f>
        <x:v>gorilla_territorial_pressure</x:v>
      </x:c>
    </x:row>
    <x:row r="122" ht="36" customHeight="1">
      <x:c r="A122" s="35" t="str">
        <x:v>CHK-0117</x:v>
      </x:c>
      <x:c r="B122" s="35" t="str">
        <x:v>Passives</x:v>
      </x:c>
      <x:c r="C122" s="35" t="str">
        <x:v>gorilla_iron_grip</x:v>
      </x:c>
      <x:c r="D122" s="44" t="str">
        <x:v>Обязательные поля и диапазоны</x:v>
      </x:c>
      <x:c r="E122" s="56" t="str">
        <x:f>'Passives'!V11</x:f>
        <x:v>OK</x:v>
      </x:c>
      <x:c r="F122" s="38" t="str">
        <x:v>Error</x:v>
      </x:c>
      <x:c r="G122" s="38" t="str">
        <x:f>'Passives'!A11</x:f>
        <x:v>gorilla_iron_grip</x:v>
      </x:c>
    </x:row>
    <x:row r="123" ht="36" customHeight="1">
      <x:c r="A123" s="35" t="str">
        <x:v>CHK-0118</x:v>
      </x:c>
      <x:c r="B123" s="35" t="str">
        <x:v>Effects</x:v>
      </x:c>
      <x:c r="C123" s="35" t="str">
        <x:v>effect_bear_thick_hide</x:v>
      </x:c>
      <x:c r="D123" s="44" t="str">
        <x:v>Обязательные поля и диапазоны</x:v>
      </x:c>
      <x:c r="E123" s="56" t="str">
        <x:f>'Effects'!U6</x:f>
        <x:v>OK</x:v>
      </x:c>
      <x:c r="F123" s="38" t="str">
        <x:v>Error</x:v>
      </x:c>
      <x:c r="G123" s="38" t="str">
        <x:f>'Effects'!A6</x:f>
        <x:v>effect_bear_thick_hide</x:v>
      </x:c>
    </x:row>
    <x:row r="124" ht="36" customHeight="1">
      <x:c r="A124" s="35" t="str">
        <x:v>CHK-0119</x:v>
      </x:c>
      <x:c r="B124" s="35" t="str">
        <x:v>Effects</x:v>
      </x:c>
      <x:c r="C124" s="35" t="str">
        <x:v>effect_kangaroo_clean_rhythm</x:v>
      </x:c>
      <x:c r="D124" s="44" t="str">
        <x:v>Обязательные поля и диапазоны</x:v>
      </x:c>
      <x:c r="E124" s="56" t="str">
        <x:f>'Effects'!U7</x:f>
        <x:v>OK</x:v>
      </x:c>
      <x:c r="F124" s="38" t="str">
        <x:v>Error</x:v>
      </x:c>
      <x:c r="G124" s="38" t="str">
        <x:f>'Effects'!A7</x:f>
        <x:v>effect_kangaroo_clean_rhythm</x:v>
      </x:c>
    </x:row>
    <x:row r="125" ht="36" customHeight="1">
      <x:c r="A125" s="35" t="str">
        <x:v>CHK-0120</x:v>
      </x:c>
      <x:c r="B125" s="35" t="str">
        <x:v>Effects</x:v>
      </x:c>
      <x:c r="C125" s="35" t="str">
        <x:v>effect_gorilla_wall_pressure</x:v>
      </x:c>
      <x:c r="D125" s="44" t="str">
        <x:v>Обязательные поля и диапазоны</x:v>
      </x:c>
      <x:c r="E125" s="56" t="str">
        <x:f>'Effects'!U8</x:f>
        <x:v>OK</x:v>
      </x:c>
      <x:c r="F125" s="38" t="str">
        <x:v>Error</x:v>
      </x:c>
      <x:c r="G125" s="38" t="str">
        <x:f>'Effects'!A8</x:f>
        <x:v>effect_gorilla_wall_pressure</x:v>
      </x:c>
    </x:row>
    <x:row r="126" ht="36" customHeight="1">
      <x:c r="A126" s="35" t="str">
        <x:v>CHK-0121</x:v>
      </x:c>
      <x:c r="B126" s="35" t="str">
        <x:v>Effects</x:v>
      </x:c>
      <x:c r="C126" s="35" t="str">
        <x:v>effect_gorilla_iron_grip</x:v>
      </x:c>
      <x:c r="D126" s="44" t="str">
        <x:v>Обязательные поля и диапазоны</x:v>
      </x:c>
      <x:c r="E126" s="56" t="str">
        <x:f>'Effects'!U9</x:f>
        <x:v>OK</x:v>
      </x:c>
      <x:c r="F126" s="38" t="str">
        <x:v>Error</x:v>
      </x:c>
      <x:c r="G126" s="38" t="str">
        <x:f>'Effects'!A9</x:f>
        <x:v>effect_gorilla_iron_grip</x:v>
      </x:c>
    </x:row>
    <x:row r="127" ht="36" customHeight="1">
      <x:c r="A127" s="35" t="str">
        <x:v>CHK-0122</x:v>
      </x:c>
      <x:c r="B127" s="35" t="str">
        <x:v>Effects</x:v>
      </x:c>
      <x:c r="C127" s="35" t="str">
        <x:v>effect_guard_broken</x:v>
      </x:c>
      <x:c r="D127" s="44" t="str">
        <x:v>Обязательные поля и диапазоны</x:v>
      </x:c>
      <x:c r="E127" s="56" t="str">
        <x:f>'Effects'!U10</x:f>
        <x:v>OK</x:v>
      </x:c>
      <x:c r="F127" s="38" t="str">
        <x:v>Error</x:v>
      </x:c>
      <x:c r="G127" s="38" t="str">
        <x:f>'Effects'!A10</x:f>
        <x:v>effect_guard_broken</x:v>
      </x:c>
    </x:row>
    <x:row r="128" ht="36" customHeight="1">
      <x:c r="A128" s="35" t="str">
        <x:v>CHK-0123</x:v>
      </x:c>
      <x:c r="B128" s="35" t="str">
        <x:v>Effects</x:v>
      </x:c>
      <x:c r="C128" s="35" t="str">
        <x:v>effect_exposed</x:v>
      </x:c>
      <x:c r="D128" s="44" t="str">
        <x:v>Обязательные поля и диапазоны</x:v>
      </x:c>
      <x:c r="E128" s="56" t="str">
        <x:f>'Effects'!U11</x:f>
        <x:v>OK</x:v>
      </x:c>
      <x:c r="F128" s="38" t="str">
        <x:v>Error</x:v>
      </x:c>
      <x:c r="G128" s="38" t="str">
        <x:f>'Effects'!A11</x:f>
        <x:v>effect_exposed</x:v>
      </x:c>
    </x:row>
    <x:row r="129" ht="36" customHeight="1">
      <x:c r="A129" s="35" t="str">
        <x:v>CHK-0124</x:v>
      </x:c>
      <x:c r="B129" s="35" t="str">
        <x:v>Effects</x:v>
      </x:c>
      <x:c r="C129" s="35" t="str">
        <x:v>effect_control_fatigue</x:v>
      </x:c>
      <x:c r="D129" s="44" t="str">
        <x:v>Обязательные поля и диапазоны</x:v>
      </x:c>
      <x:c r="E129" s="56" t="str">
        <x:f>'Effects'!U12</x:f>
        <x:v>OK</x:v>
      </x:c>
      <x:c r="F129" s="38" t="str">
        <x:v>Error</x:v>
      </x:c>
      <x:c r="G129" s="38" t="str">
        <x:f>'Effects'!A12</x:f>
        <x:v>effect_control_fatigue</x:v>
      </x:c>
    </x:row>
    <x:row r="130" ht="36" customHeight="1">
      <x:c r="A130" s="35" t="str">
        <x:v>CHK-0125</x:v>
      </x:c>
      <x:c r="B130" s="35" t="str">
        <x:v>Effects</x:v>
      </x:c>
      <x:c r="C130" s="35" t="str">
        <x:v>effect_control_immunity</x:v>
      </x:c>
      <x:c r="D130" s="44" t="str">
        <x:v>Обязательные поля и диапазоны</x:v>
      </x:c>
      <x:c r="E130" s="56" t="str">
        <x:f>'Effects'!U13</x:f>
        <x:v>OK</x:v>
      </x:c>
      <x:c r="F130" s="38" t="str">
        <x:v>Error</x:v>
      </x:c>
      <x:c r="G130" s="38" t="str">
        <x:f>'Effects'!A13</x:f>
        <x:v>effect_control_immunity</x:v>
      </x:c>
    </x:row>
    <x:row r="131" ht="36" customHeight="1">
      <x:c r="A131" s="35" t="str">
        <x:v>CHK-0126</x:v>
      </x:c>
      <x:c r="B131" s="35" t="str">
        <x:v>Effects</x:v>
      </x:c>
      <x:c r="C131" s="35" t="str">
        <x:v>effect_grab_lockout</x:v>
      </x:c>
      <x:c r="D131" s="44" t="str">
        <x:v>Обязательные поля и диапазоны</x:v>
      </x:c>
      <x:c r="E131" s="56" t="str">
        <x:f>'Effects'!U14</x:f>
        <x:v>OK</x:v>
      </x:c>
      <x:c r="F131" s="38" t="str">
        <x:v>Error</x:v>
      </x:c>
      <x:c r="G131" s="38" t="str">
        <x:f>'Effects'!A14</x:f>
        <x:v>effect_grab_lockout</x:v>
      </x:c>
    </x:row>
    <x:row r="132" ht="36" customHeight="1">
      <x:c r="A132" s="35" t="str">
        <x:v>CHK-0127</x:v>
      </x:c>
      <x:c r="B132" s="35" t="str">
        <x:v>Effects</x:v>
      </x:c>
      <x:c r="C132" s="35" t="str">
        <x:v>effect_wakeup_immunity</x:v>
      </x:c>
      <x:c r="D132" s="44" t="str">
        <x:v>Обязательные поля и диапазоны</x:v>
      </x:c>
      <x:c r="E132" s="56" t="str">
        <x:f>'Effects'!U15</x:f>
        <x:v>OK</x:v>
      </x:c>
      <x:c r="F132" s="38" t="str">
        <x:v>Error</x:v>
      </x:c>
      <x:c r="G132" s="38" t="str">
        <x:f>'Effects'!A15</x:f>
        <x:v>effect_wakeup_immunity</x:v>
      </x:c>
    </x:row>
    <x:row r="133" ht="36" customHeight="1">
      <x:c r="A133" s="35" t="str">
        <x:v>CHK-0128</x:v>
      </x:c>
      <x:c r="B133" s="35" t="str">
        <x:v>Tactics</x:v>
      </x:c>
      <x:c r="C133" s="35" t="str">
        <x:v>tactic_pressure</x:v>
      </x:c>
      <x:c r="D133" s="44" t="str">
        <x:v>Обязательные поля и диапазоны</x:v>
      </x:c>
      <x:c r="E133" s="56" t="str">
        <x:f>'Tactics'!V6</x:f>
        <x:v>OK</x:v>
      </x:c>
      <x:c r="F133" s="38" t="str">
        <x:v>Error</x:v>
      </x:c>
      <x:c r="G133" s="38" t="str">
        <x:f>'Tactics'!A6</x:f>
        <x:v>tactic_pressure</x:v>
      </x:c>
    </x:row>
    <x:row r="134" ht="36" customHeight="1">
      <x:c r="A134" s="35" t="str">
        <x:v>CHK-0129</x:v>
      </x:c>
      <x:c r="B134" s="35" t="str">
        <x:v>Tactics</x:v>
      </x:c>
      <x:c r="C134" s="35" t="str">
        <x:v>tactic_counter</x:v>
      </x:c>
      <x:c r="D134" s="44" t="str">
        <x:v>Обязательные поля и диапазоны</x:v>
      </x:c>
      <x:c r="E134" s="56" t="str">
        <x:f>'Tactics'!V7</x:f>
        <x:v>OK</x:v>
      </x:c>
      <x:c r="F134" s="38" t="str">
        <x:v>Error</x:v>
      </x:c>
      <x:c r="G134" s="38" t="str">
        <x:f>'Tactics'!A7</x:f>
        <x:v>tactic_counter</x:v>
      </x:c>
    </x:row>
    <x:row r="135" ht="36" customHeight="1">
      <x:c r="A135" s="35" t="str">
        <x:v>CHK-0130</x:v>
      </x:c>
      <x:c r="B135" s="35" t="str">
        <x:v>Tactics</x:v>
      </x:c>
      <x:c r="C135" s="35" t="str">
        <x:v>tactic_position</x:v>
      </x:c>
      <x:c r="D135" s="44" t="str">
        <x:v>Обязательные поля и диапазоны</x:v>
      </x:c>
      <x:c r="E135" s="56" t="str">
        <x:f>'Tactics'!V8</x:f>
        <x:v>OK</x:v>
      </x:c>
      <x:c r="F135" s="38" t="str">
        <x:v>Error</x:v>
      </x:c>
      <x:c r="G135" s="38" t="str">
        <x:f>'Tactics'!A8</x:f>
        <x:v>tactic_position</x:v>
      </x:c>
    </x:row>
    <x:row r="136" ht="36" customHeight="1">
      <x:c r="A136" s="35" t="str">
        <x:v>CHK-0131</x:v>
      </x:c>
      <x:c r="B136" s="35" t="str">
        <x:v>Tactics</x:v>
      </x:c>
      <x:c r="C136" s="35" t="str">
        <x:v>tactic_signature</x:v>
      </x:c>
      <x:c r="D136" s="44" t="str">
        <x:v>Обязательные поля и диапазоны</x:v>
      </x:c>
      <x:c r="E136" s="56" t="str">
        <x:f>'Tactics'!V9</x:f>
        <x:v>OK</x:v>
      </x:c>
      <x:c r="F136" s="38" t="str">
        <x:v>Error</x:v>
      </x:c>
      <x:c r="G136" s="38" t="str">
        <x:f>'Tactics'!A9</x:f>
        <x:v>tactic_signature</x:v>
      </x:c>
    </x:row>
    <x:row r="137" ht="36" customHeight="1">
      <x:c r="A137" s="35" t="str">
        <x:v>CHK-0132</x:v>
      </x:c>
      <x:c r="B137" s="35" t="str">
        <x:v>Gear</x:v>
      </x:c>
      <x:c r="C137" s="35" t="str">
        <x:v>gear_offense_power_wraps</x:v>
      </x:c>
      <x:c r="D137" s="44" t="str">
        <x:v>Обязательные поля и диапазоны</x:v>
      </x:c>
      <x:c r="E137" s="56" t="str">
        <x:f>'Gear'!M6</x:f>
        <x:v>OK</x:v>
      </x:c>
      <x:c r="F137" s="38" t="str">
        <x:v>Error</x:v>
      </x:c>
      <x:c r="G137" s="38" t="str">
        <x:f>'Gear'!A6</x:f>
        <x:v>gear_offense_power_wraps</x:v>
      </x:c>
    </x:row>
    <x:row r="138" ht="36" customHeight="1">
      <x:c r="A138" s="35" t="str">
        <x:v>CHK-0133</x:v>
      </x:c>
      <x:c r="B138" s="35" t="str">
        <x:v>Gear</x:v>
      </x:c>
      <x:c r="C138" s="35" t="str">
        <x:v>gear_offense_precision_lens</x:v>
      </x:c>
      <x:c r="D138" s="44" t="str">
        <x:v>Обязательные поля и диапазоны</x:v>
      </x:c>
      <x:c r="E138" s="56" t="str">
        <x:f>'Gear'!M7</x:f>
        <x:v>OK</x:v>
      </x:c>
      <x:c r="F138" s="38" t="str">
        <x:v>Error</x:v>
      </x:c>
      <x:c r="G138" s="38" t="str">
        <x:f>'Gear'!A7</x:f>
        <x:v>gear_offense_precision_lens</x:v>
      </x:c>
    </x:row>
    <x:row r="139" ht="36" customHeight="1">
      <x:c r="A139" s="35" t="str">
        <x:v>CHK-0134</x:v>
      </x:c>
      <x:c r="B139" s="35" t="str">
        <x:v>Gear</x:v>
      </x:c>
      <x:c r="C139" s="35" t="str">
        <x:v>gear_offense_guardbreaker</x:v>
      </x:c>
      <x:c r="D139" s="44" t="str">
        <x:v>Обязательные поля и диапазоны</x:v>
      </x:c>
      <x:c r="E139" s="56" t="str">
        <x:f>'Gear'!M8</x:f>
        <x:v>OK</x:v>
      </x:c>
      <x:c r="F139" s="38" t="str">
        <x:v>Error</x:v>
      </x:c>
      <x:c r="G139" s="38" t="str">
        <x:f>'Gear'!A8</x:f>
        <x:v>gear_offense_guardbreaker</x:v>
      </x:c>
    </x:row>
    <x:row r="140" ht="36" customHeight="1">
      <x:c r="A140" s="35" t="str">
        <x:v>CHK-0135</x:v>
      </x:c>
      <x:c r="B140" s="35" t="str">
        <x:v>Gear</x:v>
      </x:c>
      <x:c r="C140" s="35" t="str">
        <x:v>gear_defense_vital_harness</x:v>
      </x:c>
      <x:c r="D140" s="44" t="str">
        <x:v>Обязательные поля и диапазоны</x:v>
      </x:c>
      <x:c r="E140" s="56" t="str">
        <x:f>'Gear'!M9</x:f>
        <x:v>OK</x:v>
      </x:c>
      <x:c r="F140" s="38" t="str">
        <x:v>Error</x:v>
      </x:c>
      <x:c r="G140" s="38" t="str">
        <x:f>'Gear'!A9</x:f>
        <x:v>gear_defense_vital_harness</x:v>
      </x:c>
    </x:row>
    <x:row r="141" ht="36" customHeight="1">
      <x:c r="A141" s="35" t="str">
        <x:v>CHK-0136</x:v>
      </x:c>
      <x:c r="B141" s="35" t="str">
        <x:v>Gear</x:v>
      </x:c>
      <x:c r="C141" s="35" t="str">
        <x:v>gear_defense_reinforced_hide</x:v>
      </x:c>
      <x:c r="D141" s="44" t="str">
        <x:v>Обязательные поля и диапазоны</x:v>
      </x:c>
      <x:c r="E141" s="56" t="str">
        <x:f>'Gear'!M10</x:f>
        <x:v>OK</x:v>
      </x:c>
      <x:c r="F141" s="38" t="str">
        <x:v>Error</x:v>
      </x:c>
      <x:c r="G141" s="38" t="str">
        <x:f>'Gear'!A10</x:f>
        <x:v>gear_defense_reinforced_hide</x:v>
      </x:c>
    </x:row>
    <x:row r="142" ht="36" customHeight="1">
      <x:c r="A142" s="35" t="str">
        <x:v>CHK-0137</x:v>
      </x:c>
      <x:c r="B142" s="35" t="str">
        <x:v>Gear</x:v>
      </x:c>
      <x:c r="C142" s="35" t="str">
        <x:v>gear_defense_control_brace</x:v>
      </x:c>
      <x:c r="D142" s="44" t="str">
        <x:v>Обязательные поля и диапазоны</x:v>
      </x:c>
      <x:c r="E142" s="56" t="str">
        <x:f>'Gear'!M11</x:f>
        <x:v>OK</x:v>
      </x:c>
      <x:c r="F142" s="38" t="str">
        <x:v>Error</x:v>
      </x:c>
      <x:c r="G142" s="38" t="str">
        <x:f>'Gear'!A11</x:f>
        <x:v>gear_defense_control_brace</x:v>
      </x:c>
    </x:row>
    <x:row r="143" ht="36" customHeight="1">
      <x:c r="A143" s="35" t="str">
        <x:v>CHK-0138</x:v>
      </x:c>
      <x:c r="B143" s="35" t="str">
        <x:v>Gear</x:v>
      </x:c>
      <x:c r="C143" s="35" t="str">
        <x:v>gear_utility_sprint_soles</x:v>
      </x:c>
      <x:c r="D143" s="44" t="str">
        <x:v>Обязательные поля и диапазоны</x:v>
      </x:c>
      <x:c r="E143" s="56" t="str">
        <x:f>'Gear'!M12</x:f>
        <x:v>OK</x:v>
      </x:c>
      <x:c r="F143" s="38" t="str">
        <x:v>Error</x:v>
      </x:c>
      <x:c r="G143" s="38" t="str">
        <x:f>'Gear'!A12</x:f>
        <x:v>gear_utility_sprint_soles</x:v>
      </x:c>
    </x:row>
    <x:row r="144" ht="36" customHeight="1">
      <x:c r="A144" s="35" t="str">
        <x:v>CHK-0139</x:v>
      </x:c>
      <x:c r="B144" s="35" t="str">
        <x:v>Gear</x:v>
      </x:c>
      <x:c r="C144" s="35" t="str">
        <x:v>gear_utility_quickening_cord</x:v>
      </x:c>
      <x:c r="D144" s="44" t="str">
        <x:v>Обязательные поля и диапазоны</x:v>
      </x:c>
      <x:c r="E144" s="56" t="str">
        <x:f>'Gear'!M13</x:f>
        <x:v>OK</x:v>
      </x:c>
      <x:c r="F144" s="38" t="str">
        <x:v>Error</x:v>
      </x:c>
      <x:c r="G144" s="38" t="str">
        <x:f>'Gear'!A13</x:f>
        <x:v>gear_utility_quickening_cord</x:v>
      </x:c>
    </x:row>
    <x:row r="145" ht="36" customHeight="1">
      <x:c r="A145" s="35" t="str">
        <x:v>CHK-0140</x:v>
      </x:c>
      <x:c r="B145" s="35" t="str">
        <x:v>Gear</x:v>
      </x:c>
      <x:c r="C145" s="35" t="str">
        <x:v>gear_utility_energy_cell</x:v>
      </x:c>
      <x:c r="D145" s="44" t="str">
        <x:v>Обязательные поля и диапазоны</x:v>
      </x:c>
      <x:c r="E145" s="56" t="str">
        <x:f>'Gear'!M14</x:f>
        <x:v>OK</x:v>
      </x:c>
      <x:c r="F145" s="38" t="str">
        <x:v>Error</x:v>
      </x:c>
      <x:c r="G145" s="38" t="str">
        <x:f>'Gear'!A14</x:f>
        <x:v>gear_utility_energy_cell</x:v>
      </x:c>
    </x:row>
    <x:row r="146" ht="36" customHeight="1">
      <x:c r="A146" s="35" t="str">
        <x:v>CHK-0141</x:v>
      </x:c>
      <x:c r="B146" s="35" t="str">
        <x:v>Test Builds</x:v>
      </x:c>
      <x:c r="C146" s="35" t="str">
        <x:v>build_bear_default</x:v>
      </x:c>
      <x:c r="D146" s="44" t="str">
        <x:v>Ссылочная целостность сборки</x:v>
      </x:c>
      <x:c r="E146" s="56" t="str">
        <x:f>'Test Builds'!N6</x:f>
        <x:v>OK</x:v>
      </x:c>
      <x:c r="F146" s="38" t="str">
        <x:v>Error</x:v>
      </x:c>
      <x:c r="G146" s="38" t="str">
        <x:f>'Test Builds'!A6</x:f>
        <x:v>build_bear_default</x:v>
      </x:c>
    </x:row>
    <x:row r="147" ht="36" customHeight="1">
      <x:c r="A147" s="35" t="str">
        <x:v>CHK-0142</x:v>
      </x:c>
      <x:c r="B147" s="35" t="str">
        <x:v>Test Builds</x:v>
      </x:c>
      <x:c r="C147" s="35" t="str">
        <x:v>build_bear_anti_kite</x:v>
      </x:c>
      <x:c r="D147" s="44" t="str">
        <x:v>Ссылочная целостность сборки</x:v>
      </x:c>
      <x:c r="E147" s="56" t="str">
        <x:f>'Test Builds'!N7</x:f>
        <x:v>OK</x:v>
      </x:c>
      <x:c r="F147" s="38" t="str">
        <x:v>Error</x:v>
      </x:c>
      <x:c r="G147" s="38" t="str">
        <x:f>'Test Builds'!A7</x:f>
        <x:v>build_bear_anti_kite</x:v>
      </x:c>
    </x:row>
    <x:row r="148" ht="36" customHeight="1">
      <x:c r="A148" s="35" t="str">
        <x:v>CHK-0143</x:v>
      </x:c>
      <x:c r="B148" s="35" t="str">
        <x:v>Test Builds</x:v>
      </x:c>
      <x:c r="C148" s="35" t="str">
        <x:v>build_bear_counter_heavy</x:v>
      </x:c>
      <x:c r="D148" s="44" t="str">
        <x:v>Ссылочная целостность сборки</x:v>
      </x:c>
      <x:c r="E148" s="56" t="str">
        <x:f>'Test Builds'!N8</x:f>
        <x:v>OK</x:v>
      </x:c>
      <x:c r="F148" s="38" t="str">
        <x:v>Error</x:v>
      </x:c>
      <x:c r="G148" s="38" t="str">
        <x:f>'Test Builds'!A8</x:f>
        <x:v>build_bear_counter_heavy</x:v>
      </x:c>
    </x:row>
    <x:row r="149" ht="36" customHeight="1">
      <x:c r="A149" s="35" t="str">
        <x:v>CHK-0144</x:v>
      </x:c>
      <x:c r="B149" s="35" t="str">
        <x:v>Test Builds</x:v>
      </x:c>
      <x:c r="C149" s="35" t="str">
        <x:v>build_bear_signature</x:v>
      </x:c>
      <x:c r="D149" s="44" t="str">
        <x:v>Ссылочная целостность сборки</x:v>
      </x:c>
      <x:c r="E149" s="56" t="str">
        <x:f>'Test Builds'!N9</x:f>
        <x:v>OK</x:v>
      </x:c>
      <x:c r="F149" s="38" t="str">
        <x:v>Error</x:v>
      </x:c>
      <x:c r="G149" s="38" t="str">
        <x:f>'Test Builds'!A9</x:f>
        <x:v>build_bear_signature</x:v>
      </x:c>
    </x:row>
    <x:row r="150" ht="36" customHeight="1">
      <x:c r="A150" s="35" t="str">
        <x:v>CHK-0145</x:v>
      </x:c>
      <x:c r="B150" s="35" t="str">
        <x:v>Test Builds</x:v>
      </x:c>
      <x:c r="C150" s="35" t="str">
        <x:v>build_kangaroo_default</x:v>
      </x:c>
      <x:c r="D150" s="44" t="str">
        <x:v>Ссылочная целостность сборки</x:v>
      </x:c>
      <x:c r="E150" s="56" t="str">
        <x:f>'Test Builds'!N10</x:f>
        <x:v>OK</x:v>
      </x:c>
      <x:c r="F150" s="38" t="str">
        <x:v>Error</x:v>
      </x:c>
      <x:c r="G150" s="38" t="str">
        <x:f>'Test Builds'!A10</x:f>
        <x:v>build_kangaroo_default</x:v>
      </x:c>
    </x:row>
    <x:row r="151" ht="36" customHeight="1">
      <x:c r="A151" s="35" t="str">
        <x:v>CHK-0146</x:v>
      </x:c>
      <x:c r="B151" s="35" t="str">
        <x:v>Test Builds</x:v>
      </x:c>
      <x:c r="C151" s="35" t="str">
        <x:v>build_kangaroo_anti_grab</x:v>
      </x:c>
      <x:c r="D151" s="44" t="str">
        <x:v>Ссылочная целостность сборки</x:v>
      </x:c>
      <x:c r="E151" s="56" t="str">
        <x:f>'Test Builds'!N11</x:f>
        <x:v>OK</x:v>
      </x:c>
      <x:c r="F151" s="38" t="str">
        <x:v>Error</x:v>
      </x:c>
      <x:c r="G151" s="38" t="str">
        <x:f>'Test Builds'!A11</x:f>
        <x:v>build_kangaroo_anti_grab</x:v>
      </x:c>
    </x:row>
    <x:row r="152" ht="36" customHeight="1">
      <x:c r="A152" s="35" t="str">
        <x:v>CHK-0147</x:v>
      </x:c>
      <x:c r="B152" s="35" t="str">
        <x:v>Test Builds</x:v>
      </x:c>
      <x:c r="C152" s="35" t="str">
        <x:v>build_kangaroo_kite</x:v>
      </x:c>
      <x:c r="D152" s="44" t="str">
        <x:v>Ссылочная целостность сборки</x:v>
      </x:c>
      <x:c r="E152" s="56" t="str">
        <x:f>'Test Builds'!N12</x:f>
        <x:v>OK</x:v>
      </x:c>
      <x:c r="F152" s="38" t="str">
        <x:v>Error</x:v>
      </x:c>
      <x:c r="G152" s="38" t="str">
        <x:f>'Test Builds'!A12</x:f>
        <x:v>build_kangaroo_kite</x:v>
      </x:c>
    </x:row>
    <x:row r="153" ht="36" customHeight="1">
      <x:c r="A153" s="35" t="str">
        <x:v>CHK-0148</x:v>
      </x:c>
      <x:c r="B153" s="35" t="str">
        <x:v>Test Builds</x:v>
      </x:c>
      <x:c r="C153" s="35" t="str">
        <x:v>build_kangaroo_signature</x:v>
      </x:c>
      <x:c r="D153" s="44" t="str">
        <x:v>Ссылочная целостность сборки</x:v>
      </x:c>
      <x:c r="E153" s="56" t="str">
        <x:f>'Test Builds'!N13</x:f>
        <x:v>OK</x:v>
      </x:c>
      <x:c r="F153" s="38" t="str">
        <x:v>Error</x:v>
      </x:c>
      <x:c r="G153" s="38" t="str">
        <x:f>'Test Builds'!A13</x:f>
        <x:v>build_kangaroo_signature</x:v>
      </x:c>
    </x:row>
    <x:row r="154" ht="36" customHeight="1">
      <x:c r="A154" s="35" t="str">
        <x:v>CHK-0149</x:v>
      </x:c>
      <x:c r="B154" s="35" t="str">
        <x:v>Test Builds</x:v>
      </x:c>
      <x:c r="C154" s="35" t="str">
        <x:v>build_gorilla_default</x:v>
      </x:c>
      <x:c r="D154" s="44" t="str">
        <x:v>Ссылочная целостность сборки</x:v>
      </x:c>
      <x:c r="E154" s="56" t="str">
        <x:f>'Test Builds'!N14</x:f>
        <x:v>OK</x:v>
      </x:c>
      <x:c r="F154" s="38" t="str">
        <x:v>Error</x:v>
      </x:c>
      <x:c r="G154" s="38" t="str">
        <x:f>'Test Builds'!A14</x:f>
        <x:v>build_gorilla_default</x:v>
      </x:c>
    </x:row>
    <x:row r="155" ht="36" customHeight="1">
      <x:c r="A155" s="35" t="str">
        <x:v>CHK-0150</x:v>
      </x:c>
      <x:c r="B155" s="35" t="str">
        <x:v>Test Builds</x:v>
      </x:c>
      <x:c r="C155" s="35" t="str">
        <x:v>build_gorilla_anti_heavy</x:v>
      </x:c>
      <x:c r="D155" s="44" t="str">
        <x:v>Ссылочная целостность сборки</x:v>
      </x:c>
      <x:c r="E155" s="56" t="str">
        <x:f>'Test Builds'!N15</x:f>
        <x:v>OK</x:v>
      </x:c>
      <x:c r="F155" s="38" t="str">
        <x:v>Error</x:v>
      </x:c>
      <x:c r="G155" s="38" t="str">
        <x:f>'Test Builds'!A15</x:f>
        <x:v>build_gorilla_anti_heavy</x:v>
      </x:c>
    </x:row>
    <x:row r="156" ht="36" customHeight="1">
      <x:c r="A156" s="35" t="str">
        <x:v>CHK-0151</x:v>
      </x:c>
      <x:c r="B156" s="35" t="str">
        <x:v>Test Builds</x:v>
      </x:c>
      <x:c r="C156" s="35" t="str">
        <x:v>build_gorilla_wall_pressure</x:v>
      </x:c>
      <x:c r="D156" s="44" t="str">
        <x:v>Ссылочная целостность сборки</x:v>
      </x:c>
      <x:c r="E156" s="56" t="str">
        <x:f>'Test Builds'!N16</x:f>
        <x:v>OK</x:v>
      </x:c>
      <x:c r="F156" s="38" t="str">
        <x:v>Error</x:v>
      </x:c>
      <x:c r="G156" s="38" t="str">
        <x:f>'Test Builds'!A16</x:f>
        <x:v>build_gorilla_wall_pressure</x:v>
      </x:c>
    </x:row>
    <x:row r="157" ht="36" customHeight="1">
      <x:c r="A157" s="35" t="str">
        <x:v>CHK-0152</x:v>
      </x:c>
      <x:c r="B157" s="35" t="str">
        <x:v>Test Builds</x:v>
      </x:c>
      <x:c r="C157" s="35" t="str">
        <x:v>build_gorilla_signature</x:v>
      </x:c>
      <x:c r="D157" s="44" t="str">
        <x:v>Ссылочная целостность сборки</x:v>
      </x:c>
      <x:c r="E157" s="56" t="str">
        <x:f>'Test Builds'!N17</x:f>
        <x:v>OK</x:v>
      </x:c>
      <x:c r="F157" s="38" t="str">
        <x:v>Error</x:v>
      </x:c>
      <x:c r="G157" s="38" t="str">
        <x:f>'Test Builds'!A17</x:f>
        <x:v>build_gorilla_signature</x:v>
      </x:c>
    </x:row>
    <x:row r="158" ht="36" customHeight="1">
      <x:c r="A158" s="35" t="str">
        <x:v>CHK-0153</x:v>
      </x:c>
      <x:c r="B158" s="35" t="str">
        <x:v>Expected Matchups</x:v>
      </x:c>
      <x:c r="C158" s="35" t="str">
        <x:v>bear_vs_bear</x:v>
      </x:c>
      <x:c r="D158" s="44" t="str">
        <x:v>Диапазоны и контрольные сборки</x:v>
      </x:c>
      <x:c r="E158" s="56" t="str">
        <x:f>'Expected Matchups'!S6</x:f>
        <x:v>OK</x:v>
      </x:c>
      <x:c r="F158" s="38" t="str">
        <x:v>Error</x:v>
      </x:c>
      <x:c r="G158" s="38" t="str">
        <x:f>'Expected Matchups'!A6</x:f>
        <x:v>bear_vs_bear</x:v>
      </x:c>
    </x:row>
    <x:row r="159" ht="36" customHeight="1">
      <x:c r="A159" s="35" t="str">
        <x:v>CHK-0154</x:v>
      </x:c>
      <x:c r="B159" s="35" t="str">
        <x:v>Expected Matchups</x:v>
      </x:c>
      <x:c r="C159" s="35" t="str">
        <x:v>bear_vs_kangaroo</x:v>
      </x:c>
      <x:c r="D159" s="44" t="str">
        <x:v>Диапазоны и контрольные сборки</x:v>
      </x:c>
      <x:c r="E159" s="56" t="str">
        <x:f>'Expected Matchups'!S7</x:f>
        <x:v>OK</x:v>
      </x:c>
      <x:c r="F159" s="38" t="str">
        <x:v>Error</x:v>
      </x:c>
      <x:c r="G159" s="38" t="str">
        <x:f>'Expected Matchups'!A7</x:f>
        <x:v>bear_vs_kangaroo</x:v>
      </x:c>
    </x:row>
    <x:row r="160" ht="36" customHeight="1">
      <x:c r="A160" s="35" t="str">
        <x:v>CHK-0155</x:v>
      </x:c>
      <x:c r="B160" s="35" t="str">
        <x:v>Expected Matchups</x:v>
      </x:c>
      <x:c r="C160" s="35" t="str">
        <x:v>bear_vs_gorilla</x:v>
      </x:c>
      <x:c r="D160" s="44" t="str">
        <x:v>Диапазоны и контрольные сборки</x:v>
      </x:c>
      <x:c r="E160" s="56" t="str">
        <x:f>'Expected Matchups'!S8</x:f>
        <x:v>OK</x:v>
      </x:c>
      <x:c r="F160" s="38" t="str">
        <x:v>Error</x:v>
      </x:c>
      <x:c r="G160" s="38" t="str">
        <x:f>'Expected Matchups'!A8</x:f>
        <x:v>bear_vs_gorilla</x:v>
      </x:c>
    </x:row>
    <x:row r="161" ht="36" customHeight="1">
      <x:c r="A161" s="35" t="str">
        <x:v>CHK-0156</x:v>
      </x:c>
      <x:c r="B161" s="35" t="str">
        <x:v>Expected Matchups</x:v>
      </x:c>
      <x:c r="C161" s="35" t="str">
        <x:v>kangaroo_vs_bear</x:v>
      </x:c>
      <x:c r="D161" s="44" t="str">
        <x:v>Диапазоны и контрольные сборки</x:v>
      </x:c>
      <x:c r="E161" s="56" t="str">
        <x:f>'Expected Matchups'!S9</x:f>
        <x:v>OK</x:v>
      </x:c>
      <x:c r="F161" s="38" t="str">
        <x:v>Error</x:v>
      </x:c>
      <x:c r="G161" s="38" t="str">
        <x:f>'Expected Matchups'!A9</x:f>
        <x:v>kangaroo_vs_bear</x:v>
      </x:c>
    </x:row>
    <x:row r="162" ht="36" customHeight="1">
      <x:c r="A162" s="35" t="str">
        <x:v>CHK-0157</x:v>
      </x:c>
      <x:c r="B162" s="35" t="str">
        <x:v>Expected Matchups</x:v>
      </x:c>
      <x:c r="C162" s="35" t="str">
        <x:v>kangaroo_vs_kangaroo</x:v>
      </x:c>
      <x:c r="D162" s="44" t="str">
        <x:v>Диапазоны и контрольные сборки</x:v>
      </x:c>
      <x:c r="E162" s="56" t="str">
        <x:f>'Expected Matchups'!S10</x:f>
        <x:v>OK</x:v>
      </x:c>
      <x:c r="F162" s="38" t="str">
        <x:v>Error</x:v>
      </x:c>
      <x:c r="G162" s="38" t="str">
        <x:f>'Expected Matchups'!A10</x:f>
        <x:v>kangaroo_vs_kangaroo</x:v>
      </x:c>
    </x:row>
    <x:row r="163" ht="36" customHeight="1">
      <x:c r="A163" s="35" t="str">
        <x:v>CHK-0158</x:v>
      </x:c>
      <x:c r="B163" s="35" t="str">
        <x:v>Expected Matchups</x:v>
      </x:c>
      <x:c r="C163" s="35" t="str">
        <x:v>kangaroo_vs_gorilla</x:v>
      </x:c>
      <x:c r="D163" s="44" t="str">
        <x:v>Диапазоны и контрольные сборки</x:v>
      </x:c>
      <x:c r="E163" s="56" t="str">
        <x:f>'Expected Matchups'!S11</x:f>
        <x:v>OK</x:v>
      </x:c>
      <x:c r="F163" s="38" t="str">
        <x:v>Error</x:v>
      </x:c>
      <x:c r="G163" s="38" t="str">
        <x:f>'Expected Matchups'!A11</x:f>
        <x:v>kangaroo_vs_gorilla</x:v>
      </x:c>
    </x:row>
    <x:row r="164" ht="36" customHeight="1">
      <x:c r="A164" s="35" t="str">
        <x:v>CHK-0159</x:v>
      </x:c>
      <x:c r="B164" s="35" t="str">
        <x:v>Expected Matchups</x:v>
      </x:c>
      <x:c r="C164" s="35" t="str">
        <x:v>gorilla_vs_bear</x:v>
      </x:c>
      <x:c r="D164" s="44" t="str">
        <x:v>Диапазоны и контрольные сборки</x:v>
      </x:c>
      <x:c r="E164" s="56" t="str">
        <x:f>'Expected Matchups'!S12</x:f>
        <x:v>OK</x:v>
      </x:c>
      <x:c r="F164" s="38" t="str">
        <x:v>Error</x:v>
      </x:c>
      <x:c r="G164" s="38" t="str">
        <x:f>'Expected Matchups'!A12</x:f>
        <x:v>gorilla_vs_bear</x:v>
      </x:c>
    </x:row>
    <x:row r="165" ht="36" customHeight="1">
      <x:c r="A165" s="35" t="str">
        <x:v>CHK-0160</x:v>
      </x:c>
      <x:c r="B165" s="35" t="str">
        <x:v>Expected Matchups</x:v>
      </x:c>
      <x:c r="C165" s="35" t="str">
        <x:v>gorilla_vs_kangaroo</x:v>
      </x:c>
      <x:c r="D165" s="44" t="str">
        <x:v>Диапазоны и контрольные сборки</x:v>
      </x:c>
      <x:c r="E165" s="56" t="str">
        <x:f>'Expected Matchups'!S13</x:f>
        <x:v>OK</x:v>
      </x:c>
      <x:c r="F165" s="38" t="str">
        <x:v>Error</x:v>
      </x:c>
      <x:c r="G165" s="38" t="str">
        <x:f>'Expected Matchups'!A13</x:f>
        <x:v>gorilla_vs_kangaroo</x:v>
      </x:c>
    </x:row>
    <x:row r="166" ht="36" customHeight="1">
      <x:c r="A166" s="36" t="str">
        <x:v>CHK-0161</x:v>
      </x:c>
      <x:c r="B166" s="36" t="str">
        <x:v>Expected Matchups</x:v>
      </x:c>
      <x:c r="C166" s="36" t="str">
        <x:v>gorilla_vs_gorilla</x:v>
      </x:c>
      <x:c r="D166" s="45" t="str">
        <x:v>Диапазоны и контрольные сборки</x:v>
      </x:c>
      <x:c r="E166" s="57" t="str">
        <x:f>'Expected Matchups'!S14</x:f>
        <x:v>OK</x:v>
      </x:c>
      <x:c r="F166" s="39" t="str">
        <x:v>Error</x:v>
      </x:c>
      <x:c r="G166" s="39" t="str">
        <x:f>'Expected Matchups'!A14</x:f>
        <x:v>gorilla_vs_gorilla</x:v>
      </x:c>
    </x:row>
  </x:sheetData>
  <x:mergeCells>
    <x:mergeCell ref="A1:G1"/>
    <x:mergeCell ref="A2:G2"/>
    <x:mergeCell ref="A3:G3"/>
  </x:mergeCells>
  <x:conditionalFormatting sqref="E6:E166">
    <x:cfRule type="containsText" dxfId="55" priority="1" operator="containsText" text="ERROR"/>
    <x:cfRule type="containsText" dxfId="56" priority="2" operator="containsText" text="OK"/>
    <x:cfRule type="containsText" dxfId="57" priority="3" operator="containsText" text="PASS"/>
    <x:cfRule type="containsText" dxfId="58" priority="4" operator="containsText" text="REVIEW"/>
    <x:cfRule type="containsText" dxfId="59" priority="5" operator="containsText" text="PENDING"/>
  </x:conditionalFormatting>
  <x:dataValidations count="1">
    <x:dataValidation type="list" sqref="F6:F166">
      <x:formula1>"Error,Warning,Info"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b0d913a0624578"/>
  </x:tableParts>
</x:worksheet>
</file>